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hidePivotFieldList="1" defaultThemeVersion="166925"/>
  <mc:AlternateContent xmlns:mc="http://schemas.openxmlformats.org/markup-compatibility/2006">
    <mc:Choice Requires="x15">
      <x15ac:absPath xmlns:x15ac="http://schemas.microsoft.com/office/spreadsheetml/2010/11/ac" url="https://nuwildcat.sharepoint.com/sites/RCH-ciera/Shared Documents/CIERA Data/News Exports/"/>
    </mc:Choice>
  </mc:AlternateContent>
  <xr:revisionPtr revIDLastSave="193" documentId="13_ncr:1_{E44FC1B6-A849-4C6C-9D7E-DD1B47ABF1E8}" xr6:coauthVersionLast="47" xr6:coauthVersionMax="47" xr10:uidLastSave="{9C1C53AD-5165-1147-BFE9-25B4B5D1B046}"/>
  <bookViews>
    <workbookView xWindow="38400" yWindow="0" windowWidth="28800" windowHeight="18000" activeTab="4" xr2:uid="{00000000-000D-0000-FFFF-FFFF00000000}"/>
  </bookViews>
  <sheets>
    <sheet name="News" sheetId="1" r:id="rId1"/>
    <sheet name="Research Topics" sheetId="3" r:id="rId2"/>
    <sheet name="Press Types" sheetId="5" r:id="rId3"/>
    <sheet name="Categories" sheetId="4" r:id="rId4"/>
    <sheet name="Metrics" sheetId="2" r:id="rId5"/>
    <sheet name="Sheet1" sheetId="6" r:id="rId6"/>
  </sheets>
  <definedNames>
    <definedName name="_xlnm._FilterDatabase" localSheetId="0" hidden="1">News!$A$1:$R$538</definedName>
  </definedNames>
  <calcPr calcId="191028"/>
  <pivotCaches>
    <pivotCache cacheId="448" r:id="rId7"/>
    <pivotCache cacheId="451" r:id="rId8"/>
    <pivotCache cacheId="455" r:id="rId9"/>
    <pivotCache cacheId="459" r:id="rId10"/>
    <pivotCache cacheId="463"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5" l="1"/>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P3"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P612" i="5"/>
  <c r="P613" i="5"/>
  <c r="P614" i="5"/>
  <c r="P615" i="5"/>
  <c r="P616" i="5"/>
  <c r="P617" i="5"/>
  <c r="P618" i="5"/>
  <c r="P619" i="5"/>
  <c r="P620" i="5"/>
  <c r="P621" i="5"/>
  <c r="P622" i="5"/>
  <c r="P623" i="5"/>
  <c r="P624" i="5"/>
  <c r="P625" i="5"/>
  <c r="P626" i="5"/>
  <c r="P627" i="5"/>
  <c r="P628"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W463" i="3"/>
  <c r="W464" i="3"/>
  <c r="W465" i="3"/>
  <c r="W466" i="3"/>
  <c r="W467" i="3"/>
  <c r="W468" i="3"/>
  <c r="W469" i="3"/>
  <c r="W470" i="3"/>
  <c r="W471" i="3"/>
  <c r="W472" i="3"/>
  <c r="W473" i="3"/>
  <c r="W474" i="3"/>
  <c r="W475" i="3"/>
  <c r="W476" i="3"/>
  <c r="W477" i="3"/>
  <c r="W478" i="3"/>
  <c r="W479" i="3"/>
  <c r="W480" i="3"/>
  <c r="W481" i="3"/>
  <c r="Y3"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212" i="4"/>
  <c r="Y213" i="4"/>
  <c r="Y214" i="4"/>
  <c r="Y215" i="4"/>
  <c r="Y216" i="4"/>
  <c r="Y217" i="4"/>
  <c r="Y218" i="4"/>
  <c r="Y219" i="4"/>
  <c r="Y220" i="4"/>
  <c r="Y221" i="4"/>
  <c r="Y222" i="4"/>
  <c r="Y223" i="4"/>
  <c r="Y224" i="4"/>
  <c r="Y225" i="4"/>
  <c r="Y226" i="4"/>
  <c r="Y227" i="4"/>
  <c r="Y228" i="4"/>
  <c r="Y229" i="4"/>
  <c r="Y230" i="4"/>
  <c r="Y231" i="4"/>
  <c r="Y232" i="4"/>
  <c r="Y233" i="4"/>
  <c r="Y234" i="4"/>
  <c r="Y235" i="4"/>
  <c r="Y236" i="4"/>
  <c r="Y237" i="4"/>
  <c r="Y238" i="4"/>
  <c r="Y239" i="4"/>
  <c r="Y240" i="4"/>
  <c r="Y241" i="4"/>
  <c r="Y242" i="4"/>
  <c r="Y243" i="4"/>
  <c r="Y244" i="4"/>
  <c r="Y245" i="4"/>
  <c r="Y246" i="4"/>
  <c r="Y247" i="4"/>
  <c r="Y248" i="4"/>
  <c r="Y249" i="4"/>
  <c r="Y250" i="4"/>
  <c r="Y251" i="4"/>
  <c r="Y252" i="4"/>
  <c r="Y253" i="4"/>
  <c r="Y254" i="4"/>
  <c r="Y255" i="4"/>
  <c r="Y256" i="4"/>
  <c r="Y257" i="4"/>
  <c r="Y258" i="4"/>
  <c r="Y259" i="4"/>
  <c r="Y260" i="4"/>
  <c r="Y261" i="4"/>
  <c r="Y262" i="4"/>
  <c r="Y263" i="4"/>
  <c r="Y264" i="4"/>
  <c r="Y265" i="4"/>
  <c r="Y266" i="4"/>
  <c r="Y267" i="4"/>
  <c r="Y268" i="4"/>
  <c r="Y269" i="4"/>
  <c r="Y270" i="4"/>
  <c r="Y271" i="4"/>
  <c r="Y272" i="4"/>
  <c r="Y273" i="4"/>
  <c r="Y274" i="4"/>
  <c r="Y275" i="4"/>
  <c r="Y276" i="4"/>
  <c r="Y277" i="4"/>
  <c r="Y278" i="4"/>
  <c r="Y279" i="4"/>
  <c r="Y280" i="4"/>
  <c r="Y281" i="4"/>
  <c r="Y282" i="4"/>
  <c r="Y283" i="4"/>
  <c r="Y284" i="4"/>
  <c r="Y285" i="4"/>
  <c r="Y286" i="4"/>
  <c r="Y287" i="4"/>
  <c r="Y288" i="4"/>
  <c r="Y289" i="4"/>
  <c r="Y290" i="4"/>
  <c r="Y291" i="4"/>
  <c r="Y292" i="4"/>
  <c r="Y293" i="4"/>
  <c r="Y294" i="4"/>
  <c r="Y295" i="4"/>
  <c r="Y296" i="4"/>
  <c r="Y297" i="4"/>
  <c r="Y298" i="4"/>
  <c r="Y299" i="4"/>
  <c r="Y300" i="4"/>
  <c r="Y301" i="4"/>
  <c r="Y302" i="4"/>
  <c r="Y303" i="4"/>
  <c r="Y304" i="4"/>
  <c r="Y305" i="4"/>
  <c r="Y306" i="4"/>
  <c r="Y307" i="4"/>
  <c r="Y308" i="4"/>
  <c r="Y309" i="4"/>
  <c r="Y310" i="4"/>
  <c r="Y311" i="4"/>
  <c r="Y312" i="4"/>
  <c r="Y313" i="4"/>
  <c r="Y314" i="4"/>
  <c r="Y315" i="4"/>
  <c r="Y316" i="4"/>
  <c r="Y317" i="4"/>
  <c r="Y318" i="4"/>
  <c r="Y319" i="4"/>
  <c r="Y320" i="4"/>
  <c r="Y321" i="4"/>
  <c r="Y322" i="4"/>
  <c r="Y323" i="4"/>
  <c r="Y324" i="4"/>
  <c r="Y325" i="4"/>
  <c r="Y326" i="4"/>
  <c r="Y327" i="4"/>
  <c r="Y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Y370" i="4"/>
  <c r="Y371" i="4"/>
  <c r="Y372" i="4"/>
  <c r="Y373" i="4"/>
  <c r="Y374" i="4"/>
  <c r="Y375" i="4"/>
  <c r="Y376" i="4"/>
  <c r="Y377" i="4"/>
  <c r="Y378" i="4"/>
  <c r="Y379" i="4"/>
  <c r="Y380" i="4"/>
  <c r="Y381" i="4"/>
  <c r="Y382" i="4"/>
  <c r="Y383" i="4"/>
  <c r="Y384" i="4"/>
  <c r="Y385" i="4"/>
  <c r="Y386" i="4"/>
  <c r="Y387" i="4"/>
  <c r="Y388" i="4"/>
  <c r="Y389" i="4"/>
  <c r="Y390" i="4"/>
  <c r="Y391" i="4"/>
  <c r="Y392" i="4"/>
  <c r="Y393" i="4"/>
  <c r="Y394" i="4"/>
  <c r="Y395" i="4"/>
  <c r="Y396" i="4"/>
  <c r="Y397" i="4"/>
  <c r="Y398" i="4"/>
  <c r="Y399" i="4"/>
  <c r="Y400" i="4"/>
  <c r="Y401" i="4"/>
  <c r="Y402" i="4"/>
  <c r="Y403" i="4"/>
  <c r="Y404" i="4"/>
  <c r="Y405" i="4"/>
  <c r="Y406" i="4"/>
  <c r="Y407" i="4"/>
  <c r="Y408" i="4"/>
  <c r="Y409" i="4"/>
  <c r="Y410" i="4"/>
  <c r="Y411" i="4"/>
  <c r="Y412" i="4"/>
  <c r="Y413" i="4"/>
  <c r="Y414" i="4"/>
  <c r="Y415" i="4"/>
  <c r="Y416" i="4"/>
  <c r="Y417" i="4"/>
  <c r="Y418" i="4"/>
  <c r="Y419" i="4"/>
  <c r="Y420" i="4"/>
  <c r="Y421" i="4"/>
  <c r="Y422" i="4"/>
  <c r="Y423" i="4"/>
  <c r="Y424" i="4"/>
  <c r="Y425" i="4"/>
  <c r="Y426" i="4"/>
  <c r="Y427" i="4"/>
  <c r="Y428" i="4"/>
  <c r="Y429" i="4"/>
  <c r="Y430" i="4"/>
  <c r="Y431" i="4"/>
  <c r="Y432" i="4"/>
  <c r="Y433" i="4"/>
  <c r="Y434" i="4"/>
  <c r="Y435" i="4"/>
  <c r="Y436" i="4"/>
  <c r="Y437" i="4"/>
  <c r="Y438" i="4"/>
  <c r="Y439" i="4"/>
  <c r="Y440" i="4"/>
  <c r="Y441" i="4"/>
  <c r="Y442" i="4"/>
  <c r="Y443" i="4"/>
  <c r="Y444" i="4"/>
  <c r="Y445" i="4"/>
  <c r="Y446" i="4"/>
  <c r="Y447" i="4"/>
  <c r="Y448" i="4"/>
  <c r="Y449" i="4"/>
  <c r="Y450" i="4"/>
  <c r="Y451" i="4"/>
  <c r="Y452" i="4"/>
  <c r="Y453" i="4"/>
  <c r="Y454" i="4"/>
  <c r="Y455" i="4"/>
  <c r="Y456" i="4"/>
  <c r="Y457" i="4"/>
  <c r="Y458" i="4"/>
  <c r="Y459" i="4"/>
  <c r="Y460" i="4"/>
  <c r="Y461" i="4"/>
  <c r="Y462" i="4"/>
  <c r="Y463" i="4"/>
  <c r="Y464" i="4"/>
  <c r="Y465" i="4"/>
  <c r="Y466" i="4"/>
  <c r="Y467" i="4"/>
  <c r="Y468" i="4"/>
  <c r="Y469" i="4"/>
  <c r="Y470" i="4"/>
  <c r="Y471" i="4"/>
  <c r="Y472" i="4"/>
  <c r="Y473" i="4"/>
  <c r="Y474" i="4"/>
  <c r="Y475" i="4"/>
  <c r="Y476" i="4"/>
  <c r="Y477" i="4"/>
  <c r="Y478" i="4"/>
  <c r="Y479" i="4"/>
  <c r="Y480" i="4"/>
  <c r="Y481" i="4"/>
  <c r="Y482" i="4"/>
  <c r="Y483" i="4"/>
  <c r="Y484" i="4"/>
  <c r="Y485" i="4"/>
  <c r="Y486" i="4"/>
  <c r="Y487" i="4"/>
  <c r="Y488" i="4"/>
  <c r="Y489" i="4"/>
  <c r="Y490" i="4"/>
  <c r="Y491" i="4"/>
  <c r="Y492" i="4"/>
  <c r="Y493" i="4"/>
  <c r="Y494" i="4"/>
  <c r="Y495" i="4"/>
  <c r="Y496" i="4"/>
  <c r="Y497" i="4"/>
  <c r="Y498" i="4"/>
  <c r="Y499" i="4"/>
  <c r="Y500" i="4"/>
  <c r="Y501" i="4"/>
  <c r="Y502" i="4"/>
  <c r="Y503" i="4"/>
  <c r="Y504" i="4"/>
  <c r="Y505" i="4"/>
  <c r="Y506" i="4"/>
  <c r="Y507" i="4"/>
  <c r="Y508" i="4"/>
  <c r="Y509" i="4"/>
  <c r="Y510" i="4"/>
  <c r="Y511" i="4"/>
  <c r="Y512" i="4"/>
  <c r="Y513" i="4"/>
  <c r="Y514" i="4"/>
  <c r="Y515" i="4"/>
  <c r="Y516" i="4"/>
  <c r="Y517" i="4"/>
  <c r="Y518" i="4"/>
  <c r="Y519" i="4"/>
  <c r="Y520" i="4"/>
  <c r="Y521" i="4"/>
  <c r="Y522" i="4"/>
  <c r="Y523" i="4"/>
  <c r="Y524" i="4"/>
  <c r="Y525" i="4"/>
  <c r="Y526" i="4"/>
  <c r="Y527" i="4"/>
  <c r="Y528" i="4"/>
  <c r="Y529" i="4"/>
  <c r="Y530" i="4"/>
  <c r="Y531" i="4"/>
  <c r="Y532" i="4"/>
  <c r="Y533" i="4"/>
  <c r="Y534" i="4"/>
  <c r="Y535" i="4"/>
  <c r="Y536" i="4"/>
  <c r="Y537" i="4"/>
  <c r="Y538" i="4"/>
  <c r="Y539" i="4"/>
  <c r="Y540" i="4"/>
  <c r="Y541" i="4"/>
  <c r="Y542" i="4"/>
  <c r="Y543" i="4"/>
  <c r="Y544" i="4"/>
  <c r="Y545" i="4"/>
  <c r="Y546" i="4"/>
  <c r="Y547" i="4"/>
  <c r="Y548" i="4"/>
  <c r="Y549" i="4"/>
  <c r="Y550" i="4"/>
  <c r="Y551" i="4"/>
  <c r="Y552" i="4"/>
  <c r="Y553" i="4"/>
  <c r="Y554" i="4"/>
  <c r="Y555" i="4"/>
  <c r="Y556" i="4"/>
  <c r="Y557" i="4"/>
  <c r="Y558" i="4"/>
  <c r="Y559" i="4"/>
  <c r="Y560" i="4"/>
  <c r="Y561" i="4"/>
  <c r="Y562" i="4"/>
  <c r="Y563" i="4"/>
  <c r="Y564" i="4"/>
  <c r="Y565" i="4"/>
  <c r="Y566" i="4"/>
  <c r="Y567" i="4"/>
  <c r="Y568" i="4"/>
  <c r="Y569" i="4"/>
  <c r="Y570" i="4"/>
  <c r="Y571" i="4"/>
  <c r="Y572" i="4"/>
  <c r="Y573" i="4"/>
  <c r="Y574" i="4"/>
  <c r="Y575" i="4"/>
  <c r="Y576" i="4"/>
  <c r="Y577" i="4"/>
  <c r="Y578" i="4"/>
  <c r="Y579" i="4"/>
  <c r="Y580" i="4"/>
  <c r="Y581" i="4"/>
  <c r="Y582" i="4"/>
  <c r="Y583" i="4"/>
  <c r="Y584" i="4"/>
  <c r="Y585" i="4"/>
  <c r="Y586" i="4"/>
  <c r="Y587" i="4"/>
  <c r="Y588" i="4"/>
  <c r="Y589" i="4"/>
  <c r="Y590" i="4"/>
  <c r="Y591" i="4"/>
  <c r="Y592" i="4"/>
  <c r="Y593" i="4"/>
  <c r="Y594" i="4"/>
  <c r="Y595" i="4"/>
  <c r="Y596" i="4"/>
  <c r="Y597" i="4"/>
  <c r="Y598" i="4"/>
  <c r="Y599" i="4"/>
  <c r="Y600" i="4"/>
  <c r="Y601" i="4"/>
  <c r="Y602" i="4"/>
  <c r="Y603" i="4"/>
  <c r="Y604" i="4"/>
  <c r="Y605" i="4"/>
  <c r="Y606" i="4"/>
  <c r="Y607" i="4"/>
  <c r="Y608" i="4"/>
  <c r="Y609" i="4"/>
  <c r="Y610" i="4"/>
  <c r="Y611" i="4"/>
  <c r="Y612" i="4"/>
  <c r="Y613" i="4"/>
  <c r="Y614" i="4"/>
  <c r="Y615" i="4"/>
  <c r="Y616" i="4"/>
  <c r="Y617" i="4"/>
  <c r="Y618" i="4"/>
  <c r="Y619" i="4"/>
  <c r="Y620" i="4"/>
  <c r="Y621" i="4"/>
  <c r="Y622" i="4"/>
  <c r="Y623" i="4"/>
  <c r="Y624" i="4"/>
  <c r="Y625" i="4"/>
  <c r="Y626" i="4"/>
  <c r="Y627" i="4"/>
  <c r="Y628" i="4"/>
  <c r="Y629" i="4"/>
  <c r="Y630" i="4"/>
  <c r="Y631" i="4"/>
  <c r="Y632" i="4"/>
  <c r="Y633" i="4"/>
  <c r="Y634" i="4"/>
  <c r="Y635" i="4"/>
  <c r="Y636" i="4"/>
  <c r="Y637" i="4"/>
  <c r="Y638" i="4"/>
  <c r="Y639" i="4"/>
  <c r="Y640" i="4"/>
  <c r="Y641" i="4"/>
  <c r="Y642" i="4"/>
  <c r="Y643" i="4"/>
  <c r="Y644" i="4"/>
  <c r="Y645" i="4"/>
  <c r="Y646" i="4"/>
  <c r="Y647" i="4"/>
  <c r="Y648" i="4"/>
  <c r="Y649" i="4"/>
  <c r="Y650" i="4"/>
  <c r="Y651" i="4"/>
  <c r="Y652" i="4"/>
  <c r="Y653" i="4"/>
  <c r="Y654" i="4"/>
  <c r="Y655" i="4"/>
  <c r="Y656" i="4"/>
  <c r="Y657" i="4"/>
  <c r="Y658" i="4"/>
  <c r="Y659" i="4"/>
  <c r="Y660" i="4"/>
  <c r="Y661" i="4"/>
  <c r="Y662" i="4"/>
  <c r="Y663" i="4"/>
  <c r="Y664" i="4"/>
  <c r="Y665" i="4"/>
  <c r="Y666" i="4"/>
  <c r="Y667" i="4"/>
  <c r="Y668" i="4"/>
  <c r="Y669" i="4"/>
  <c r="Y670" i="4"/>
  <c r="Y671" i="4"/>
  <c r="Y672" i="4"/>
  <c r="Y673" i="4"/>
  <c r="Y674" i="4"/>
  <c r="Y675" i="4"/>
  <c r="Y676" i="4"/>
  <c r="Y677" i="4"/>
  <c r="Y678" i="4"/>
  <c r="Y679" i="4"/>
  <c r="Y680" i="4"/>
  <c r="Y681" i="4"/>
  <c r="Y682" i="4"/>
  <c r="Y683" i="4"/>
  <c r="Y684" i="4"/>
  <c r="Y685" i="4"/>
  <c r="Y686" i="4"/>
  <c r="Y687" i="4"/>
  <c r="Y688" i="4"/>
  <c r="Y689" i="4"/>
  <c r="Y690" i="4"/>
  <c r="Y691" i="4"/>
  <c r="Y692" i="4"/>
  <c r="Y693" i="4"/>
  <c r="Y694" i="4"/>
  <c r="Y695" i="4"/>
  <c r="Y696" i="4"/>
  <c r="Y697" i="4"/>
  <c r="Y698" i="4"/>
  <c r="Y699" i="4"/>
  <c r="Y700" i="4"/>
  <c r="Y701" i="4"/>
  <c r="Y702" i="4"/>
  <c r="Y703" i="4"/>
  <c r="Y704" i="4"/>
  <c r="Y705" i="4"/>
  <c r="Y706" i="4"/>
  <c r="Y707" i="4"/>
  <c r="Y708" i="4"/>
  <c r="Y709" i="4"/>
  <c r="Y710" i="4"/>
  <c r="Y711" i="4"/>
  <c r="Y712" i="4"/>
  <c r="Y713" i="4"/>
  <c r="Y714" i="4"/>
  <c r="Y715" i="4"/>
  <c r="Y716" i="4"/>
  <c r="Y717" i="4"/>
  <c r="Y718" i="4"/>
  <c r="Y719" i="4"/>
  <c r="Y720" i="4"/>
  <c r="Y721" i="4"/>
  <c r="Y722" i="4"/>
  <c r="Y723" i="4"/>
  <c r="Y724" i="4"/>
  <c r="Y725" i="4"/>
  <c r="Y726" i="4"/>
  <c r="Y727" i="4"/>
  <c r="Y728" i="4"/>
  <c r="Y729" i="4"/>
  <c r="Y730" i="4"/>
  <c r="Y731" i="4"/>
  <c r="Y732" i="4"/>
  <c r="Y733" i="4"/>
  <c r="Y734" i="4"/>
  <c r="Y735" i="4"/>
  <c r="Y736" i="4"/>
  <c r="Y737" i="4"/>
  <c r="Y738" i="4"/>
  <c r="Y739" i="4"/>
  <c r="Y740" i="4"/>
  <c r="Y741" i="4"/>
  <c r="Y742" i="4"/>
  <c r="Y743" i="4"/>
  <c r="Y744" i="4"/>
  <c r="Y745" i="4"/>
  <c r="Y746" i="4"/>
  <c r="Y747" i="4"/>
  <c r="Y748" i="4"/>
  <c r="Y749" i="4"/>
  <c r="Y750" i="4"/>
  <c r="Y751" i="4"/>
  <c r="Y752" i="4"/>
  <c r="Y753" i="4"/>
  <c r="Y754" i="4"/>
  <c r="Y755" i="4"/>
  <c r="Y756" i="4"/>
  <c r="Y757" i="4"/>
  <c r="Y758" i="4"/>
  <c r="Y759" i="4"/>
  <c r="Y760" i="4"/>
  <c r="Y761" i="4"/>
  <c r="Y762" i="4"/>
  <c r="Y763" i="4"/>
  <c r="Y764" i="4"/>
  <c r="Y765" i="4"/>
  <c r="Y766" i="4"/>
  <c r="Y767" i="4"/>
  <c r="Y768" i="4"/>
  <c r="Y769" i="4"/>
  <c r="Y770" i="4"/>
  <c r="Y771" i="4"/>
  <c r="Y772" i="4"/>
  <c r="Y773" i="4"/>
  <c r="Y774" i="4"/>
  <c r="Y775" i="4"/>
  <c r="Y776" i="4"/>
  <c r="Y777" i="4"/>
  <c r="Y778" i="4"/>
  <c r="Y779" i="4"/>
  <c r="Y780" i="4"/>
  <c r="Y781" i="4"/>
  <c r="Y782" i="4"/>
  <c r="Y783" i="4"/>
  <c r="Y784" i="4"/>
  <c r="Y785" i="4"/>
  <c r="Y786" i="4"/>
  <c r="Y787" i="4"/>
  <c r="Y788" i="4"/>
  <c r="Y789" i="4"/>
  <c r="Y790" i="4"/>
  <c r="Y791" i="4"/>
  <c r="Y792" i="4"/>
  <c r="Y793" i="4"/>
  <c r="Y794" i="4"/>
  <c r="Y795" i="4"/>
  <c r="Y796" i="4"/>
  <c r="Y797" i="4"/>
  <c r="Y798" i="4"/>
  <c r="Y799" i="4"/>
  <c r="Y800" i="4"/>
  <c r="Y801" i="4"/>
  <c r="Y802" i="4"/>
  <c r="Y803" i="4"/>
  <c r="Y804" i="4"/>
  <c r="Y805" i="4"/>
  <c r="Y806" i="4"/>
  <c r="Y807" i="4"/>
  <c r="Y808" i="4"/>
  <c r="Y809" i="4"/>
  <c r="Y810" i="4"/>
  <c r="Y811" i="4"/>
  <c r="Y812" i="4"/>
  <c r="Y813" i="4"/>
  <c r="Y814" i="4"/>
  <c r="Y815" i="4"/>
  <c r="Y816" i="4"/>
  <c r="Y817" i="4"/>
  <c r="Y818" i="4"/>
  <c r="Y819" i="4"/>
  <c r="Y820" i="4"/>
  <c r="Y821" i="4"/>
  <c r="Y822" i="4"/>
  <c r="Y823" i="4"/>
  <c r="Y824" i="4"/>
  <c r="Y825" i="4"/>
  <c r="Y826" i="4"/>
  <c r="Y827" i="4"/>
  <c r="Y828" i="4"/>
  <c r="Y829" i="4"/>
  <c r="Y830" i="4"/>
  <c r="Y831" i="4"/>
  <c r="Y832" i="4"/>
  <c r="Y833" i="4"/>
  <c r="Y834" i="4"/>
  <c r="Y835" i="4"/>
  <c r="Y836" i="4"/>
  <c r="Y837" i="4"/>
  <c r="Y838" i="4"/>
  <c r="Y839" i="4"/>
  <c r="Y840" i="4"/>
  <c r="Y841" i="4"/>
  <c r="Y842" i="4"/>
  <c r="Y843" i="4"/>
  <c r="Y844" i="4"/>
  <c r="Y845" i="4"/>
  <c r="Y846" i="4"/>
  <c r="Y847" i="4"/>
  <c r="Y848" i="4"/>
  <c r="Y849" i="4"/>
  <c r="Y850" i="4"/>
  <c r="Y851" i="4"/>
  <c r="Y852" i="4"/>
  <c r="Y853" i="4"/>
  <c r="Y854" i="4"/>
  <c r="Y855" i="4"/>
  <c r="Y856" i="4"/>
  <c r="Y857" i="4"/>
  <c r="Y858" i="4"/>
  <c r="Y859" i="4"/>
  <c r="Y860" i="4"/>
  <c r="Y861" i="4"/>
  <c r="Y862" i="4"/>
  <c r="Y863" i="4"/>
  <c r="Y864" i="4"/>
  <c r="Y865" i="4"/>
  <c r="Y866" i="4"/>
  <c r="Y867" i="4"/>
  <c r="Y868" i="4"/>
  <c r="Y869" i="4"/>
  <c r="Y870" i="4"/>
  <c r="Y871" i="4"/>
  <c r="Y872" i="4"/>
  <c r="Y873" i="4"/>
  <c r="Y874" i="4"/>
  <c r="Y875" i="4"/>
  <c r="Y876" i="4"/>
  <c r="Y877" i="4"/>
  <c r="Y878" i="4"/>
  <c r="Y879" i="4"/>
  <c r="Y880" i="4"/>
  <c r="Y881" i="4"/>
  <c r="Y882" i="4"/>
  <c r="Y883" i="4"/>
  <c r="Y884" i="4"/>
  <c r="Y885" i="4"/>
  <c r="Y886" i="4"/>
  <c r="Y887" i="4"/>
  <c r="Y888" i="4"/>
  <c r="Y889" i="4"/>
  <c r="Y890" i="4"/>
  <c r="Y891" i="4"/>
  <c r="Y892" i="4"/>
  <c r="Y893" i="4"/>
  <c r="Y894" i="4"/>
  <c r="Y895" i="4"/>
  <c r="Y896" i="4"/>
  <c r="Y897" i="4"/>
  <c r="Y898" i="4"/>
  <c r="Y899" i="4"/>
  <c r="Y900" i="4"/>
  <c r="Y901" i="4"/>
  <c r="Y902" i="4"/>
  <c r="Y903" i="4"/>
  <c r="Y904" i="4"/>
  <c r="Y905" i="4"/>
  <c r="Y906" i="4"/>
  <c r="Y907" i="4"/>
  <c r="Y908" i="4"/>
  <c r="Y909" i="4"/>
  <c r="Y910" i="4"/>
  <c r="Y911" i="4"/>
  <c r="Y912" i="4"/>
  <c r="Y913" i="4"/>
  <c r="Y914" i="4"/>
  <c r="Y915" i="4"/>
  <c r="Y916" i="4"/>
  <c r="Y917" i="4"/>
  <c r="Y918" i="4"/>
  <c r="Y919" i="4"/>
  <c r="Y920" i="4"/>
  <c r="Y921" i="4"/>
  <c r="Y922" i="4"/>
  <c r="Y923" i="4"/>
  <c r="Y924" i="4"/>
  <c r="Y925" i="4"/>
  <c r="Y926" i="4"/>
  <c r="Y927" i="4"/>
  <c r="Y928" i="4"/>
  <c r="Y929" i="4"/>
  <c r="Y930" i="4"/>
  <c r="Y931" i="4"/>
  <c r="Y932" i="4"/>
  <c r="Y933" i="4"/>
  <c r="Y934" i="4"/>
  <c r="Y935" i="4"/>
  <c r="Y936" i="4"/>
  <c r="Y937" i="4"/>
  <c r="Y938" i="4"/>
  <c r="Y939" i="4"/>
  <c r="Y940" i="4"/>
  <c r="Y941" i="4"/>
  <c r="Y942" i="4"/>
  <c r="Y943" i="4"/>
  <c r="Y944" i="4"/>
  <c r="Y945" i="4"/>
  <c r="Y946" i="4"/>
  <c r="Y947" i="4"/>
  <c r="Y948" i="4"/>
  <c r="Y949" i="4"/>
  <c r="Y950" i="4"/>
  <c r="Y951" i="4"/>
  <c r="Y952" i="4"/>
  <c r="Y953" i="4"/>
  <c r="Y954" i="4"/>
  <c r="Y955" i="4"/>
  <c r="Y956" i="4"/>
  <c r="Y957" i="4"/>
  <c r="Y958" i="4"/>
  <c r="Y959" i="4"/>
  <c r="Y960" i="4"/>
  <c r="Y961" i="4"/>
  <c r="Y962" i="4"/>
  <c r="Y963" i="4"/>
  <c r="Y964" i="4"/>
  <c r="Y965" i="4"/>
  <c r="Y966" i="4"/>
  <c r="Y967" i="4"/>
  <c r="Y968" i="4"/>
  <c r="Y969" i="4"/>
  <c r="Y970" i="4"/>
  <c r="Y971" i="4"/>
  <c r="Y972" i="4"/>
  <c r="Y973" i="4"/>
  <c r="Y974" i="4"/>
  <c r="Y975" i="4"/>
  <c r="Y976" i="4"/>
  <c r="Y977" i="4"/>
  <c r="Y978" i="4"/>
  <c r="Y979" i="4"/>
  <c r="Y980" i="4"/>
  <c r="Y981" i="4"/>
  <c r="Y982" i="4"/>
  <c r="Y983" i="4"/>
  <c r="Y984" i="4"/>
  <c r="Y985" i="4"/>
  <c r="Y986" i="4"/>
  <c r="Y987" i="4"/>
  <c r="Y988" i="4"/>
  <c r="Y989" i="4"/>
  <c r="Y990" i="4"/>
  <c r="Y991" i="4"/>
  <c r="Y992" i="4"/>
  <c r="Y993" i="4"/>
  <c r="Y994" i="4"/>
  <c r="Y995" i="4"/>
  <c r="Y996" i="4"/>
  <c r="Y997" i="4"/>
  <c r="Y998" i="4"/>
  <c r="Y999" i="4"/>
  <c r="Y1000" i="4"/>
  <c r="Y1001" i="4"/>
  <c r="Y1002" i="4"/>
  <c r="Y1003" i="4"/>
  <c r="Y1004" i="4"/>
  <c r="Y1005" i="4"/>
  <c r="Y1006" i="4"/>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X822" i="4"/>
  <c r="X823" i="4"/>
  <c r="X824" i="4"/>
  <c r="X825" i="4"/>
  <c r="X826" i="4"/>
  <c r="X827" i="4"/>
  <c r="X828" i="4"/>
  <c r="X829" i="4"/>
  <c r="X830" i="4"/>
  <c r="X831" i="4"/>
  <c r="X832" i="4"/>
  <c r="X833" i="4"/>
  <c r="X834" i="4"/>
  <c r="X835" i="4"/>
  <c r="X836" i="4"/>
  <c r="X837" i="4"/>
  <c r="X838" i="4"/>
  <c r="X839" i="4"/>
  <c r="X840" i="4"/>
  <c r="X841" i="4"/>
  <c r="X842" i="4"/>
  <c r="X843" i="4"/>
  <c r="X844" i="4"/>
  <c r="X845" i="4"/>
  <c r="X846" i="4"/>
  <c r="X847" i="4"/>
  <c r="X848" i="4"/>
  <c r="X849" i="4"/>
  <c r="X850" i="4"/>
  <c r="X851" i="4"/>
  <c r="X852" i="4"/>
  <c r="X853" i="4"/>
  <c r="X854" i="4"/>
  <c r="X855" i="4"/>
  <c r="X856" i="4"/>
  <c r="X857" i="4"/>
  <c r="X858" i="4"/>
  <c r="X859" i="4"/>
  <c r="X860" i="4"/>
  <c r="X861" i="4"/>
  <c r="X862" i="4"/>
  <c r="X863" i="4"/>
  <c r="X864" i="4"/>
  <c r="X865" i="4"/>
  <c r="X866" i="4"/>
  <c r="X867" i="4"/>
  <c r="X868" i="4"/>
  <c r="X869" i="4"/>
  <c r="X870" i="4"/>
  <c r="X871" i="4"/>
  <c r="X872" i="4"/>
  <c r="X873" i="4"/>
  <c r="X874" i="4"/>
  <c r="X875" i="4"/>
  <c r="X876" i="4"/>
  <c r="X877" i="4"/>
  <c r="X878" i="4"/>
  <c r="X879" i="4"/>
  <c r="X880" i="4"/>
  <c r="X881" i="4"/>
  <c r="X882" i="4"/>
  <c r="X883" i="4"/>
  <c r="X884" i="4"/>
  <c r="X885" i="4"/>
  <c r="X886" i="4"/>
  <c r="X887" i="4"/>
  <c r="X888" i="4"/>
  <c r="X889" i="4"/>
  <c r="X890" i="4"/>
  <c r="X891" i="4"/>
  <c r="X892" i="4"/>
  <c r="X893" i="4"/>
  <c r="X894" i="4"/>
  <c r="X895" i="4"/>
  <c r="X896" i="4"/>
  <c r="X897" i="4"/>
  <c r="X898" i="4"/>
  <c r="X899" i="4"/>
  <c r="X900" i="4"/>
  <c r="X901" i="4"/>
  <c r="X902" i="4"/>
  <c r="X903" i="4"/>
  <c r="X904" i="4"/>
  <c r="X905" i="4"/>
  <c r="X906" i="4"/>
  <c r="X907" i="4"/>
  <c r="X908" i="4"/>
  <c r="X909" i="4"/>
  <c r="X910" i="4"/>
  <c r="X911" i="4"/>
  <c r="X912" i="4"/>
  <c r="X913" i="4"/>
  <c r="X914" i="4"/>
  <c r="X915" i="4"/>
  <c r="X916" i="4"/>
  <c r="X917" i="4"/>
  <c r="X918" i="4"/>
  <c r="X919" i="4"/>
  <c r="X920" i="4"/>
  <c r="X921" i="4"/>
  <c r="X922" i="4"/>
  <c r="X923" i="4"/>
  <c r="X924" i="4"/>
  <c r="X925" i="4"/>
  <c r="X926" i="4"/>
  <c r="X927" i="4"/>
  <c r="X928" i="4"/>
  <c r="X929" i="4"/>
  <c r="X930" i="4"/>
  <c r="X931" i="4"/>
  <c r="X932" i="4"/>
  <c r="X933" i="4"/>
  <c r="X934" i="4"/>
  <c r="X935" i="4"/>
  <c r="X936" i="4"/>
  <c r="X937" i="4"/>
  <c r="X938" i="4"/>
  <c r="X939" i="4"/>
  <c r="X940" i="4"/>
  <c r="X941" i="4"/>
  <c r="X942" i="4"/>
  <c r="X943" i="4"/>
  <c r="X944" i="4"/>
  <c r="X945" i="4"/>
  <c r="X946" i="4"/>
  <c r="X947" i="4"/>
  <c r="X948" i="4"/>
  <c r="X949" i="4"/>
  <c r="X950" i="4"/>
  <c r="X951" i="4"/>
  <c r="X952" i="4"/>
  <c r="X953" i="4"/>
  <c r="X954" i="4"/>
  <c r="X955" i="4"/>
  <c r="X956" i="4"/>
  <c r="X957" i="4"/>
  <c r="X958" i="4"/>
  <c r="X959" i="4"/>
  <c r="X960" i="4"/>
  <c r="X961" i="4"/>
  <c r="X962" i="4"/>
  <c r="X963" i="4"/>
  <c r="X964" i="4"/>
  <c r="X965" i="4"/>
  <c r="X966" i="4"/>
  <c r="X967" i="4"/>
  <c r="X968" i="4"/>
  <c r="X969" i="4"/>
  <c r="X970" i="4"/>
  <c r="X971" i="4"/>
  <c r="X972" i="4"/>
  <c r="X973" i="4"/>
  <c r="X974" i="4"/>
  <c r="X975" i="4"/>
  <c r="X976" i="4"/>
  <c r="X977" i="4"/>
  <c r="X978" i="4"/>
  <c r="X979" i="4"/>
  <c r="X980" i="4"/>
  <c r="X981" i="4"/>
  <c r="X982" i="4"/>
  <c r="X983" i="4"/>
  <c r="X984" i="4"/>
  <c r="X985" i="4"/>
  <c r="X986" i="4"/>
  <c r="X987" i="4"/>
  <c r="X988" i="4"/>
  <c r="X989" i="4"/>
  <c r="X990" i="4"/>
  <c r="X991" i="4"/>
  <c r="X992" i="4"/>
  <c r="X993" i="4"/>
  <c r="X994" i="4"/>
  <c r="X995" i="4"/>
  <c r="X996" i="4"/>
  <c r="X997" i="4"/>
  <c r="X998" i="4"/>
  <c r="X999" i="4"/>
  <c r="X1000" i="4"/>
  <c r="X1001" i="4"/>
  <c r="X1002" i="4"/>
  <c r="X1003" i="4"/>
  <c r="X1004" i="4"/>
  <c r="X1005" i="4"/>
  <c r="X1006"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501" i="4"/>
  <c r="W502" i="4"/>
  <c r="W503" i="4"/>
  <c r="W504" i="4"/>
  <c r="W505" i="4"/>
  <c r="W506" i="4"/>
  <c r="W507" i="4"/>
  <c r="W508" i="4"/>
  <c r="W509" i="4"/>
  <c r="W510" i="4"/>
  <c r="W511" i="4"/>
  <c r="W512" i="4"/>
  <c r="W513" i="4"/>
  <c r="W514" i="4"/>
  <c r="W515" i="4"/>
  <c r="W516" i="4"/>
  <c r="W517" i="4"/>
  <c r="W518" i="4"/>
  <c r="W519" i="4"/>
  <c r="W520" i="4"/>
  <c r="W521" i="4"/>
  <c r="W522" i="4"/>
  <c r="W523" i="4"/>
  <c r="W524" i="4"/>
  <c r="W525" i="4"/>
  <c r="W526" i="4"/>
  <c r="W527" i="4"/>
  <c r="W528" i="4"/>
  <c r="W529" i="4"/>
  <c r="W530" i="4"/>
  <c r="W531" i="4"/>
  <c r="W532" i="4"/>
  <c r="W533" i="4"/>
  <c r="W534" i="4"/>
  <c r="W535" i="4"/>
  <c r="W536" i="4"/>
  <c r="W537" i="4"/>
  <c r="W538" i="4"/>
  <c r="W539" i="4"/>
  <c r="W540" i="4"/>
  <c r="W541" i="4"/>
  <c r="W542" i="4"/>
  <c r="W543" i="4"/>
  <c r="W544" i="4"/>
  <c r="W545" i="4"/>
  <c r="W546" i="4"/>
  <c r="W547" i="4"/>
  <c r="W548" i="4"/>
  <c r="W549" i="4"/>
  <c r="W550" i="4"/>
  <c r="W551" i="4"/>
  <c r="W552" i="4"/>
  <c r="W553" i="4"/>
  <c r="W554" i="4"/>
  <c r="W555" i="4"/>
  <c r="W556" i="4"/>
  <c r="W557" i="4"/>
  <c r="W558" i="4"/>
  <c r="W559" i="4"/>
  <c r="W560" i="4"/>
  <c r="W561" i="4"/>
  <c r="W562" i="4"/>
  <c r="W563" i="4"/>
  <c r="W564" i="4"/>
  <c r="W565" i="4"/>
  <c r="W566" i="4"/>
  <c r="W567" i="4"/>
  <c r="W568" i="4"/>
  <c r="W569" i="4"/>
  <c r="W570" i="4"/>
  <c r="W571" i="4"/>
  <c r="W572" i="4"/>
  <c r="W573" i="4"/>
  <c r="W574" i="4"/>
  <c r="W575" i="4"/>
  <c r="W576" i="4"/>
  <c r="W577" i="4"/>
  <c r="W578" i="4"/>
  <c r="W579" i="4"/>
  <c r="W580" i="4"/>
  <c r="W581" i="4"/>
  <c r="W582" i="4"/>
  <c r="W583" i="4"/>
  <c r="W584" i="4"/>
  <c r="W585" i="4"/>
  <c r="W586" i="4"/>
  <c r="W587" i="4"/>
  <c r="W588" i="4"/>
  <c r="W589" i="4"/>
  <c r="W590" i="4"/>
  <c r="W591" i="4"/>
  <c r="W592" i="4"/>
  <c r="W593" i="4"/>
  <c r="W594" i="4"/>
  <c r="W595" i="4"/>
  <c r="W596" i="4"/>
  <c r="W597" i="4"/>
  <c r="W598" i="4"/>
  <c r="W599" i="4"/>
  <c r="W600" i="4"/>
  <c r="W601" i="4"/>
  <c r="W602" i="4"/>
  <c r="W603" i="4"/>
  <c r="W604" i="4"/>
  <c r="W605" i="4"/>
  <c r="W606" i="4"/>
  <c r="W607" i="4"/>
  <c r="W608" i="4"/>
  <c r="W609" i="4"/>
  <c r="W610" i="4"/>
  <c r="W611" i="4"/>
  <c r="W612" i="4"/>
  <c r="W613" i="4"/>
  <c r="W614" i="4"/>
  <c r="W615" i="4"/>
  <c r="W616" i="4"/>
  <c r="W617" i="4"/>
  <c r="W618" i="4"/>
  <c r="W619" i="4"/>
  <c r="W620" i="4"/>
  <c r="W621" i="4"/>
  <c r="W622" i="4"/>
  <c r="W623" i="4"/>
  <c r="W624" i="4"/>
  <c r="W625" i="4"/>
  <c r="W626" i="4"/>
  <c r="W627" i="4"/>
  <c r="W628" i="4"/>
  <c r="W629" i="4"/>
  <c r="W630" i="4"/>
  <c r="W631" i="4"/>
  <c r="W632" i="4"/>
  <c r="W633" i="4"/>
  <c r="W634" i="4"/>
  <c r="W635" i="4"/>
  <c r="W636" i="4"/>
  <c r="W637" i="4"/>
  <c r="W638" i="4"/>
  <c r="W639" i="4"/>
  <c r="W640" i="4"/>
  <c r="W641" i="4"/>
  <c r="W642" i="4"/>
  <c r="W643" i="4"/>
  <c r="W644" i="4"/>
  <c r="W645" i="4"/>
  <c r="W646" i="4"/>
  <c r="W647" i="4"/>
  <c r="W648" i="4"/>
  <c r="W649" i="4"/>
  <c r="W650" i="4"/>
  <c r="W651" i="4"/>
  <c r="W652" i="4"/>
  <c r="W653" i="4"/>
  <c r="W654" i="4"/>
  <c r="W655" i="4"/>
  <c r="W656" i="4"/>
  <c r="W657" i="4"/>
  <c r="W658" i="4"/>
  <c r="W659" i="4"/>
  <c r="W660" i="4"/>
  <c r="W661" i="4"/>
  <c r="W662" i="4"/>
  <c r="W663" i="4"/>
  <c r="W664" i="4"/>
  <c r="W665" i="4"/>
  <c r="W666" i="4"/>
  <c r="W667" i="4"/>
  <c r="W668" i="4"/>
  <c r="W669" i="4"/>
  <c r="W670" i="4"/>
  <c r="W671" i="4"/>
  <c r="W672" i="4"/>
  <c r="W673" i="4"/>
  <c r="W674" i="4"/>
  <c r="W675" i="4"/>
  <c r="W676" i="4"/>
  <c r="W677" i="4"/>
  <c r="W678" i="4"/>
  <c r="W679" i="4"/>
  <c r="W680" i="4"/>
  <c r="W681" i="4"/>
  <c r="W682" i="4"/>
  <c r="W683" i="4"/>
  <c r="W684" i="4"/>
  <c r="W685" i="4"/>
  <c r="W686" i="4"/>
  <c r="W687" i="4"/>
  <c r="W688" i="4"/>
  <c r="W689" i="4"/>
  <c r="W690" i="4"/>
  <c r="W691" i="4"/>
  <c r="W692" i="4"/>
  <c r="W693" i="4"/>
  <c r="W694" i="4"/>
  <c r="W695" i="4"/>
  <c r="W696" i="4"/>
  <c r="W697" i="4"/>
  <c r="W698" i="4"/>
  <c r="W699" i="4"/>
  <c r="W700" i="4"/>
  <c r="W701" i="4"/>
  <c r="W702" i="4"/>
  <c r="W703" i="4"/>
  <c r="W704" i="4"/>
  <c r="W705" i="4"/>
  <c r="W706" i="4"/>
  <c r="W707" i="4"/>
  <c r="W708" i="4"/>
  <c r="W709" i="4"/>
  <c r="W710" i="4"/>
  <c r="W711" i="4"/>
  <c r="W712" i="4"/>
  <c r="W713" i="4"/>
  <c r="W714" i="4"/>
  <c r="W715" i="4"/>
  <c r="W716" i="4"/>
  <c r="W717" i="4"/>
  <c r="W718" i="4"/>
  <c r="W719" i="4"/>
  <c r="W720" i="4"/>
  <c r="W721" i="4"/>
  <c r="W722" i="4"/>
  <c r="W723" i="4"/>
  <c r="W724" i="4"/>
  <c r="W725" i="4"/>
  <c r="W726" i="4"/>
  <c r="W727" i="4"/>
  <c r="W728" i="4"/>
  <c r="W729" i="4"/>
  <c r="W730" i="4"/>
  <c r="W731" i="4"/>
  <c r="W732" i="4"/>
  <c r="W733" i="4"/>
  <c r="W734" i="4"/>
  <c r="W735" i="4"/>
  <c r="W736" i="4"/>
  <c r="W737" i="4"/>
  <c r="W738" i="4"/>
  <c r="W739" i="4"/>
  <c r="W740" i="4"/>
  <c r="W741" i="4"/>
  <c r="W742" i="4"/>
  <c r="W743" i="4"/>
  <c r="W744" i="4"/>
  <c r="W745" i="4"/>
  <c r="W746" i="4"/>
  <c r="W747" i="4"/>
  <c r="W748" i="4"/>
  <c r="W749" i="4"/>
  <c r="W750" i="4"/>
  <c r="W751" i="4"/>
  <c r="W752" i="4"/>
  <c r="W753" i="4"/>
  <c r="W754" i="4"/>
  <c r="W755" i="4"/>
  <c r="W756" i="4"/>
  <c r="W757" i="4"/>
  <c r="W758" i="4"/>
  <c r="W759" i="4"/>
  <c r="W760" i="4"/>
  <c r="W761" i="4"/>
  <c r="W762" i="4"/>
  <c r="W763" i="4"/>
  <c r="W764" i="4"/>
  <c r="W765" i="4"/>
  <c r="W766" i="4"/>
  <c r="W767" i="4"/>
  <c r="W768" i="4"/>
  <c r="W769" i="4"/>
  <c r="W770" i="4"/>
  <c r="W771" i="4"/>
  <c r="W772" i="4"/>
  <c r="W773" i="4"/>
  <c r="W774" i="4"/>
  <c r="W775" i="4"/>
  <c r="W776" i="4"/>
  <c r="W777" i="4"/>
  <c r="W778" i="4"/>
  <c r="W779" i="4"/>
  <c r="W780" i="4"/>
  <c r="W781" i="4"/>
  <c r="W782" i="4"/>
  <c r="W783" i="4"/>
  <c r="W784" i="4"/>
  <c r="W785" i="4"/>
  <c r="W786" i="4"/>
  <c r="W787" i="4"/>
  <c r="W788" i="4"/>
  <c r="W789" i="4"/>
  <c r="W790" i="4"/>
  <c r="W791" i="4"/>
  <c r="W792" i="4"/>
  <c r="W793" i="4"/>
  <c r="W794" i="4"/>
  <c r="W795" i="4"/>
  <c r="W796" i="4"/>
  <c r="W797" i="4"/>
  <c r="W798" i="4"/>
  <c r="W799" i="4"/>
  <c r="W800" i="4"/>
  <c r="W801" i="4"/>
  <c r="W802" i="4"/>
  <c r="W803" i="4"/>
  <c r="W804" i="4"/>
  <c r="W805" i="4"/>
  <c r="W806" i="4"/>
  <c r="W807" i="4"/>
  <c r="W808" i="4"/>
  <c r="W809" i="4"/>
  <c r="W810" i="4"/>
  <c r="W811" i="4"/>
  <c r="W812" i="4"/>
  <c r="W813" i="4"/>
  <c r="W814" i="4"/>
  <c r="W815" i="4"/>
  <c r="W816" i="4"/>
  <c r="W817" i="4"/>
  <c r="W818" i="4"/>
  <c r="W819" i="4"/>
  <c r="W820" i="4"/>
  <c r="W821" i="4"/>
  <c r="W822" i="4"/>
  <c r="W823" i="4"/>
  <c r="W824" i="4"/>
  <c r="W825" i="4"/>
  <c r="W826" i="4"/>
  <c r="W827" i="4"/>
  <c r="W828" i="4"/>
  <c r="W829" i="4"/>
  <c r="W830" i="4"/>
  <c r="W831" i="4"/>
  <c r="W832" i="4"/>
  <c r="W833" i="4"/>
  <c r="W834" i="4"/>
  <c r="W835" i="4"/>
  <c r="W836" i="4"/>
  <c r="W837" i="4"/>
  <c r="W838" i="4"/>
  <c r="W839" i="4"/>
  <c r="W840" i="4"/>
  <c r="W841" i="4"/>
  <c r="W842" i="4"/>
  <c r="W843" i="4"/>
  <c r="W844" i="4"/>
  <c r="W845" i="4"/>
  <c r="W846" i="4"/>
  <c r="W847" i="4"/>
  <c r="W848" i="4"/>
  <c r="W849" i="4"/>
  <c r="W850" i="4"/>
  <c r="W851" i="4"/>
  <c r="W852" i="4"/>
  <c r="W853" i="4"/>
  <c r="W854" i="4"/>
  <c r="W855" i="4"/>
  <c r="W856" i="4"/>
  <c r="W857" i="4"/>
  <c r="W858" i="4"/>
  <c r="W859" i="4"/>
  <c r="W860" i="4"/>
  <c r="W861" i="4"/>
  <c r="W862" i="4"/>
  <c r="W863" i="4"/>
  <c r="W864" i="4"/>
  <c r="W865" i="4"/>
  <c r="W866" i="4"/>
  <c r="W867" i="4"/>
  <c r="W868" i="4"/>
  <c r="W869" i="4"/>
  <c r="W870" i="4"/>
  <c r="W871" i="4"/>
  <c r="W872" i="4"/>
  <c r="W873" i="4"/>
  <c r="W874" i="4"/>
  <c r="W875" i="4"/>
  <c r="W876" i="4"/>
  <c r="W877" i="4"/>
  <c r="W878" i="4"/>
  <c r="W879" i="4"/>
  <c r="W880" i="4"/>
  <c r="W881" i="4"/>
  <c r="W882" i="4"/>
  <c r="W883" i="4"/>
  <c r="W884" i="4"/>
  <c r="W885" i="4"/>
  <c r="W886" i="4"/>
  <c r="W887" i="4"/>
  <c r="W888" i="4"/>
  <c r="W889" i="4"/>
  <c r="W890" i="4"/>
  <c r="W891" i="4"/>
  <c r="W892" i="4"/>
  <c r="W893" i="4"/>
  <c r="W894" i="4"/>
  <c r="W895" i="4"/>
  <c r="W896" i="4"/>
  <c r="W897" i="4"/>
  <c r="W898" i="4"/>
  <c r="W899" i="4"/>
  <c r="W900" i="4"/>
  <c r="W901" i="4"/>
  <c r="W902" i="4"/>
  <c r="W903" i="4"/>
  <c r="W904" i="4"/>
  <c r="W905" i="4"/>
  <c r="W906" i="4"/>
  <c r="W907" i="4"/>
  <c r="W908" i="4"/>
  <c r="W909" i="4"/>
  <c r="W910" i="4"/>
  <c r="W911" i="4"/>
  <c r="W912" i="4"/>
  <c r="W913" i="4"/>
  <c r="W914" i="4"/>
  <c r="W915" i="4"/>
  <c r="W916" i="4"/>
  <c r="W917" i="4"/>
  <c r="W918" i="4"/>
  <c r="W919" i="4"/>
  <c r="W920" i="4"/>
  <c r="W921" i="4"/>
  <c r="W922" i="4"/>
  <c r="W923" i="4"/>
  <c r="W924" i="4"/>
  <c r="W925" i="4"/>
  <c r="W926" i="4"/>
  <c r="W927" i="4"/>
  <c r="W928" i="4"/>
  <c r="W929" i="4"/>
  <c r="W930" i="4"/>
  <c r="W931" i="4"/>
  <c r="W932" i="4"/>
  <c r="W933" i="4"/>
  <c r="W934" i="4"/>
  <c r="W935" i="4"/>
  <c r="W936" i="4"/>
  <c r="W937" i="4"/>
  <c r="W938" i="4"/>
  <c r="W939" i="4"/>
  <c r="W940" i="4"/>
  <c r="W941" i="4"/>
  <c r="W942" i="4"/>
  <c r="W943" i="4"/>
  <c r="W944" i="4"/>
  <c r="W945" i="4"/>
  <c r="W946" i="4"/>
  <c r="W947" i="4"/>
  <c r="W948" i="4"/>
  <c r="W949" i="4"/>
  <c r="W950" i="4"/>
  <c r="W951" i="4"/>
  <c r="W952" i="4"/>
  <c r="W953" i="4"/>
  <c r="W954" i="4"/>
  <c r="W955" i="4"/>
  <c r="W956" i="4"/>
  <c r="W957" i="4"/>
  <c r="W958" i="4"/>
  <c r="W959" i="4"/>
  <c r="W960" i="4"/>
  <c r="W961" i="4"/>
  <c r="W962" i="4"/>
  <c r="W963" i="4"/>
  <c r="W964" i="4"/>
  <c r="W965" i="4"/>
  <c r="W966" i="4"/>
  <c r="W967" i="4"/>
  <c r="W968" i="4"/>
  <c r="W969" i="4"/>
  <c r="W970" i="4"/>
  <c r="W971" i="4"/>
  <c r="W972" i="4"/>
  <c r="W973" i="4"/>
  <c r="W974" i="4"/>
  <c r="W975" i="4"/>
  <c r="W976" i="4"/>
  <c r="W977" i="4"/>
  <c r="W978" i="4"/>
  <c r="W979" i="4"/>
  <c r="W980" i="4"/>
  <c r="W981" i="4"/>
  <c r="W982" i="4"/>
  <c r="W983" i="4"/>
  <c r="W984" i="4"/>
  <c r="W985" i="4"/>
  <c r="W986" i="4"/>
  <c r="W987" i="4"/>
  <c r="W988" i="4"/>
  <c r="W989" i="4"/>
  <c r="W990" i="4"/>
  <c r="W991" i="4"/>
  <c r="W992" i="4"/>
  <c r="W993" i="4"/>
  <c r="W994" i="4"/>
  <c r="W995" i="4"/>
  <c r="W996" i="4"/>
  <c r="W997" i="4"/>
  <c r="W998" i="4"/>
  <c r="W999" i="4"/>
  <c r="W1000" i="4"/>
  <c r="W1001" i="4"/>
  <c r="W1002" i="4"/>
  <c r="W1003" i="4"/>
  <c r="W1004" i="4"/>
  <c r="W1005" i="4"/>
  <c r="W1006" i="4"/>
  <c r="O629" i="5"/>
  <c r="W1007" i="4"/>
  <c r="W1008" i="4"/>
  <c r="X1008" i="4" l="1"/>
  <c r="Y1008" i="4" s="1"/>
  <c r="X1007" i="4"/>
  <c r="Y1007" i="4" s="1"/>
  <c r="P629" i="5"/>
  <c r="Q629" i="5" s="1"/>
  <c r="W2" i="4"/>
  <c r="O2" i="5"/>
  <c r="W2" i="3"/>
  <c r="X2" i="3" s="1"/>
  <c r="P2" i="5" l="1"/>
  <c r="Q2" i="5" s="1"/>
  <c r="X2" i="4"/>
  <c r="Y2" i="4" s="1"/>
  <c r="Y2" i="3"/>
</calcChain>
</file>

<file path=xl/sharedStrings.xml><?xml version="1.0" encoding="utf-8"?>
<sst xmlns="http://schemas.openxmlformats.org/spreadsheetml/2006/main" count="6912" uniqueCount="1202">
  <si>
    <t>id</t>
  </si>
  <si>
    <t>Title</t>
  </si>
  <si>
    <t>Date</t>
  </si>
  <si>
    <t>Permalink</t>
  </si>
  <si>
    <t>Research Topics</t>
  </si>
  <si>
    <t>Press Types</t>
  </si>
  <si>
    <t>Categories</t>
  </si>
  <si>
    <t>FY</t>
  </si>
  <si>
    <t>Origin, Evolution and Habitability of Planet Earth: a CIERA Interdisciplinary Colloquium by David Bercovici</t>
  </si>
  <si>
    <t>https://ciera.northwestern.edu/2023/04/04/origin-evolution-and-habitability-of-planet-earth-a-ciera-interdisciplinary-colloquium-by-david-bercovici/</t>
  </si>
  <si>
    <t>Exoplanets &amp; The Solar System</t>
  </si>
  <si>
    <t>CIERA Stories</t>
  </si>
  <si>
    <t>Event|Interdisciplinary</t>
  </si>
  <si>
    <t>Climate of Mars, past and future: a CIERA Interdisciplinary Colloquium by Edwin Kite</t>
  </si>
  <si>
    <t>https://ciera.northwestern.edu/2023/03/28/climate-of-mars-past-and-future-a-ciera-interdisciplinary-colloquium-by-edwin-kite/</t>
  </si>
  <si>
    <t>REU Student Claire Zwicker Wins Chambliss Honorable Mention for Research Poster at AAS</t>
  </si>
  <si>
    <t>https://ciera.northwestern.edu/2023/03/28/reu-student-claire-zwicker-wins-chambliss-honorable-mention-for-research-poster-at-aas/</t>
  </si>
  <si>
    <t>Stellar Dynamics &amp; Stellar Populations</t>
  </si>
  <si>
    <t>Education|Achievement|Interdisciplinary|Data Science &amp; Computing</t>
  </si>
  <si>
    <t>Northwestern to host gravitational-wave researchers from around the globe</t>
  </si>
  <si>
    <t>https://ciera.northwestern.edu/2023/03/08/northwestern-to-host-gravitational-wave-researchers-from-around-the-globe/</t>
  </si>
  <si>
    <t>Gravitational Waves &amp; Multi-Messenger Astronomy</t>
  </si>
  <si>
    <t>Northwestern Press</t>
  </si>
  <si>
    <t>Event</t>
  </si>
  <si>
    <t>Postdoc Anna Childs discusses M-dwarfs on SETI Live Broadcast</t>
  </si>
  <si>
    <t>https://ciera.northwestern.edu/2023/02/16/postdoc-anna-childs-discusses-m-dwarfs-on-seti-live-broadcast/</t>
  </si>
  <si>
    <t>Event|Science|Outreach</t>
  </si>
  <si>
    <t>CIERA Alum Daniel Angl√©s-Alc√°zar wins Cottrell Scholar Award</t>
  </si>
  <si>
    <t>https://ciera.northwestern.edu/2023/02/16/ciera-alum-daniel-angles-alcazar-wins-cottrell-scholar-award/</t>
  </si>
  <si>
    <t>Galaxies &amp; Cosmology</t>
  </si>
  <si>
    <t>Achievement</t>
  </si>
  <si>
    <t>Wen-fai Fong named ‚ÄòRising Star‚Äô by Astronomy Magazine</t>
  </si>
  <si>
    <t>https://ciera.northwestern.edu/2023/02/16/wen-fai-fong-named-rising-star-by-astronomy-magazine/</t>
  </si>
  <si>
    <t>Black Holes &amp; Dead Stars</t>
  </si>
  <si>
    <t>Northwestern Press|External Press</t>
  </si>
  <si>
    <t>Graduate student's photos of green comet featured in major media outlets</t>
  </si>
  <si>
    <t>https://ciera.northwestern.edu/2023/02/03/green-comet-visible-in-the-night-sky-for-first-time-since-stone-age-makes-its-closest-pass-by-earth/</t>
  </si>
  <si>
    <t>External Press</t>
  </si>
  <si>
    <t>Science</t>
  </si>
  <si>
    <t>Watch distant worlds dance around their sun</t>
  </si>
  <si>
    <t>https://ciera.northwestern.edu/2023/01/31/watch-distant-worlds-dance-around-their-sun/</t>
  </si>
  <si>
    <t>Science|Outreach</t>
  </si>
  <si>
    <t>CIERA REU Students Present at 241st Meeting of the AAS</t>
  </si>
  <si>
    <t>https://ciera.northwestern.edu/2023/01/23/ciera-reu-students-present-at-241st-meeting-of-the-aas/</t>
  </si>
  <si>
    <t>Black Holes &amp; Dead Stars|Exoplanets &amp; The Solar System|Galaxies &amp; Cosmology|Gravitational Waves &amp; Multi-Messenger Astronomy|Stellar Dynamics &amp; Stellar Populations</t>
  </si>
  <si>
    <t>Education|Event|Interdisciplinary</t>
  </si>
  <si>
    <t>First exoplanet detected with Gaia satellite found to be undergoing nuclear fusion</t>
  </si>
  <si>
    <t>https://ciera.northwestern.edu/2023/01/18/first-exoplanet-detected-with-gaia-satellite-found-to-be-undergoing-nuclear-fusion/</t>
  </si>
  <si>
    <t>CIERA Stories|External Press</t>
  </si>
  <si>
    <t>Ultracool dwarf binary stars break records</t>
  </si>
  <si>
    <t>https://ciera.northwestern.edu/2023/01/17/ultracool-dwarf-binary-stars-break-records/</t>
  </si>
  <si>
    <t>Life &amp; Death of Stars</t>
  </si>
  <si>
    <t>Research Student Madeline Oh Named a Top 300 Teen Scientist by Regeneron Science Talent Search</t>
  </si>
  <si>
    <t>https://ciera.northwestern.edu/2023/01/13/ciera-research-student-madeline-oh-named-scholar-in-the-regeneron-science-talent-search/</t>
  </si>
  <si>
    <t>Black Holes &amp; Dead Stars|Gravitational Waves &amp; Multi-Messenger Astronomy</t>
  </si>
  <si>
    <t>Education|Achievement</t>
  </si>
  <si>
    <t>Professor Dave Meyer retires after 35 years at Northwestern</t>
  </si>
  <si>
    <t>https://ciera.northwestern.edu/2023/01/11/professor-dave-meyer-retires-after-35-years-at-northwestern/</t>
  </si>
  <si>
    <t>Researchers develop Firefly: an innovation in interactive particle visualization</t>
  </si>
  <si>
    <t>https://ciera.northwestern.edu/2023/01/10/researchers-develop-firefly-an-innovation-in-interactive-particle-visualization/</t>
  </si>
  <si>
    <t>Black Holes &amp; Dead Stars|Exoplanets &amp; The Solar System|Galaxies &amp; Cosmology|Gravitational Waves &amp; Multi-Messenger Astronomy|Life &amp; Death of Stars|Stellar Dynamics &amp; Stellar Populations</t>
  </si>
  <si>
    <t>Education|Outreach|Interdisciplinary|Data Science &amp; Computing</t>
  </si>
  <si>
    <t>Local Group Cluster Search led by CIERA Postdoctoral Fellow Cliff Johnson</t>
  </si>
  <si>
    <t>https://ciera.northwestern.edu/2023/01/06/the-local-group-cluster-search-led-by-ciera-postdoctoral-fellow-cliff-johnson-recently-published-results/</t>
  </si>
  <si>
    <t>Life &amp; Death of Stars|Stellar Dynamics &amp; Stellar Populations</t>
  </si>
  <si>
    <t>Education|Science|Outreach</t>
  </si>
  <si>
    <t>Graduate Student Jillian Rastinejad Spotlighted on NASA Universe</t>
  </si>
  <si>
    <t>https://ciera.northwestern.edu/2023/01/05/ciera-graduate-student-jillian-rastinejad-spotlighted-on-nasa-universe/</t>
  </si>
  <si>
    <t>Gravitational Waves &amp; Multi-Messenger Astronomy|Life &amp; Death of Stars</t>
  </si>
  <si>
    <t>CIERA Interdisciplinary Colloquium: Enectal√≠ Figueroa-Feliciano Presents "Extremely Cool Detectors On a Fireball: Launching the Micro-X Sounding Rocket"</t>
  </si>
  <si>
    <t>https://ciera.northwestern.edu/2022/12/16/ciera-interdisciplinary-colloquium-enectali-figueroa-feliciano-presents-extremely-cool-detectors-on-a-fireball-launching-the-micro-x-sounding-rocket/</t>
  </si>
  <si>
    <t>Black Holes &amp; Dead Stars|Life &amp; Death of Stars</t>
  </si>
  <si>
    <t>REU Site Directors Meeting Led by CIERA's Aaron Geller</t>
  </si>
  <si>
    <t>https://ciera.northwestern.edu/2022/12/08/reu-site-directors-meeting-led-by-ciera-member/</t>
  </si>
  <si>
    <t>Surprise kilonova upends established understanding of long gamma-ray bursts</t>
  </si>
  <si>
    <t>https://ciera.northwestern.edu/2022/12/07/surprise-kilonova-upends-established-understanding-of-long-gamma-ray-bursts/</t>
  </si>
  <si>
    <t>Team with Northwestern astrophysicists competes for $300 million</t>
  </si>
  <si>
    <t>https://ciera.northwestern.edu/2022/11/28/team-with-northwestern-astrophysicists-competes-for-300-million/</t>
  </si>
  <si>
    <t>Achievement|Science</t>
  </si>
  <si>
    <t>Short gamma-ray bursts traced farther into distant universe</t>
  </si>
  <si>
    <t>https://ciera.northwestern.edu/2022/11/21/short-gamma-ray-bursts-traced-farther-into-distant-universe/</t>
  </si>
  <si>
    <t>ALMA Data Reduction Workshop</t>
  </si>
  <si>
    <t>https://ciera.northwestern.edu/2022/11/14/alma-data-reduction-workshop/</t>
  </si>
  <si>
    <t>Education|Event</t>
  </si>
  <si>
    <t>Explore the Cosmos with CIERA</t>
  </si>
  <si>
    <t>https://ciera.northwestern.edu/2022/11/11/explore-the-cosmos-with-ciera/</t>
  </si>
  <si>
    <t>Achievement|Event|Outreach</t>
  </si>
  <si>
    <t>What makes gamma-ray bursts blink on and off?</t>
  </si>
  <si>
    <t>https://ciera.northwestern.edu/2022/11/08/what-makes-gamma-ray-bursts-blink-on-and-off/</t>
  </si>
  <si>
    <t>Carolyn Porco Presents 13th Annual CIERA Public Lecture</t>
  </si>
  <si>
    <t>https://ciera.northwestern.edu/2022/11/07/carolyn-porco-presents-13th-annual-ciera-public-lecture/</t>
  </si>
  <si>
    <t>Event|Outreach</t>
  </si>
  <si>
    <t>CIERA Hosts SEDM &amp; ZTF</t>
  </si>
  <si>
    <t>https://ciera.northwestern.edu/2022/11/04/ciera-hosts-sedm-ztf/</t>
  </si>
  <si>
    <t>CIERA Alum Carl Rodriguez wins Packard Fellowship</t>
  </si>
  <si>
    <t>https://ciera.northwestern.edu/2022/10/20/ciera-alum-carl-rodriguez-wins-packard-fellowship/</t>
  </si>
  <si>
    <t>Gravitational Waves &amp; Multi-Messenger Astronomy|Stellar Dynamics &amp; Stellar Populations</t>
  </si>
  <si>
    <t>Brightest-ever gamma-ray burst breaks records</t>
  </si>
  <si>
    <t>https://ciera.northwestern.edu/2022/10/18/brightest-ever-gamma-ray-burst-breaks-records/</t>
  </si>
  <si>
    <t>Black Holes &amp; Dead Stars|Gravitational Waves &amp; Multi-Messenger Astronomy|Life &amp; Death of Stars</t>
  </si>
  <si>
    <t>The 2023 APS Francis M. Pipkin Award Has Been Given to Andrew Geraci</t>
  </si>
  <si>
    <t>https://ciera.northwestern.edu/2022/10/13/the-2023-aps-francis-m-pipkin-award-has-been-given-to-andrew-geraci/</t>
  </si>
  <si>
    <t>CIERA welcomes DSFP back to Northwestern</t>
  </si>
  <si>
    <t>https://ciera.northwestern.edu/2022/10/12/ciera-welcomes-dsfp-back-to-northwestern/</t>
  </si>
  <si>
    <t>Education|Event|Interdisciplinary|Data Science &amp; Computing</t>
  </si>
  <si>
    <t>REACH 2022 Sessions Back In-Person</t>
  </si>
  <si>
    <t>https://ciera.northwestern.edu/2022/09/16/reach-2022-sessions/</t>
  </si>
  <si>
    <t>Education|Outreach</t>
  </si>
  <si>
    <t>CIERA Postdocs Advance to New Positions</t>
  </si>
  <si>
    <t>https://ciera.northwestern.edu/2022/09/14/ciera-postdocs-advance-to-new-positions-4/</t>
  </si>
  <si>
    <t>REU Welcomed 14 Students to Campus for a Successful 2022 Summer</t>
  </si>
  <si>
    <t>https://ciera.northwestern.edu/2022/09/12/reu-2022/</t>
  </si>
  <si>
    <t>Education|Outreach|Interdisciplinary</t>
  </si>
  <si>
    <t>CIERA Welcomes New Faculty Members: Allison Strom and Jason Wang</t>
  </si>
  <si>
    <t>https://ciera.northwestern.edu/2022/09/06/ciera-welcomes-new-faculty-members-allison-strom-and-jason-wang/</t>
  </si>
  <si>
    <t>Exoplanets &amp; The Solar System|Galaxies &amp; Cosmology</t>
  </si>
  <si>
    <t>RET 2022 Completion of a Successful First Year</t>
  </si>
  <si>
    <t>https://ciera.northwestern.edu/2022/09/01/ret-2022/</t>
  </si>
  <si>
    <t>Northwestern astrophysicist contributes to Webb‚Äôs first exoplanet image</t>
  </si>
  <si>
    <t>https://ciera.northwestern.edu/2022/09/01/northwestern-astrophysicist-contributes-to-webbs-first-exoplanet-image/</t>
  </si>
  <si>
    <t>The Recipient of the 2022 Robert J. Trumpler Award is Dr. Ariadna Murguia Berthier</t>
  </si>
  <si>
    <t>https://ciera.northwestern.edu/2022/08/31/the-recipient-of-the-2022-robert-j-trumpler-award-is-dr-ariadna-murguia-berthier/</t>
  </si>
  <si>
    <t>X-shaped radio galaxies might form more simply than expected</t>
  </si>
  <si>
    <t>https://ciera.northwestern.edu/2022/08/29/x-shaped-radio-galaxies-might-form-more-simply-than-expected/</t>
  </si>
  <si>
    <t>Black Holes &amp; Dead Stars|Galaxies &amp; Cosmology</t>
  </si>
  <si>
    <t>A quick jump into space ‚Äî and back ‚Äî for pictures of ‚Äòstar stuff‚Äô</t>
  </si>
  <si>
    <t>https://ciera.northwestern.edu/2022/08/29/a-quick-jump-into-space-and-back-for-pictures-of-star-stuff/</t>
  </si>
  <si>
    <t>Science|Interdisciplinary</t>
  </si>
  <si>
    <t>LSST observations of tidal disruption events may uncover existence of dark matter particles</t>
  </si>
  <si>
    <t>https://ciera.northwestern.edu/2022/08/12/lsst-observations-of-tidal-disruption-events-may-uncover-existence-of-dark-matter-particles/</t>
  </si>
  <si>
    <t>Women astronomers leading the revolution</t>
  </si>
  <si>
    <t>https://ciera.northwestern.edu/2022/08/11/women-astronomers-leading-the-revolution/</t>
  </si>
  <si>
    <t>Achievement|Outreach</t>
  </si>
  <si>
    <t>Northwestern rocket to image supernova remnant</t>
  </si>
  <si>
    <t>https://ciera.northwestern.edu/2022/08/11/northwestern-rocket-to-image-supernova-remnant/</t>
  </si>
  <si>
    <t>Event|Science</t>
  </si>
  <si>
    <t>Stars determine their own masses</t>
  </si>
  <si>
    <t>https://ciera.northwestern.edu/2022/08/08/stars-determine-their-own-masses/</t>
  </si>
  <si>
    <t>Explosive neutron star merger captured for first time in millimeter light</t>
  </si>
  <si>
    <t>https://ciera.northwestern.edu/2022/08/03/explosive-neutron-star-merger-captured-for-first-time-in-millimeter-light/</t>
  </si>
  <si>
    <t>Northwestern astrophysicists snag early time on James Webb Space Telescope</t>
  </si>
  <si>
    <t>https://ciera.northwestern.edu/2022/07/12/northwestern-astrophysicists-snag-early-time-on-james-webb-space-telescope/</t>
  </si>
  <si>
    <t>Galaxies &amp; Cosmology|Life &amp; Death of Stars</t>
  </si>
  <si>
    <t>CIERA student's paper highlighted by NASA's SOFIA Science Center</t>
  </si>
  <si>
    <t>https://ciera.northwestern.edu/2022/07/08/ciera-students-paper-highlighted-by-nasas-sofia-science-center/</t>
  </si>
  <si>
    <t>Falling stardust, wobbly jets explain blinking gamma ray bursts</t>
  </si>
  <si>
    <t>https://ciera.northwestern.edu/2022/06/29/falling-stardust-wobbly-jets-explain-blinking-gamma-ray-bursts/</t>
  </si>
  <si>
    <t>CIERA Faculty member successfully launches new conference on Intermediate-Mass Black Holes</t>
  </si>
  <si>
    <t>https://ciera.northwestern.edu/2022/06/21/ciera-faculty-member-successfully-launches-new-conference-on-intermediate-mass-black-holes/</t>
  </si>
  <si>
    <t>Black Holes &amp; Dead Stars|Galaxies &amp; Cosmology|Gravitational Waves &amp; Multi-Messenger Astronomy|Life &amp; Death of Stars|Stellar Dynamics &amp; Stellar Populations</t>
  </si>
  <si>
    <t>SCOPE Program rising in numbers and influence</t>
  </si>
  <si>
    <t>https://ciera.northwestern.edu/2022/06/21/scope-program-rising-in-numbers-and-influence/</t>
  </si>
  <si>
    <t>Education|Interdisciplinary</t>
  </si>
  <si>
    <t>Wandering star disrupts stellar nursery</t>
  </si>
  <si>
    <t>https://ciera.northwestern.edu/2022/06/13/wandering-star-disrupts-stellar-nursery/</t>
  </si>
  <si>
    <t>May 15 Lunar Eclipse Public Viewing</t>
  </si>
  <si>
    <t>https://ciera.northwestern.edu/2022/06/08/may-15-lunar-eclipse-public-viewing/</t>
  </si>
  <si>
    <t>Alex Gurvich Wins Northwestern's Data Visualization Contest</t>
  </si>
  <si>
    <t>https://ciera.northwestern.edu/2022/06/07/alex-gurvich-wins-northwesterns-data-visualization-contest/</t>
  </si>
  <si>
    <t>Achievement|Data Science &amp; Computing</t>
  </si>
  <si>
    <t>CIERA Researchers Quoted in Sky &amp; Telescope June Cover Story</t>
  </si>
  <si>
    <t>https://ciera.northwestern.edu/2022/06/01/ciera-researchers-quoted-in-sky-telescope-june-cover-story/</t>
  </si>
  <si>
    <t>CIERA'S Inaugural Astronomy Night Out</t>
  </si>
  <si>
    <t>https://ciera.northwestern.edu/2022/05/20/cieras-inaugural-astronomy-night-out/</t>
  </si>
  <si>
    <t>Tarraneh Eftekhari Named NASA Einstein Fellow</t>
  </si>
  <si>
    <t>https://ciera.northwestern.edu/2022/05/03/tarraneh-eftekhari-named-nasa-einstein-fellow/</t>
  </si>
  <si>
    <t>Erin Cox Awarded NSF MPS-Ascend Fellowship</t>
  </si>
  <si>
    <t>https://ciera.northwestern.edu/2022/04/29/erin-cox-awarded-nsf-mps-ascend-fellowship/</t>
  </si>
  <si>
    <t>Dying Stars‚Äô Cocoons Might Explain Fast Blue Optical Transients</t>
  </si>
  <si>
    <t>https://ciera.northwestern.edu/2022/04/20/dying-stars-cocoons-might-explain-fast-blue-optical-transients/</t>
  </si>
  <si>
    <t>ALMA Community Day</t>
  </si>
  <si>
    <t>https://ciera.northwestern.edu/2022/04/18/alma-community-day/</t>
  </si>
  <si>
    <t>Black Holes &amp; Dead Stars|Exoplanets &amp; The Solar System</t>
  </si>
  <si>
    <t>Achievement|Event</t>
  </si>
  <si>
    <t>Five New Postdoctoral Researchers Join CIERA</t>
  </si>
  <si>
    <t>https://ciera.northwestern.edu/2022/04/08/five-new-postdoctoral-researchers-join-ciera/</t>
  </si>
  <si>
    <t>Monica Gallegos Garcia Selected for 2022 Bouchet Honor Society</t>
  </si>
  <si>
    <t>https://ciera.northwestern.edu/2022/04/06/monica-gallegos-garcia-selected-for-2022-bouchet-honor-society/</t>
  </si>
  <si>
    <t>CIERA Astronomers Travel to Mexico to Install TolTEC Camera</t>
  </si>
  <si>
    <t>https://ciera.northwestern.edu/2022/04/06/ciera-astronomers-travel-to-mexico-to-install-toltec-camera/</t>
  </si>
  <si>
    <t>Ariadna Murguia Berthier Top 3 Finalist for AAS HEAD Dissertation Prize</t>
  </si>
  <si>
    <t>https://ciera.northwestern.edu/2022/04/01/ariadna-murguia-berthier-top-3-finalist-for-aas-head-dissertation-prize/</t>
  </si>
  <si>
    <t>Black Holes &amp; Dead Stars|Stellar Dynamics &amp; Stellar Populations</t>
  </si>
  <si>
    <t>CIERA High School Researcher is Regeneron National Science Talent Search Grand Prize Winner</t>
  </si>
  <si>
    <t>https://ciera.northwestern.edu/2022/03/16/ciera-high-school-research-is-regeneron-national-science-talent-search-grand-prize-winner/</t>
  </si>
  <si>
    <t>Education|Achievement|Outreach</t>
  </si>
  <si>
    <t>Kilonova afterglow potentially spotted for first time</t>
  </si>
  <si>
    <t>https://ciera.northwestern.edu/2022/02/28/kilonova-afterglow-potentially-spotted-for-first-time/</t>
  </si>
  <si>
    <t>Conference in snowy Aspen brings astrophysicists together</t>
  </si>
  <si>
    <t>https://ciera.northwestern.edu/2022/02/24/conference-in-snowy-aspen-brings-astrophysicists-together/</t>
  </si>
  <si>
    <t>Black Holes &amp; Dead Stars|Gravitational Waves &amp; Multi-Messenger Astronomy|Stellar Dynamics &amp; Stellar Populations</t>
  </si>
  <si>
    <t>High School Student and CIERA Postdoctoral Fellow Mentor Publish Star Formation Simulation Research</t>
  </si>
  <si>
    <t>https://ciera.northwestern.edu/2022/02/23/high-school-student-and-ciera-postdoctoral-fellow-mentor-publish-star-formation-simulation-research/</t>
  </si>
  <si>
    <t>Education|Science|Outreach|Data Science &amp; Computing</t>
  </si>
  <si>
    <t>Wen-fai Fong named Sloan Research Fellow</t>
  </si>
  <si>
    <t>https://ciera.northwestern.edu/2022/02/15/six-northwestern-professors-named-sloan-research-fellows/</t>
  </si>
  <si>
    <t>Wen-fai Fong receives Cottrell Scholar Award</t>
  </si>
  <si>
    <t>https://ciera.northwestern.edu/2022/02/09/wen-fai-fong-receives-cottrell-scholar-award/</t>
  </si>
  <si>
    <t>Nearly 1,000 mysterious strands revealed in Milky Way‚Äôs center</t>
  </si>
  <si>
    <t>https://ciera.northwestern.edu/2022/01/26/nearly-1000-mysterious-strands-revealed-in-milky-ways-center/</t>
  </si>
  <si>
    <t>Astronomers capture red supergiant‚Äôs death throes</t>
  </si>
  <si>
    <t>https://ciera.northwestern.edu/2022/01/06/astronomers-capture-red-supergiants-death-throes/</t>
  </si>
  <si>
    <t>Looking forward to a huge leap in space exploration</t>
  </si>
  <si>
    <t>https://ciera.northwestern.edu/2021/12/17/looking-forward-to-a-huge-leap-in-space-exploration/</t>
  </si>
  <si>
    <t>Black holes of ‚Äòall shapes and sizes‚Äô in new gravitational-wave catalog</t>
  </si>
  <si>
    <t>https://ciera.northwestern.edu/2021/11/08/black-holes-of-all-shapes-and-sizes-in-new-gravitational-wave-catalog/</t>
  </si>
  <si>
    <t>CIERA Research Assistant Professor Giacomo Fragione Receives NASA Grant for LISA Preparatory Science Program</t>
  </si>
  <si>
    <t>https://ciera.northwestern.edu/2021/11/01/ciera-professor-giacomo-fragione-receives-nasa-grant-for-lisa-preparatory-science-program/</t>
  </si>
  <si>
    <t>Phil Plait Presents 12th Annual CIERA Public Lecture</t>
  </si>
  <si>
    <t>https://ciera.northwestern.edu/2021/10/21/phil-plait-presents-12th-annual-ciera-public-lecture/</t>
  </si>
  <si>
    <t>Another Successful CIERA REU Program in the Books!</t>
  </si>
  <si>
    <t>https://ciera.northwestern.edu/2021/10/20/another-successful-ciera-reu-program-in-the-books/</t>
  </si>
  <si>
    <t>REACH Continues to Grow!</t>
  </si>
  <si>
    <t>https://ciera.northwestern.edu/2021/10/20/reach-continues-to-grow/</t>
  </si>
  <si>
    <t>Did a black hole eating a star generate a neutrino? Unlikely, new study shows</t>
  </si>
  <si>
    <t>https://ciera.northwestern.edu/2021/10/20/did-a-black-hole-eating-a-star-generate-a-neutrino-unlikely-new-study-shows/</t>
  </si>
  <si>
    <t>Professor Wen-fai Fong Receives Prestigious Packard Fellowship</t>
  </si>
  <si>
    <t>https://ciera.northwestern.edu/2021/10/14/professor-wen-fai-fong-receives-prestigious-packard-fellowship/</t>
  </si>
  <si>
    <t>Luke Kelley Awarded Cottrell Fellowship</t>
  </si>
  <si>
    <t>https://ciera.northwestern.edu/2021/09/08/luke-kelley-awarded-cottrell-fellowship/</t>
  </si>
  <si>
    <t>CIERA Welcomes New Faculty Member Adam Miller</t>
  </si>
  <si>
    <t>https://ciera.northwestern.edu/2021/09/01/ciera-welcomes-new-faculty-member-adam-miller/</t>
  </si>
  <si>
    <t>CIERA Members Win 2nd Place for JSPG Policy Position Paper</t>
  </si>
  <si>
    <t>https://ciera.northwestern.edu/2021/08/30/ciera-members-win-2nd-place-for-jspg-policy-position-paper/</t>
  </si>
  <si>
    <t>Achievement|Interdisciplinary</t>
  </si>
  <si>
    <t>New simulation shows how galaxies feed their supermassive black holes</t>
  </si>
  <si>
    <t>https://ciera.northwestern.edu/2021/08/17/new-simulation-shows-how-galaxies-feed-their-supermassive-black-holes/</t>
  </si>
  <si>
    <t>Science|Data Science &amp; Computing</t>
  </si>
  <si>
    <t>Social scientists, astrophysicists to probe the Universe‚Äôs deepest mysteries</t>
  </si>
  <si>
    <t>https://ciera.northwestern.edu/2021/08/16/social-scientists-astrophysicists-to-probe-the-universes-deepest-mysteries/</t>
  </si>
  <si>
    <t>Interdisciplinary|Data Science &amp; Computing</t>
  </si>
  <si>
    <t>Astrophysicists detect first black hole-neutron star mergers</t>
  </si>
  <si>
    <t>https://ciera.northwestern.edu/2021/06/29/astrophysicists-detect-first-black-hole-neutron-star-mergers/</t>
  </si>
  <si>
    <t>Intense radio blasts traced to galaxies‚Äô spiral arms</t>
  </si>
  <si>
    <t>https://ciera.northwestern.edu/2021/05/20/intense-radio-blasts-traced-to-galaxies-spiral-arms/</t>
  </si>
  <si>
    <t>Postdoctoral Fellow Mike Grudiƒá Awarded NASA Hubble Fellowship</t>
  </si>
  <si>
    <t>https://ciera.northwestern.edu/2021/05/18/postdoctoral-fellow-mike-grudic-awarded-nasa-hubble-fellowship/</t>
  </si>
  <si>
    <t>Galaxies &amp; Cosmology|Stellar Dynamics &amp; Stellar Populations</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</si>
  <si>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</si>
  <si>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</si>
  <si>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</si>
  <si>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</si>
  <si>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‚ÄòOddball supernova‚Äô appears strangely cool before exploding</t>
  </si>
  <si>
    <t>https://ciera.northwestern.edu/2021/05/05/oddball-supernova-appears-strangely-cool-before-exploding/</t>
  </si>
  <si>
    <t>James Kasting Presents Joint Interdisciplinary Colloquium</t>
  </si>
  <si>
    <t>https://ciera.northwestern.edu/2021/05/03/james-kasting-presents-joint-interdisciplinary-colloquium/</t>
  </si>
  <si>
    <t>Gamma-Ray Burst Studied by CIERA Astronomers Challenges Traditional Classification of GRBs</t>
  </si>
  <si>
    <t>https://ciera.northwestern.edu/2021/04/28/gamma-ray-burst-studied-by-ciera-astronomers-challenges-traditional-classification-of-grbs/</t>
  </si>
  <si>
    <t>Vicky Kalogera Elected to American Academy of Arts and Sciences</t>
  </si>
  <si>
    <t>https://ciera.northwestern.edu/2021/04/23/vicky-kalogera-elected-to-american-academy-of-arts-and-sciences/</t>
  </si>
  <si>
    <t>NSF Graduate Fellowships Awarded to Astronomy Students</t>
  </si>
  <si>
    <t>https://ciera.northwestern.edu/2021/04/19/nsf-graduate-research-fellowships-2021/</t>
  </si>
  <si>
    <t>American Physical Society Elects Professors Margutti and Larson to Committees</t>
  </si>
  <si>
    <t>https://ciera.northwestern.edu/2021/04/17/american-physical-society-elects-professors-margutti-and-larson-to-committees/</t>
  </si>
  <si>
    <t>Vicky Kalogera Named 2021 Guggenheim Fellow</t>
  </si>
  <si>
    <t>https://ciera.northwestern.edu/2021/04/12/vicky-kalogera-named-2021-guggenheim-fellow/</t>
  </si>
  <si>
    <t>200+ International Scientists Attend Virtual Conference on Triple Evolution &amp; Dynamics</t>
  </si>
  <si>
    <t>https://ciera.northwestern.edu/2021/04/02/200-international-scientists-attend-virtual-conference-on-triple-evolution-dynamics/</t>
  </si>
  <si>
    <t>New Issue of ‚ÄúLIGO Magazine‚Äù Features Gravitational Wave Article by Eve Chase</t>
  </si>
  <si>
    <t>https://ciera.northwestern.edu/2021/03/25/new-issue-of-ligo-magazine-features-gravitational-wave-article-by-eve-chase/</t>
  </si>
  <si>
    <t>Prof. Fong Receives NSF Honor for Young Faculty</t>
  </si>
  <si>
    <t>https://ciera.northwestern.edu/2021/03/24/prof-fong-receives-nsf-honor-for-young-faculty/</t>
  </si>
  <si>
    <t>Welcome New CIERA Postdoctoral Researchers</t>
  </si>
  <si>
    <t>https://ciera.northwestern.edu/2021/03/18/welcome-new-ciera-postdoctoral-researchers/</t>
  </si>
  <si>
    <t>Major Award for Gravitational Wave Researcher Christopher Berry</t>
  </si>
  <si>
    <t>https://ciera.northwestern.edu/2021/03/15/major-award-for-gravitational-wave-researcher-christopher-berry/</t>
  </si>
  <si>
    <t>New Kind of Space Explosion Reveals the Birth of a Black Hole</t>
  </si>
  <si>
    <t>https://ciera.northwestern.edu/2021/03/12/new-kind-of-space-explosion-reveals-the-birth-of-a-black-hole/</t>
  </si>
  <si>
    <t>Growing Inventory of Black Holes Offers a Radical Probe of the Cosmos</t>
  </si>
  <si>
    <t>https://ciera.northwestern.edu/2021/02/18/growing-inventory-of-black-holes-offers-a-radical-probe-of-the-cosmos/</t>
  </si>
  <si>
    <t>CIERA Astronomy LIVE Debuts on YouTube</t>
  </si>
  <si>
    <t>https://ciera.northwestern.edu/2021/02/01/ciera-astronomy-live-debuts-on-youtube/</t>
  </si>
  <si>
    <t>Black Holes &amp; Dead Stars|Exoplanets &amp; The Solar System|Life &amp; Death of Stars</t>
  </si>
  <si>
    <t>‚ÄòUnicorn‚Äô Discovery Points to a New Population of Black Holes</t>
  </si>
  <si>
    <t>https://ciera.northwestern.edu/2021/01/28/unicorn-discovery-points-to-a-new-population-of-black-holes/</t>
  </si>
  <si>
    <t>String of Stars in Milky Way are Related</t>
  </si>
  <si>
    <t>https://ciera.northwestern.edu/2021/01/15/string-of-stars-in-milky-way-are-related/</t>
  </si>
  <si>
    <t>Faucher-Gigu√®re Named Highly Cited Researcher for Second Year</t>
  </si>
  <si>
    <t>https://ciera.northwestern.edu/2020/12/21/faucher-giguere-named-highly-cited-researcher-for-second-year/</t>
  </si>
  <si>
    <t>The Upside of Volatile Space Weather</t>
  </si>
  <si>
    <t>https://ciera.northwestern.edu/2020/12/21/the-upside-of-volatile-space-weather/</t>
  </si>
  <si>
    <t>Planets to appear nearly aligned creating ‚ÄòChristmas star‚Äô last widely visible 800 years ago</t>
  </si>
  <si>
    <t>https://ciera.northwestern.edu/2020/12/14/christmas-star/</t>
  </si>
  <si>
    <t>Outreach</t>
  </si>
  <si>
    <t>Andr√© de Gouv√™a Selected as 2020 AAAS Fellow</t>
  </si>
  <si>
    <t>https://ciera.northwestern.edu/2020/11/30/de-gouvea-2020-aaas-fellow/</t>
  </si>
  <si>
    <t>Rare Short Gamma-ray Burst Discovered in Galaxy Cluster</t>
  </si>
  <si>
    <t>https://ciera.northwestern.edu/2020/11/23/rare-short-gamma-ray-burst-discovered-in-galaxy-cluster/</t>
  </si>
  <si>
    <t>Galaxies &amp; Cosmology|Life &amp; Death of Stars|Stellar Dynamics &amp; Stellar Populations</t>
  </si>
  <si>
    <t>Supercomputing Time Awarded for Third Year to Sasha Tchekhovskoy</t>
  </si>
  <si>
    <t>https://ciera.northwestern.edu/2020/11/16/supercomputing-time-awarded-for-third-year-to-sasha-tchekhovskoy/</t>
  </si>
  <si>
    <t>NASA's Hubble Sees Unexplained Brightness from Colossal Explosion</t>
  </si>
  <si>
    <t>https://ciera.northwestern.edu/2020/11/12/nasas-hubble-sees-unexplained-brightness-from-colossal-explosion/</t>
  </si>
  <si>
    <t>Shane Larson Presents Virtual Public Lecture on the Milky Way</t>
  </si>
  <si>
    <t>https://ciera.northwestern.edu/2020/11/03/shane-larson-presents-virtual-public-lecture-on-the-milky-way/</t>
  </si>
  <si>
    <t>Growing Library of Educational Brochures by CIERA Astronomers</t>
  </si>
  <si>
    <t>https://ciera.northwestern.edu/2020/10/30/growing-library-of-educational-brochures-by-ciera-astronomers/</t>
  </si>
  <si>
    <t>Education</t>
  </si>
  <si>
    <t>Black hole ‚Äòfamily portrait‚Äô is most detailed to date</t>
  </si>
  <si>
    <t>https://ciera.northwestern.edu/2020/10/28/black-hole-family-portrait-is-most-detailed-to-date/</t>
  </si>
  <si>
    <t>Statement of Principles and Values</t>
  </si>
  <si>
    <t>https://ciera.northwestern.edu/2020/10/28/statement-of-principles-and-values/</t>
  </si>
  <si>
    <t>Uncategorized</t>
  </si>
  <si>
    <t>2020 Midwest Relativity Meeting Blue Apple Awarded to Lindsay DeMarchi</t>
  </si>
  <si>
    <t>https://ciera.northwestern.edu/2020/10/25/2020-midwest-relativity-meeting-blue-apple-awarded-to-lindsay-demarchi/</t>
  </si>
  <si>
    <t>The Low Spin of the Milky Way's Supermassive Black Hole</t>
  </si>
  <si>
    <t>https://ciera.northwestern.edu/2020/10/20/the-low-spin-of-the-milky-ways-supermassive-black-hole/</t>
  </si>
  <si>
    <t>Star 'Spaghettified' by a Supermassive Black Hole</t>
  </si>
  <si>
    <t>https://ciera.northwestern.edu/2020/10/12/star-spaghettified-by-a-supermassive-black-hole/</t>
  </si>
  <si>
    <t>Update on Initiative for Social Justice</t>
  </si>
  <si>
    <t>https://ciera.northwestern.edu/2020/10/01/update-on-initiative-for-social-justice/</t>
  </si>
  <si>
    <t>CIERA Postdocs Move on to New Positions</t>
  </si>
  <si>
    <t>https://ciera.northwestern.edu/2020/09/17/ciera-postdocs-move-on-to-new-positions/</t>
  </si>
  <si>
    <t>CIERA Welcomes New Faculty Members Ryan Chornock and Daniel Lecoanet</t>
  </si>
  <si>
    <t>https://ciera.northwestern.edu/2020/09/17/ciera-welcomes-new-faculty-members-ryan-chornock-and-daniel-lecoanet/</t>
  </si>
  <si>
    <t>Observations of Andromeda‚Äôs Halo Test Predictions of Galaxy Formation Models by CIERA Scientists</t>
  </si>
  <si>
    <t>https://ciera.northwestern.edu/2020/09/08/observations-of-andromedas-halo-test-predictions-of-galaxy-formation-models-by-ciera-scientists/</t>
  </si>
  <si>
    <t>Scientists detect first-of-its-kind ‚Äòintermediate-mass‚Äò black hole</t>
  </si>
  <si>
    <t>https://ciera.northwestern.edu/2020/09/02/gw190521/</t>
  </si>
  <si>
    <t>Do Short Gamma-ray Bursts Produce Magnetars? Radio Observations Say: Probably Not</t>
  </si>
  <si>
    <t>https://ciera.northwestern.edu/2020/09/01/do-short-gamma-ray-bursts-produce-magnetars-radio-observations-say-probably-not/</t>
  </si>
  <si>
    <t>CIERA's REU Program Goes Virtual!</t>
  </si>
  <si>
    <t>https://ciera.northwestern.edu/2020/08/31/cieras-reu-program-goes-virtual/</t>
  </si>
  <si>
    <t>CIERA High School Summer Research Experience in Astronomy Goes Remote!</t>
  </si>
  <si>
    <t>https://ciera.northwestern.edu/2020/08/14/high-school-summer-research-experience-in-astronomy-goes-remote/</t>
  </si>
  <si>
    <t>4th Award of LSSTC Enabling Science Grant to CIERA's Aaron Geller</t>
  </si>
  <si>
    <t>https://ciera.northwestern.edu/2020/08/06/4th-lsstc-enabling/</t>
  </si>
  <si>
    <t>Calcium-rich supernova examined with X-rays for first time</t>
  </si>
  <si>
    <t>https://ciera.northwestern.edu/2020/08/05/calcium-rich-supernova-examined-with-x-rays-for-first-time/</t>
  </si>
  <si>
    <t>Spectacular ultraviolet flash may finally explain how white dwarfs explode</t>
  </si>
  <si>
    <t>https://ciera.northwestern.edu/2020/07/23/spectacular-ultraviolet-flash-may-finally-explain-how-white-dwarfs-explode/</t>
  </si>
  <si>
    <t>Short Gamma Ray Burst Leaves Most-distant Optical Afterglow Ever Detected</t>
  </si>
  <si>
    <t>https://ciera.northwestern.edu/2020/07/14/short-gamma-ray-burst-leaves-most-distant-optical-afterglow-ever-detected/</t>
  </si>
  <si>
    <t>New Mystery Merger Detected by LIGO-Virgo</t>
  </si>
  <si>
    <t>https://ciera.northwestern.edu/2020/06/23/gw190814/</t>
  </si>
  <si>
    <t>Undergraduate Kristopher Mortensen Earns Outstanding Thesis Research Award</t>
  </si>
  <si>
    <t>https://ciera.northwestern.edu/2020/06/19/undergraduate-kristopher-mortensen-earns-outstanding-thesis-research-award/</t>
  </si>
  <si>
    <t>CIERA‚Äôs Nancy Aggarwal Wins GWIC-Braccini Thesis Prize</t>
  </si>
  <si>
    <t>https://ciera.northwestern.edu/2020/06/18/cieras-nancy-aggarwal-wins-gwic-braccini-thesis-prize/</t>
  </si>
  <si>
    <t>Launching SCOPE, a Free Online Science Communication Program</t>
  </si>
  <si>
    <t>https://ciera.northwestern.edu/2020/06/12/launching-scope-a-free-online-science-communication-program/</t>
  </si>
  <si>
    <t>Black Lives Matter</t>
  </si>
  <si>
    <t>https://ciera.northwestern.edu/2020/06/06/black-lives-matter/</t>
  </si>
  <si>
    <t>Vicky Kalogera Featured in Crain's 2020 Notable Women in STEM</t>
  </si>
  <si>
    <t>https://ciera.northwestern.edu/2020/06/01/vicky-kalogera-featured-in-crains-2020-notable-women-in-stem/</t>
  </si>
  <si>
    <t>CIERA Ranks #1 for National Postdoctoral Fellowships</t>
  </si>
  <si>
    <t>https://ciera.northwestern.edu/2020/05/29/ciera-ranks-1-for-national-postdoctoral-fellowships/</t>
  </si>
  <si>
    <t>Black Holes &amp; Dead Stars|Galaxies &amp; Cosmology|Stellar Dynamics &amp; Stellar Populations</t>
  </si>
  <si>
    <t>Remote Learning Resources Available on New Reach for the Stars Website</t>
  </si>
  <si>
    <t>https://ciera.northwestern.edu/2020/05/28/remote-learning-resources-available-on-new-reach-for-the-stars-website/</t>
  </si>
  <si>
    <t>CIERA to Host National REU Leaders</t>
  </si>
  <si>
    <t>https://ciera.northwestern.edu/2020/05/27/ciera-to-host-national-reu-leaders/</t>
  </si>
  <si>
    <t>Astrophysicists Capture New Class of Transient Objects</t>
  </si>
  <si>
    <t>https://ciera.northwestern.edu/2020/05/26/astrophysicists-capture-new-class-of-transient-objects/</t>
  </si>
  <si>
    <t>Using Gravitational Waves to Approximate Pi</t>
  </si>
  <si>
    <t>https://ciera.northwestern.edu/2020/05/19/using-gravitational-waves-to-approximate-pi/</t>
  </si>
  <si>
    <t>NASA Einstein Postdoc Kate Alexander Named to Crain‚Äôs ‚Äú20 in Their Twenties‚Äù</t>
  </si>
  <si>
    <t>https://ciera.northwestern.edu/2020/05/09/nasa-einstein-postdoc-kate-alexander-named-to-crains-20-in-their-twenties-for-2020/</t>
  </si>
  <si>
    <t>Undergraduate Andrew Bowen Receives AAS Chambliss Award</t>
  </si>
  <si>
    <t>https://ciera.northwestern.edu/2020/05/07/undergraduate-andrew-bowen-receives-aas-chambliss-award/</t>
  </si>
  <si>
    <t>NASA Hubble Fellowship Awarded to Michael Zevin</t>
  </si>
  <si>
    <t>https://ciera.northwestern.edu/2020/04/21/nasa-hubble-fellowship-awarded-to-michael-zevin/</t>
  </si>
  <si>
    <t>Tom Imperato ‚Äò22P, Devoted CIERA Board of Visitors Member, Dies at 73</t>
  </si>
  <si>
    <t>https://ciera.northwestern.edu/2020/04/21/tom-imperato-22p-devoted-ciera-board-of-visitors-member-dies-at-73/</t>
  </si>
  <si>
    <t>Astronomers Find First-Ever Collision of Black Holes With a Strange Mass Discrepancy</t>
  </si>
  <si>
    <t>https://ciera.northwestern.edu/2020/04/20/astronomers-find-first-ever-collision-of-black-holes-with-a-strange-mass-discrepancy/</t>
  </si>
  <si>
    <t>A Supernova that Outshines All Others</t>
  </si>
  <si>
    <t>https://ciera.northwestern.edu/2020/04/13/a-supernova-that-outshines-all-others/</t>
  </si>
  <si>
    <t>CIERA‚Äôs Sasha Tchekhovskoy to Utilize the Fastest Academic Supercomputer in the World</t>
  </si>
  <si>
    <t>https://ciera.northwestern.edu/2020/04/09/cieras-sasha-tchekhovskoy-to-utilize-the-fastest-academic-supercomputer-in-the-world/</t>
  </si>
  <si>
    <t>Achievement|Science|Data Science &amp; Computing</t>
  </si>
  <si>
    <t>Earthquake Detective Featured by sustainNU in Citizen Science Project Spotlight</t>
  </si>
  <si>
    <t>https://ciera.northwestern.edu/2020/04/09/earthquake-detective-featured-by-sustainnu-in-citizen-science-project-spotlight/</t>
  </si>
  <si>
    <t>Outreach|Interdisciplinary</t>
  </si>
  <si>
    <t>Seven New Postdoctoral Researchers Join CIERA</t>
  </si>
  <si>
    <t>https://ciera.northwestern.edu/2020/04/01/seven-new-postdoctoral-researchers-join-ciera-2/</t>
  </si>
  <si>
    <t>Beverly Lowell Awarded NSF Graduate Research Fellowship</t>
  </si>
  <si>
    <t>https://ciera.northwestern.edu/2020/04/01/beverly-lowell-awarded-nsf-graduate-research-fellowship/</t>
  </si>
  <si>
    <t>Prof. Margutti Receives NSF Honor for Junior Faculty</t>
  </si>
  <si>
    <t>https://ciera.northwestern.edu/2020/03/26/prof-margutti-receives-nsf-honor-for-junior-faculty/</t>
  </si>
  <si>
    <t>Coronavirus/COVID-19 Update</t>
  </si>
  <si>
    <t>https://ciera.northwestern.edu/2020/03/25/coronavirus-update-2/</t>
  </si>
  <si>
    <t>Danat Issa Awarded Frontera Computational Science Fellowship</t>
  </si>
  <si>
    <t>https://ciera.northwestern.edu/2020/03/24/danat-issa-awarded-frontera-computational-science-fellowship/</t>
  </si>
  <si>
    <t>Black Holes &amp; Dead Stars|Galaxies &amp; Cosmology|Gravitational Waves &amp; Multi-Messenger Astronomy|Life &amp; Death of Stars</t>
  </si>
  <si>
    <t>Achievement|Interdisciplinary|Data Science &amp; Computing</t>
  </si>
  <si>
    <t>https://ciera.northwestern.edu/2020/03/13/coronavirus-update/</t>
  </si>
  <si>
    <t>Professors Kalogera and Rasio Named in Legacy Group of AAS Fellows</t>
  </si>
  <si>
    <t>https://ciera.northwestern.edu/2020/02/25/professors-kalogera-and-rasio-named-in-first-group-of-aas-fellows/</t>
  </si>
  <si>
    <t>The Sky is No Limit</t>
  </si>
  <si>
    <t>https://ciera.northwestern.edu/2020/02/19/the-sky-is-no-limit/</t>
  </si>
  <si>
    <t>Galaxies &amp; Cosmology|Gravitational Waves &amp; Multi-Messenger Astronomy|Life &amp; Death of Stars</t>
  </si>
  <si>
    <t>Students from Chicago‚Äôs Off the Street Club Visit Dearborn Observatory</t>
  </si>
  <si>
    <t>https://ciera.northwestern.edu/2020/02/18/students-from-chicagos-off-the-street-club-visit-dearborn-observatory/</t>
  </si>
  <si>
    <t>Event|Outreach|Data Science &amp; Computing</t>
  </si>
  <si>
    <t>Proposal Workshop for New Observatory Held at CIERA</t>
  </si>
  <si>
    <t>https://ciera.northwestern.edu/2020/02/06/proposal-workshop-for-new-observatory-held-at-ciera/</t>
  </si>
  <si>
    <t>Education|Event|Data Science &amp; Computing</t>
  </si>
  <si>
    <t>New Year, New CIERA Open House Event</t>
  </si>
  <si>
    <t>https://ciera.northwestern.edu/2020/01/22/new-year-new-ciera-open-house-event/</t>
  </si>
  <si>
    <t>Event|Outreach|Interdisciplinary|Data Science &amp; Computing</t>
  </si>
  <si>
    <t>This Exoplanet is in a Death Dance with its Star</t>
  </si>
  <si>
    <t>https://ciera.northwestern.edu/2020/01/13/this-exoplanet-is-in-a-death-dance-with-its-star/</t>
  </si>
  <si>
    <t>CIERA REU Students Present at 235th Meeting of the AAS</t>
  </si>
  <si>
    <t>https://ciera.northwestern.edu/2020/01/10/ciera-reu-students-present-at-235th-meeting-of-the-aas/</t>
  </si>
  <si>
    <t>Cosmic ‚Äòcandy cane‚Äô spotted in inner Milky Way</t>
  </si>
  <si>
    <t>https://ciera.northwestern.edu/2019/12/18/cosmic-candy-cane-spotted-in-inner-milky-way/</t>
  </si>
  <si>
    <t>Jeremy Schnittman Presents Interdisciplinary Colloquium Inspired by ‚ÄòInterstellar‚Äô</t>
  </si>
  <si>
    <t>https://ciera.northwestern.edu/2019/12/10/jeremy-schnittman-presents-interdisciplinary-colloquium-inspired-by-interstellar/</t>
  </si>
  <si>
    <t>An experiment that solved a 100-year-old mystery posed by Einstein just got up to 50% more powerful by squeezing light</t>
  </si>
  <si>
    <t>https://ciera.northwestern.edu/2019/12/09/an-experiment-that-solved-a-100-year-old-mystery-posed-by-einstein-just-got-up-to-50-more-powerful-by-squeezing-light/</t>
  </si>
  <si>
    <t>Using Gravitational Waves to See Inside Stars</t>
  </si>
  <si>
    <t>https://ciera.northwestern.edu/2019/12/09/using-gravitational-waves-to-see-inside-stars/</t>
  </si>
  <si>
    <t>First Discoveries by the Young Supernova Experiment</t>
  </si>
  <si>
    <t>https://ciera.northwestern.edu/2019/12/08/first-discoveries-by-the-young-supernova-experiment/</t>
  </si>
  <si>
    <t>Rate of Neutron Star Binary Mergers From Star Clusters Much Lower than Previously Thought</t>
  </si>
  <si>
    <t>https://ciera.northwestern.edu/2019/12/02/rate-of-neutron-star-binary-mergers-much-lower-than-previously-thought/</t>
  </si>
  <si>
    <t>Faucher-Gigu√®re Named Highly Cited Researcher</t>
  </si>
  <si>
    <t>https://ciera.northwestern.edu/2019/12/02/faucher-giguere-named-highly-cited-researcher/</t>
  </si>
  <si>
    <t>CIERA‚Äôs Vicky Kalogera and Farhad Yusef-Zadeh Named AAAS Fellows</t>
  </si>
  <si>
    <t>https://ciera.northwestern.edu/2019/11/26/five-professors-named-aaas-fellows/</t>
  </si>
  <si>
    <t>CIERA Observer's Image Gets "Starlinked"</t>
  </si>
  <si>
    <t>https://ciera.northwestern.edu/2019/11/18/ciera-observers-image-gets-starlinked/</t>
  </si>
  <si>
    <t>"‚ÄòAre we alone?‚Äô Study refines which exoplanets are potentially habitable"</t>
  </si>
  <si>
    <t>https://ciera.northwestern.edu/2019/11/12/are-we-alone-study-refines-which-exoplanets-are-potentially-habitable/</t>
  </si>
  <si>
    <t>CIERA Graduate Student Zachary Hafen Featured by Northwestern TGS</t>
  </si>
  <si>
    <t>https://ciera.northwestern.edu/2019/11/01/ciera-graduate-student-zachary-hafen-featured-by-northwestern-tgs/</t>
  </si>
  <si>
    <t>Supercomputer Award Granted to CIERA‚Äôs Sasha Tchekhovskoy</t>
  </si>
  <si>
    <t>https://ciera.northwestern.edu/2019/11/01/supercomputer-award-granted-to-cieras-sasha-tchekhovskoy/</t>
  </si>
  <si>
    <t>"A star has been flickering for years ‚Äì and researchers think they've figured out why"</t>
  </si>
  <si>
    <t>https://ciera.northwestern.edu/2019/10/31/a-star-has-been-flickering-for-years-and-researchers-think-theyve-figured-out-why/</t>
  </si>
  <si>
    <t>Priya Natarajan Presents 11th Annual CIERA Public Lecture</t>
  </si>
  <si>
    <t>https://ciera.northwestern.edu/2019/10/25/priya-natarajan-presents-11th-annual-ciera-public-lecture/</t>
  </si>
  <si>
    <t>Dearborn Observatory on View at Open House Chicago 2019</t>
  </si>
  <si>
    <t>https://ciera.northwestern.edu/2019/10/21/dearborn-observatory-on-view-at-open-house-chicago-2019/</t>
  </si>
  <si>
    <t>IDEAS Trainees Attend the Grace Hopper Celebration 2019</t>
  </si>
  <si>
    <t>https://ciera.northwestern.edu/2019/10/10/ideas-trainees-attend-the-grace-hopper-celebration-2019/</t>
  </si>
  <si>
    <t>STEM Panel Discussion Held at Lincoln Park High School</t>
  </si>
  <si>
    <t>https://ciera.northwestern.edu/2019/10/08/stem-panel-discussion-held-at-lincoln-park-high-school/</t>
  </si>
  <si>
    <t>Education|Event|Outreach</t>
  </si>
  <si>
    <t>IDEAS &amp; CIERA Host NSF Research Traineeship National Meeting</t>
  </si>
  <si>
    <t>https://ciera.northwestern.edu/2019/09/30/ideas-ciera-host-nsf-research-traineeship-national-meeting/</t>
  </si>
  <si>
    <t>"Giant balloon-like structures discovered at center of Milky Way"</t>
  </si>
  <si>
    <t>https://ciera.northwestern.edu/2019/09/12/giant-balloon-like-structures-discovered-at-center-of-milky-way/</t>
  </si>
  <si>
    <t>"Afterglow sheds light on the nature, origin of neutron star collisions"</t>
  </si>
  <si>
    <t>https://ciera.northwestern.edu/2019/09/09/afterglow-sheds-light-on-the-nature-origin-of-neutron-star-collisions/</t>
  </si>
  <si>
    <t>Professor Raffaella Margutti Named CIFAR Azrieli Global Scholar</t>
  </si>
  <si>
    <t>https://ciera.northwestern.edu/2019/09/05/professor-raffaella-margutti-named-cifar-azrieli-global-scholar/</t>
  </si>
  <si>
    <t>CIERA Alumna Laura Fissel Begins Faculty Appointment at Queen‚Äôs University</t>
  </si>
  <si>
    <t>https://ciera.northwestern.edu/2019/09/01/ciera-alumna-laura-fissel-begins-faculty-appointment-at-queens-university/</t>
  </si>
  <si>
    <t>https://ciera.northwestern.edu/2019/09/01/ciera-postdocs-advance-to-new-positions-3/</t>
  </si>
  <si>
    <t>"Remember that meteor that lit up Chicago‚Äôs night sky two years ago? Scientists are searching for it at the bottom of Lake Michigan."</t>
  </si>
  <si>
    <t>https://ciera.northwestern.edu/2019/08/28/remember-that-meteor-that-lit-up-chicagos-night-sky-two-years-ago-scientists-are-searching-for-it-at-the-bottom-of-lake-michigan/</t>
  </si>
  <si>
    <t>Observational Astronomers Gather for ‚ÄòHot-wiring the Transient Universe VI‚Äô</t>
  </si>
  <si>
    <t>https://ciera.northwestern.edu/2019/08/23/observational-astronomers-gather-for-hot-wiring-the-transient-universe-vi/</t>
  </si>
  <si>
    <t>Event|Interdisciplinary|Data Science &amp; Computing</t>
  </si>
  <si>
    <t>"Astronomers probably just saw a black hole swallow a dead star"</t>
  </si>
  <si>
    <t>https://ciera.northwestern.edu/2019/08/19/astronomers-probably-just-saw-a-black-hole-swallow-a-dead-star/</t>
  </si>
  <si>
    <t>SAGUARO: Using Arizona Telescopes to Observe the Most Dramatic Collisions in Space</t>
  </si>
  <si>
    <t>https://ciera.northwestern.edu/2019/08/15/saguaro-using-arizona-telescopes-to-observe-the-most-dramatic-collisions-in-space/</t>
  </si>
  <si>
    <t>Students in 2019 ‚ÄúHigh School Summer Research Experience in Astronomy‚Äù Present Their Research at Annual Poster Session</t>
  </si>
  <si>
    <t>https://ciera.northwestern.edu/2019/08/02/students-in-2019-high-school-summer-research-experience-in-astronomy-present-their-research-at-annual-poster-session/</t>
  </si>
  <si>
    <t>CIERA Celebrates Apollo 11</t>
  </si>
  <si>
    <t>https://ciera.northwestern.edu/2019/07/26/ciera-celebrates-apollo-11/</t>
  </si>
  <si>
    <t>20 Years of Chandra X-ray Observatory</t>
  </si>
  <si>
    <t>https://ciera.northwestern.edu/2019/07/25/20-years-of-chandra-x-ray-observatory/</t>
  </si>
  <si>
    <t>Grad Student Zach Hafen Turns Summer Camp Students into Gas Molecules</t>
  </si>
  <si>
    <t>https://ciera.northwestern.edu/2019/07/18/grad-student-zach-hafen-turns-summer-camp-students-into-gas-molecules/</t>
  </si>
  <si>
    <t>Northwestern Leads Effort to Detect New Types of Cosmic Events</t>
  </si>
  <si>
    <t>https://ciera.northwestern.edu/2019/07/17/northwestern-leads-effort-to-detect-new-types-of-cosmic-events/</t>
  </si>
  <si>
    <t>Aprajita Hajela Wins NASA Future Investigator Award</t>
  </si>
  <si>
    <t>https://ciera.northwestern.edu/2019/07/10/aprajita-hajela-wins-nasa-future-investigator-award/</t>
  </si>
  <si>
    <t>Monica Gallegos Garcia Wins Ford Foundation Fellowship</t>
  </si>
  <si>
    <t>https://ciera.northwestern.edu/2019/06/21/monica-gallegos-garcia-wins-ford-foundation-fellowship/</t>
  </si>
  <si>
    <t>High School Researcher Takes Gold at State Science Fair</t>
  </si>
  <si>
    <t>https://ciera.northwestern.edu/2019/06/21/high-school-researcher-takes-gold-at-state-science-fair/</t>
  </si>
  <si>
    <t>Fred Rasio Receives 2019 Brouwer Award</t>
  </si>
  <si>
    <t>https://ciera.northwestern.edu/2019/06/20/fred-rasio-receives-2019-brouwer-award/</t>
  </si>
  <si>
    <t>"Astronomers uncover first polarized radio signals from gamma-ray burst"</t>
  </si>
  <si>
    <t>https://ciera.northwestern.edu/2019/06/19/astronomers-uncover-first-polarized-radio-signals-from-gamma-ray-burst/</t>
  </si>
  <si>
    <t>Scientists Gather to Plan Flight of Balloon-borne Telescope</t>
  </si>
  <si>
    <t>https://ciera.northwestern.edu/2019/06/14/scientists-gather-to-plan-flight-of-balloon-borne-telescope/</t>
  </si>
  <si>
    <t>Most-detailed Simulations of Black Hole Solve Longstanding Mystery</t>
  </si>
  <si>
    <t>https://ciera.northwestern.edu/2019/06/06/most-detailed-simulations-of-black-hole-solve-longstanding-mystery/</t>
  </si>
  <si>
    <t>Lindsey Byrne Awarded DOE Graduate Fellowship</t>
  </si>
  <si>
    <t>https://ciera.northwestern.edu/2019/06/04/lindsey-byrne-awarded-doe-graduate-fellowship/</t>
  </si>
  <si>
    <t>Prof. Claude-Andr√© Faucher-Gigu√®re Named 2019 Scialog Fellow</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</si>
  <si>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</si>
  <si>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</si>
  <si>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</si>
  <si>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</si>
  <si>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</si>
  <si>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Announcing CIERA‚Äôs 2019 Summer Undergraduate Researchers</t>
  </si>
  <si>
    <t>https://ciera.northwestern.edu/2019/06/01/announcing-cieras-2019-summer-undergraduate-researchers/</t>
  </si>
  <si>
    <t>The Importance of Out-of-School STEM Learning: a CIERA Interdisciplinary Colloquium by Dennis Schatz</t>
  </si>
  <si>
    <t>https://ciera.northwestern.edu/2019/05/29/the-importance-of-out-of-school-stem-learning-a-ciera-interdisciplinary-colloquium-by-dennis-schatz/</t>
  </si>
  <si>
    <t>Lakota Stellar STEM Weekend</t>
  </si>
  <si>
    <t>https://ciera.northwestern.edu/2019/05/28/lakota-stellar-stem-weekend/</t>
  </si>
  <si>
    <t>Education|Event|Outreach|Interdisciplinary</t>
  </si>
  <si>
    <t>The Challenges and Rewards of Studying Radio Pulsars: a CIERA Interdisciplinary Colloquium by Scott Ransom</t>
  </si>
  <si>
    <t>https://ciera.northwestern.edu/2019/05/13/the-challenges-and-rewards-of-studying-radio-pulsars-a-ciera-interdisciplinary-colloquium-by-scott-ransom/</t>
  </si>
  <si>
    <t>Erik Curiel on Inconsistent Definitions of a Black Hole</t>
  </si>
  <si>
    <t>https://ciera.northwestern.edu/2019/05/09/erik-curiel-on-inconsistent-definitions-of-a-black-hole/</t>
  </si>
  <si>
    <t>LIGO on Lookout for 8 Sources of Gravitational Waves</t>
  </si>
  <si>
    <t>https://ciera.northwestern.edu/2019/05/06/ligo-on-lookout-for-8-sources-of-gravitational-waves/</t>
  </si>
  <si>
    <t>First Gravitational Waves Detection from Neutron Star Colliding with a Black Hole</t>
  </si>
  <si>
    <t>https://ciera.northwestern.edu/2019/05/02/first-gravitational-waves-detection-from-neutron-star-colliding-with-a-black-hole/</t>
  </si>
  <si>
    <t>A New Infrared Camera for Exoplanet Imaging</t>
  </si>
  <si>
    <t>https://ciera.northwestern.edu/2019/04/29/a-new-infrared-camera-for-exoplanet-imaging/</t>
  </si>
  <si>
    <t>CIERA‚Äôs Paul Williams on Studying Star Formation in Antarctica</t>
  </si>
  <si>
    <t>https://ciera.northwestern.edu/2019/04/19/cieras-paul-williams-on-studying-star-formation-in-antarctica/</t>
  </si>
  <si>
    <t>CIERA‚Äôs Aaron Geller Awarded LSSTC Enabling Science Grant to Fund Undergraduate Research</t>
  </si>
  <si>
    <t>https://ciera.northwestern.edu/2019/04/18/cieras-aaron-geller-awarded-lsstc-enabling-science-grant-to-fund-undergraduate-research/</t>
  </si>
  <si>
    <t>CIERA Faculty Comment on World‚Äôs First Image of a Black Hole</t>
  </si>
  <si>
    <t>https://ciera.northwestern.edu/2019/04/16/ciera-faculty-comment-on-worlds-first-image-of-a-black-hole/</t>
  </si>
  <si>
    <t>Gravitational Wave Detectors Spot Two Potential Black Hole Collisions in a Week</t>
  </si>
  <si>
    <t>https://ciera.northwestern.edu/2019/04/15/gravitational-wave-detectors-spot-two-potential-black-hole-collisions-in-a-week/</t>
  </si>
  <si>
    <t>Reach for the Stars Teacher Mark Vondracek Wins Physics Teacher‚Äôs Award</t>
  </si>
  <si>
    <t>https://ciera.northwestern.edu/2019/04/15/reach-for-the-stars-teacher-mark-vondracek-wins-physics-teachers-award/</t>
  </si>
  <si>
    <t>Professor Margutti‚Äôs Paper Among Top Ten in 2018</t>
  </si>
  <si>
    <t>https://ciera.northwestern.edu/2019/04/03/professor-marguttis-paper-among-top-ten-in-2018/</t>
  </si>
  <si>
    <t>Vicky Kalogera Hosts Nobel Laureate Rainer Weiss for 2019 Heilborn Lecture Series</t>
  </si>
  <si>
    <t>https://ciera.northwestern.edu/2019/04/02/vicky-kalogera-hosts-nobel-laureate-rainer-weiss-for-2019-heilborn-lecture-series/</t>
  </si>
  <si>
    <t>Eight New Postdoctoral Researchers Join CIERA</t>
  </si>
  <si>
    <t>https://ciera.northwestern.edu/2019/04/01/eight-new-postdoctoral-researchers-join-ciera/</t>
  </si>
  <si>
    <t>CIERA's Researchers Featured in Gizmodo Ahead of LIGO and Virgo's Resumed Search for Gravitational Waves</t>
  </si>
  <si>
    <t>https://ciera.northwestern.edu/2019/04/01/cieras-researchers-featured-in-gizmodo-ahead-of-ligo-and-virgos-resumed-search-for-gravitational-waves/</t>
  </si>
  <si>
    <t>Sean Raymond on Solar System Formation at CIERA Interdisciplinary Colloquium</t>
  </si>
  <si>
    <t>https://ciera.northwestern.edu/2019/04/01/sean-raymond-on-solar-system-formation-at-ciera-interdisciplinary-colloquium/</t>
  </si>
  <si>
    <t>You‚Äôre Invited! Humans Needed to Help Find Star Clusters</t>
  </si>
  <si>
    <t>https://ciera.northwestern.edu/2019/03/29/youre-invited-humans-needed-to-help-find-star-clusters/</t>
  </si>
  <si>
    <t>Science|Outreach|Interdisciplinary|Data Science &amp; Computing</t>
  </si>
  <si>
    <t>CIERA Graduate Student Michael Zevin Research Featured in AAS Nova</t>
  </si>
  <si>
    <t>https://ciera.northwestern.edu/2019/03/28/ciera-graduate-student-michael-zevin-research-featured-in-aas-nova/</t>
  </si>
  <si>
    <t>Student-led Data Expeditions with "Vault"</t>
  </si>
  <si>
    <t>https://ciera.northwestern.edu/2019/03/25/student-led-data-expeditions-with-vault/</t>
  </si>
  <si>
    <t>Stefan Danilishin Discusses Enhancing Future Gravitational Wave Detectors at CIERA Interdisciplinary Colloquium</t>
  </si>
  <si>
    <t>https://ciera.northwestern.edu/2019/03/15/stefan-danilishin-discusses-enhancing-future-gravitational-wave-detectors-at-ciera-interdisciplinary-colloquium/</t>
  </si>
  <si>
    <t>IDEAS Fellows Contribute to New Seismology Citizen Science Project</t>
  </si>
  <si>
    <t>https://ciera.northwestern.edu/2019/03/13/ideas-fellows-contribute-to-new-seismology-citizen-science-project/</t>
  </si>
  <si>
    <t>Education|Science|Interdisciplinary|Data Science &amp; Computing</t>
  </si>
  <si>
    <t>Local Podcast ‚ÄúInside the Skev‚Äù Explores CIERA Research &amp; Outreach Programs</t>
  </si>
  <si>
    <t>https://ciera.northwestern.edu/2019/03/10/local-podcast-inside-the-skev-explores-ciera-research-outreach-programs/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</si>
  <si>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</si>
  <si>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</si>
  <si>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CIERA Professor Wen-Fai Fong Interviewed by Science News</t>
  </si>
  <si>
    <t>https://ciera.northwestern.edu/2019/02/25/ciera-professor-wen-fai-fong-interviewed-by-science-news/</t>
  </si>
  <si>
    <t>CIERA‚Äôs Erin Cox Wins NRAO Dissertation Award</t>
  </si>
  <si>
    <t>https://ciera.northwestern.edu/2019/02/22/cieras-erin-cox-wins-nrao-dissertation-award/</t>
  </si>
  <si>
    <t>Exoplanets &amp; The Solar System|Life &amp; Death of Stars</t>
  </si>
  <si>
    <t>New York Times Discusses Importance of ‚ÄòBehind the Scenes‚Äô Science</t>
  </si>
  <si>
    <t>https://ciera.northwestern.edu/2019/02/20/new-york-times-discusses-importance-of-behind-the-scenes-science/</t>
  </si>
  <si>
    <t>CIERA‚Äôs Raffaella Margutti Named Sloan Research Fellow</t>
  </si>
  <si>
    <t>https://ciera.northwestern.edu/2019/02/19/cieras-raffaella-margutti-named-sloan-research-fellow/</t>
  </si>
  <si>
    <t>CIERA Astronomers Use Machine Learning to Classify 1.5 Billion Astronomical Sources</t>
  </si>
  <si>
    <t>https://ciera.northwestern.edu/2019/02/07/ciera-astronomers-use-machine-learning-to-classify-1-5-billion-astronomical-sources/</t>
  </si>
  <si>
    <t>Science|Interdisciplinary|Data Science &amp; Computing</t>
  </si>
  <si>
    <t>CIERA REU Students Present at 233rd Meeting of the AAS</t>
  </si>
  <si>
    <t>https://ciera.northwestern.edu/2019/01/31/ciera-reu-students-present-at-233rd-meeting-of-the-aas/</t>
  </si>
  <si>
    <t>Paper by CIERA Postdoc Emily Leiner Highlighted on AAS Nova Site</t>
  </si>
  <si>
    <t>https://ciera.northwestern.edu/2019/01/28/paper-by-ciera-postdoc-emily-leiner-highlighted-on-aas-nova-site/</t>
  </si>
  <si>
    <t>Y.O.U. Students Enjoy Astronomy Visit</t>
  </si>
  <si>
    <t>https://ciera.northwestern.edu/2019/01/22/y-o-u-students-enjoy-astronomy-visit/</t>
  </si>
  <si>
    <t>Northwestern Hosts Regional Conference for Women in Physics</t>
  </si>
  <si>
    <t>https://ciera.northwestern.edu/2019/01/21/northwestern-hosts-regional-conference-for-women-in-physics/</t>
  </si>
  <si>
    <t>Total Lunar Eclipse Captivates on Frigid Night</t>
  </si>
  <si>
    <t>https://ciera.northwestern.edu/2019/01/20/total-lunar-eclipse-captivates-on-frigid-night/</t>
  </si>
  <si>
    <t>Katrin Heitmann Explores the Dark Universe at CIERA Interdisciplinary Colloquium</t>
  </si>
  <si>
    <t>https://ciera.northwestern.edu/2019/01/15/katrin-heitmann-explores-the-dark-universe-at-ciera-interdisciplinary-colloquium/</t>
  </si>
  <si>
    <t>Birth of a Black Hole or Neutron Star Captured for First Time</t>
  </si>
  <si>
    <t>https://ciera.northwestern.edu/2019/01/10/birth-of-a-black-hole-or-neutron-star-captured-for-first-time/</t>
  </si>
  <si>
    <t>Sasha Tchekhovskoy Receives High-Performance Computing Award</t>
  </si>
  <si>
    <t>https://ciera.northwestern.edu/2018/12/18/sasha-tchekhovskoy-receives-high-performance-computing-award/</t>
  </si>
  <si>
    <t>Shane Larson Wins Grand Prize in Instructables Optics Contest</t>
  </si>
  <si>
    <t>https://ciera.northwestern.edu/2018/12/18/shane-larson-wins-grand-prize-in-instructables-optics-contest/</t>
  </si>
  <si>
    <t>Education|Achievement|Outreach|Interdisciplinary</t>
  </si>
  <si>
    <t>‚ÄúGalactic Bloom‚Äù Takes 2nd Place &amp; Student Choice Award in ‚ÄòBeauty of Science‚Äô Contest</t>
  </si>
  <si>
    <t>https://ciera.northwestern.edu/2018/12/13/galactic-bloom-takes-2nd-place-student-choice-award-in-beauty-of-science-contest/</t>
  </si>
  <si>
    <t>Four New Gravitational-Wave Detections</t>
  </si>
  <si>
    <t>https://ciera.northwestern.edu/2018/12/03/four-new-gravitational-wave-detections/</t>
  </si>
  <si>
    <t>Fred Rasio Named AAAS Fellow, for Extraordinary Achievement in Advancing Science</t>
  </si>
  <si>
    <t>https://ciera.northwestern.edu/2018/11/27/fred-rasio-named-aaas-fellow-for-extraordinary-achievement-in-advancing-science/</t>
  </si>
  <si>
    <t>Honorable Mention to Scotty Coughlin: LIGO Laboratory Awards for Excellence</t>
  </si>
  <si>
    <t>https://ciera.northwestern.edu/2018/11/26/honorable-mention-to-scotty-coughlin-ligo-laboratory-awards-for-excellence/</t>
  </si>
  <si>
    <t>Lecture by CIERA Associate Director Shane Larson Featured in 'Astronomy' Magazine</t>
  </si>
  <si>
    <t>https://ciera.northwestern.edu/2018/11/20/lecture-by-ciera-assistant-director-shane-larson-featured-in-astronomy-magazine/</t>
  </si>
  <si>
    <t>CIERA Hosts Dr. Beth Willman as Interdisciplinary Colloquium Speaker</t>
  </si>
  <si>
    <t>https://ciera.northwestern.edu/2018/11/12/ciera-hosts-dr-beth-willman-as-interdisciplinary-colloquium-speaker/</t>
  </si>
  <si>
    <t>CIERA Professor Raffaella Margutti Group Research Featured in Nature Magazine</t>
  </si>
  <si>
    <t>https://ciera.northwestern.edu/2018/11/02/ciera-professor-raffaella-margutti-group-research-featured-in-nature-magazine/</t>
  </si>
  <si>
    <t>CIERA‚Äôs Shane Larson to Give Dome Lecture Streamed World-wide</t>
  </si>
  <si>
    <t>https://ciera.northwestern.edu/2018/10/26/cieras-shane-larson-to-give-dome-lecture-streamed-world-wide/</t>
  </si>
  <si>
    <t>Dearborn Observatory Welcomes 1500 Visitors During Open House Chicago</t>
  </si>
  <si>
    <t>https://ciera.northwestern.edu/2018/10/26/dearborn-observatory-welcomes-1500-visitors-during-open-house-chicago/</t>
  </si>
  <si>
    <t>CIERA Director Vicky Kalogera Presents Annual Public Lecture</t>
  </si>
  <si>
    <t>https://ciera.northwestern.edu/2018/10/25/ciera-director-vicky-kalogera-presents-annual-public-lecture/</t>
  </si>
  <si>
    <t>The Boulder Philharmonic Performs 'Celestial Suite' as Part of 2018-19 Season: Open Space</t>
  </si>
  <si>
    <t>https://ciera.northwestern.edu/2018/10/25/the-boulder-philharmonic-performs-celestial-suite-as-part-of-2018-19-season-open-space/</t>
  </si>
  <si>
    <t>Event|Outreach|Interdisciplinary</t>
  </si>
  <si>
    <t>Phil Nicholson Presents CIERA Interdisciplinary Colloquium, Joint with EPS</t>
  </si>
  <si>
    <t>https://ciera.northwestern.edu/2018/09/27/phil-nicholson-presents-ciera-interdisciplinary-colloquium-joint-with-eps/</t>
  </si>
  <si>
    <t>Astronomers Witness Birth of New Star from Stellar Explosion</t>
  </si>
  <si>
    <t>https://ciera.northwestern.edu/2018/09/20/astronomers-witness-birth-of-new-star-from-stellar-explosion/</t>
  </si>
  <si>
    <t>CIERA Researchers Featured in ‚ÄúHumans of LIGO‚Äù</t>
  </si>
  <si>
    <t>https://ciera.northwestern.edu/2018/09/20/ciera-researchers-featured-in-humans-of-ligo/</t>
  </si>
  <si>
    <t>CIERA Celebrates a Decade Of Discovery</t>
  </si>
  <si>
    <t>https://ciera.northwestern.edu/2018/09/13/ciera-celebrates-aa-decade-of-discovery/</t>
  </si>
  <si>
    <t>Welcome Christopher Berry, Inaugural CIERA Board of Visitors Research Professor</t>
  </si>
  <si>
    <t>https://ciera.northwestern.edu/2018/09/01/welcome-christopher-berry-inaugural-ciera-board-of-visitors-research-professor/</t>
  </si>
  <si>
    <t>2018 REU Students Present Their Research at Annual Poster Session</t>
  </si>
  <si>
    <t>https://ciera.northwestern.edu/2018/08/24/2018-reu-students-present-their-research-at-annual-poster-session/</t>
  </si>
  <si>
    <t>Achievement|Event|Outreach|Interdisciplinary</t>
  </si>
  <si>
    <t>Prof. Mel Ulmer Featured in Sky at Night Magazine</t>
  </si>
  <si>
    <t>https://ciera.northwestern.edu/2018/08/24/prof-mel-ulmer-featured-in-sky-at-night-magazine/</t>
  </si>
  <si>
    <t>Another Way for Stellar-mass Black Holes to Grow Larger</t>
  </si>
  <si>
    <t>https://ciera.northwestern.edu/2018/08/17/another-way-for-stellar-mass-black-holes-to-grow-larger/</t>
  </si>
  <si>
    <t>CIERA‚Äôs Michelle Paulsen to Serve on National Education Leadership Committee</t>
  </si>
  <si>
    <t>https://ciera.northwestern.edu/2018/08/13/cieras-michelle-paulsen-to-serve-on-national-education-leadership-committee/</t>
  </si>
  <si>
    <t>CIERA REU Panel Discussion Explores Careers in Astrophysics</t>
  </si>
  <si>
    <t>https://ciera.northwestern.edu/2018/08/06/ciera-reu-panel-discussion-explores-careers-in-astrophysics/</t>
  </si>
  <si>
    <t>Experts Gather to Discuss the Circumgalactic Medium</t>
  </si>
  <si>
    <t>https://ciera.northwestern.edu/2018/08/04/experts-gather-to-discuss-the-circumgalactic-medium/</t>
  </si>
  <si>
    <t>12th International LISA Symposium Held in Chicago by CIERA &amp; AAS</t>
  </si>
  <si>
    <t>https://ciera.northwestern.edu/2018/07/13/12th-international-lisa-symposium-held-in-chicago-by-ciera-aas/</t>
  </si>
  <si>
    <t>CIERA Sponsors Meeting of Gravitational Wave International Committee</t>
  </si>
  <si>
    <t>https://ciera.northwestern.edu/2018/07/08/ciera-sponsors-meeting-of-gravitational-wave-international-committee/</t>
  </si>
  <si>
    <t>MODEST-18 Hosted by CIERA in Santorini, Greece</t>
  </si>
  <si>
    <t>https://ciera.northwestern.edu/2018/06/29/modest-18-hosted-by-ciera-in-santorini-greece/</t>
  </si>
  <si>
    <t>CIERA Helps Chicago-Area High School Students Host 2018 GirlCon</t>
  </si>
  <si>
    <t>https://ciera.northwestern.edu/2018/06/16/ciera-helps-chicago-area-high-school-students-host-2018-girlcon/</t>
  </si>
  <si>
    <t>https://ciera.northwestern.edu/2018/06/10/ciera-postdocs-advance-to-new-positions/</t>
  </si>
  <si>
    <t>Brice M√©nard Presents CIERA Interdisciplinary Colloquium</t>
  </si>
  <si>
    <t>https://ciera.northwestern.edu/2018/06/04/brice-menard-presents-ciera-interdisciplinary-colloquium/</t>
  </si>
  <si>
    <t>Announcing CIERA's 2018 Summer Undergraduate Researchers</t>
  </si>
  <si>
    <t>https://ciera.northwestern.edu/2018/06/01/announcing-cieras-2018-summer-undergraduate-researchers/</t>
  </si>
  <si>
    <t>Education|Interdisciplinary|Data Science &amp; Computing</t>
  </si>
  <si>
    <t>CIERA Contributes to World Science Festival</t>
  </si>
  <si>
    <t>https://ciera.northwestern.edu/2018/05/30/ciera-contributes-to-world-science-festival/</t>
  </si>
  <si>
    <t>CIERA Partners with The Chicago Network on STEM Event</t>
  </si>
  <si>
    <t>https://ciera.northwestern.edu/2018/05/17/ciera-partners-with-the-chicago-network-on-stem-event/</t>
  </si>
  <si>
    <t>New Study: LISA Observatory to Detect Globular Cluster Binaries in the Milky Way</t>
  </si>
  <si>
    <t>https://ciera.northwestern.edu/2018/05/11/new-study-lisa-observatory-to-detect-globular-cluster-binaries-in-the-milky-way/</t>
  </si>
  <si>
    <t>PhD Student Alex Gurvich Awarded Two Prestigious Fellowships</t>
  </si>
  <si>
    <t>https://ciera.northwestern.edu/2018/05/10/phd-student-alex-gurvich-awarded-two-prestigious-fellowships/</t>
  </si>
  <si>
    <t>https://ciera.northwestern.edu/2018/05/09/seven-new-postdoctoral-researchers-join-ciera/</t>
  </si>
  <si>
    <t>Black Holes &amp; Dead Stars|Exoplanets &amp; The Solar System|Gravitational Waves &amp; Multi-Messenger Astronomy|Life &amp; Death of Stars|Stellar Dynamics &amp; Stellar Populations</t>
  </si>
  <si>
    <t>Professor Vicky Kalogera Elected to National Academy of Sciences</t>
  </si>
  <si>
    <t>https://ciera.northwestern.edu/2018/05/02/professor-vicky-kalogera-elected-to-national-academy-of-sciences/</t>
  </si>
  <si>
    <t>Reach for the Stars Teacher, John Kretsos, Honored with Distinguished Secondary Teacher Award</t>
  </si>
  <si>
    <t>https://ciera.northwestern.edu/2018/05/02/reach-for-the-stars-teacher-john-kretsos-honored-with-distinguished-secondary-teacher-award/</t>
  </si>
  <si>
    <t>REU Student Jos√© Flores Velazquez Presents Research on Capitol Hill</t>
  </si>
  <si>
    <t>https://ciera.northwestern.edu/2018/04/20/reu-student-jose-flores-velazquez-presents-research-on-capitol-hill/</t>
  </si>
  <si>
    <t>Computational Research Day: April 10, 2018</t>
  </si>
  <si>
    <t>https://ciera.northwestern.edu/2018/04/10/computational-research-day-april-10-2018/</t>
  </si>
  <si>
    <t>Education|Achievement|Event|Interdisciplinary|Data Science &amp; Computing</t>
  </si>
  <si>
    <t>Nature Astronomy Perspective: Professor Faucher-Gigu√®re on Progress &amp; Challenges in Galaxy Formation Simulation Field</t>
  </si>
  <si>
    <t>https://ciera.northwestern.edu/2018/04/05/nature-astronomy-perspective-professor-faucher-giguere-on-progress-challenges-in-galaxy-formation-simulation-field/</t>
  </si>
  <si>
    <t>CIERA Hosts Workshop on Radio Astronomy</t>
  </si>
  <si>
    <t>https://ciera.northwestern.edu/2018/03/29/ciera-hosts-workshop-on-radio-astronomy/</t>
  </si>
  <si>
    <t>Embassy of Greece Interviews CIERA Director Vicky Kalogera</t>
  </si>
  <si>
    <t>https://ciera.northwestern.edu/2018/03/27/embassy-of-greece-interviews-ciera-director-vicky-kalogera/</t>
  </si>
  <si>
    <t>Chandra Director Belinda Wilkes Presents CIERA Interdisciplinary Colloquium</t>
  </si>
  <si>
    <t>https://ciera.northwestern.edu/2018/03/22/chandra-director-belinda-wilkes-presents-ciera-interdisciplinary-colloquium/</t>
  </si>
  <si>
    <t>Shaping Globular Clusters with Black Holes</t>
  </si>
  <si>
    <t>https://ciera.northwestern.edu/2018/03/21/shaping-globular-clusters-with-black-holes/</t>
  </si>
  <si>
    <t>Professor Claude-Andr√© Faucher-Gigu√®re Named Cottrell Scholar</t>
  </si>
  <si>
    <t>https://ciera.northwestern.edu/2018/02/12/professor-claude-andre-faucher-giguere-named-cottrell-scholar/</t>
  </si>
  <si>
    <t>CIERA Director Vicky Kalogera Meets with U.S. Congressman</t>
  </si>
  <si>
    <t>https://ciera.northwestern.edu/2018/02/05/ciera-director-vicky-kalogera-meets-with-u-s-congressman/</t>
  </si>
  <si>
    <t>CIERA Graduate Students Host Field Trip for Girls 4 Science</t>
  </si>
  <si>
    <t>https://ciera.northwestern.edu/2018/02/03/ciera-graduate-students-host-field-trip-for-girls-4-science/</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</si>
  <si>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</si>
  <si>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</si>
  <si>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</si>
  <si>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</si>
  <si>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</si>
  <si>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New Theory by CIERA Lindheimer Post-doctoral Fellow Alex Richings Predicts that Molecules are Born in Black Hole Winds</t>
  </si>
  <si>
    <t>https://ciera.northwestern.edu/2018/01/30/new-theory-by-ciera-lindheimer-post-doctoral-fellow-alex-richings-predicts-that-molecules-are-born-in-black-hole-winds/</t>
  </si>
  <si>
    <t>CIERA Director Vicky Kalogera Wins 2018 Dannie Heineman Prize for Astrophysics</t>
  </si>
  <si>
    <t>https://ciera.northwestern.edu/2018/01/10/ciera-director-vicky-kalogera-wins-2018-dannie-heineman-prize-for-astrophysics/</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</si>
  <si>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</si>
  <si>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</si>
  <si>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</si>
  <si>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</si>
  <si>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Researchers Highlight Their Expertise in Seven Minutes or Less</t>
  </si>
  <si>
    <t>https://ciera.northwestern.edu/2017/12/06/ciera-researchers-highlight-their-expertise-in-seven-minutes-or-less/</t>
  </si>
  <si>
    <t>Galaxies &amp; Cosmology|Gravitational Waves &amp; Multi-Messenger Astronomy</t>
  </si>
  <si>
    <t>Greg Laughlin and Dan Tamayo Present CIERA Interdisciplinary Colloquia</t>
  </si>
  <si>
    <t>https://ciera.northwestern.edu/2017/12/01/greg-lauglin-and-dan-tamayo-present-ciera-interdisciplinary-colloquia/</t>
  </si>
  <si>
    <t>Professor Yusef-Zadeh: Infant Stars Surprisingly Near Galaxy‚Äôs Supermassive Black Hole</t>
  </si>
  <si>
    <t>https://ciera.northwestern.edu/2017/12/01/professor-yusef-zadeh-infant-stars-surprisingly-near-galaxys-supermassive-black-hole/</t>
  </si>
  <si>
    <t>CIERA Astronomers Share Stories of Scientific Discovery at Neutron Star Merger Event</t>
  </si>
  <si>
    <t>https://ciera.northwestern.edu/2017/11/28/ciera-astronomers-share-stories-of-scientific-discovery-at-neutron-star-merger-event/</t>
  </si>
  <si>
    <t>Cosmos in Concert: Celestial Suite</t>
  </si>
  <si>
    <t>https://ciera.northwestern.edu/2017/11/18/cosmos-in-concert-celestial-suite/</t>
  </si>
  <si>
    <t>Graduate Student Eve Chase Leads Data Analysis of New Gravitational Wave Detection</t>
  </si>
  <si>
    <t>https://ciera.northwestern.edu/2017/11/10/graduate-student-eve-chase-leads-data-analysis-of-new-gravitational-wave-detection/</t>
  </si>
  <si>
    <t>‚ÄúBlack Hole Encounter‚Äù by CIERA Postdoc Aaron Geller Sweeps 2017 Scientific Images Contest</t>
  </si>
  <si>
    <t>https://ciera.northwestern.edu/2017/11/02/black-hole-encounter-by-ciera-postdoc-aaron-geller-sweeps-2017-scientific-images-contest/</t>
  </si>
  <si>
    <t>Achievement|Outreach|Interdisciplinary</t>
  </si>
  <si>
    <t>Top Telescope Access for CIERA Researchers</t>
  </si>
  <si>
    <t>https://ciera.northwestern.edu/2017/11/01/top-telescope-access-for-ciera-researchers/</t>
  </si>
  <si>
    <t>CIERA Affiliate Member Magdalena Osburn Named Packard Fellow</t>
  </si>
  <si>
    <t>https://ciera.northwestern.edu/2017/10/26/ciera-affiliate-member-magdalena-osburn-named-packard-fellow/</t>
  </si>
  <si>
    <t>CIERA REU Student Jos√© Flores Wins Best Poster Presentation at 2017 SACNAS Conference</t>
  </si>
  <si>
    <t>https://ciera.northwestern.edu/2017/10/21/ciera-reu-student-jose-flores-wins-best-poster-presentation-at-2017-sacnas-conference/</t>
  </si>
  <si>
    <t>CIERA Astronomers Help Detect Colliding Neutron Stars for the First Time</t>
  </si>
  <si>
    <t>https://ciera.northwestern.edu/2017/10/16/ciera-astronomers-help-detect-colliding-neutron-stars-for-the-first-time/</t>
  </si>
  <si>
    <t>Northwestern Press|CIERA Stories|External Press</t>
  </si>
  <si>
    <t>CIERA‚Äôs Shane Larson Joins U.S. NASA LISA Study Team</t>
  </si>
  <si>
    <t>https://ciera.northwestern.edu/2017/10/15/cieras-shane-larson-joins-u-s-nasa-lisa-study-team/</t>
  </si>
  <si>
    <t>Graduate Student Katie Breivik Wins Blue Apple Prize at MRM</t>
  </si>
  <si>
    <t>https://ciera.northwestern.edu/2017/10/14/graduate-student-katie-breivik-wins-blue-apple-prize-at-mrm/</t>
  </si>
  <si>
    <t>Cosmologist Prof. Wendy Freedman Presents CIERA Annual Public Lecture</t>
  </si>
  <si>
    <t>https://ciera.northwestern.edu/2017/10/05/cosmologist-prof-wendy-freedman-presents-ciera-annual-public-lecture/</t>
  </si>
  <si>
    <t>Northwestern Press|CIERA Stories</t>
  </si>
  <si>
    <t>2017 Nobel Prize in Physics Awarded to Gravitational-wave Scientists Barish, Thorne, and Weiss</t>
  </si>
  <si>
    <t>https://ciera.northwestern.edu/2017/10/03/2017-nobel-prize-in-physics-awarded-to-gravitational-wave-scientists-barish-thorne-and-weiss/</t>
  </si>
  <si>
    <t>CIERA Researchers Contribute to Record-setting Gravitational Wave Detection</t>
  </si>
  <si>
    <t>https://ciera.northwestern.edu/2017/09/27/ciera-researchers-contribute-to-record-setting-gravitational-wave-detection/</t>
  </si>
  <si>
    <t>Unique Supernova Revealed by CIERA Postdoc Giacomo Terreran</t>
  </si>
  <si>
    <t>https://ciera.northwestern.edu/2017/09/18/unique-supernova-revealed-by-ciera-postdoc-giacomo-terreran/</t>
  </si>
  <si>
    <t>Sky &amp; Telescope Features ‚ÄúThree Cosmic Chirps and Counting‚Äù by CIERA Director Vicky Kalogera</t>
  </si>
  <si>
    <t>https://ciera.northwestern.edu/2017/09/15/three-cosmic-chirps-and-counting/</t>
  </si>
  <si>
    <t>CIERA Postdoc Fabio Antonini Finds that Many LIGO Sources Arise from Mergers at the Centers of Galaxies</t>
  </si>
  <si>
    <t>https://ciera.northwestern.edu/2017/09/15/ciera-postdoc-fabio-antonini-finds-that-many-ligo-sources-arise-from-mergers-at-the-centers-of-galaxies/</t>
  </si>
  <si>
    <t>Announcing CIERA Director of Operations Kari Frank &amp; Associate Director Shane Larson</t>
  </si>
  <si>
    <t>https://ciera.northwestern.edu/2017/09/01/announcing-ciera-director-of-operations-kari-frank-associate-director-shane-larson/</t>
  </si>
  <si>
    <t>CIERA Welcomes New Faculty Members: Wen-Fai Fong &amp; Sasha Tchekhovskoy</t>
  </si>
  <si>
    <t>https://ciera.northwestern.edu/2017/09/01/ciera-welcomes-new-faculty-members-wen-fai-fong-sasha-tchekhovskoy/</t>
  </si>
  <si>
    <t>Graduate Student Eve Chase Wins Best Poster Award at LSC-Virgo Meeting</t>
  </si>
  <si>
    <t>https://ciera.northwestern.edu/2017/09/01/graduate-student-eve-chase-wins-best-poster-award-at-lsc-virgo-meeting/</t>
  </si>
  <si>
    <t>CIERA Director Vicky Kalogera Appointed CIFAR Senior Fellow</t>
  </si>
  <si>
    <t>https://ciera.northwestern.edu/2017/08/31/ciera-director-vicky-kalogera-appointed-cifar-senior-fellow/</t>
  </si>
  <si>
    <t>CIERA Postdoc Alum Carl Rodriguez Featured in Northwestern Magazine</t>
  </si>
  <si>
    <t>https://ciera.northwestern.edu/2017/08/31/ciera-postdoc-alum-carl-rodriguez-featured-in-northwestern-magazine/</t>
  </si>
  <si>
    <t>New Issue of ‚ÄúLIGO Magazine‚Äù Available</t>
  </si>
  <si>
    <t>https://ciera.northwestern.edu/2017/08/31/new-issue-of-ligo-magazine-available/</t>
  </si>
  <si>
    <t>CIERA Pop-up Eclipse Viewing at Tech Allows Hundreds to Enjoy Rare Sky Event</t>
  </si>
  <si>
    <t>https://ciera.northwestern.edu/2017/08/22/ciera-pop-up-eclipse-viewing-at-tech-allows-hundreds-to-enjoy-rare-sky-event/</t>
  </si>
  <si>
    <t>2017 REU Students Present Their Research at Annual Poster Session</t>
  </si>
  <si>
    <t>https://ciera.northwestern.edu/2017/08/18/2017-reu-students-present-their-research-at-annual-poster-session/</t>
  </si>
  <si>
    <t>Education|Achievement|Event|Outreach|Interdisciplinary</t>
  </si>
  <si>
    <t>Astronomy on Tap Hosts Eclipse-themed Event at Begyle Brewing</t>
  </si>
  <si>
    <t>https://ciera.northwestern.edu/2017/08/15/astronomy-on-tap-hosts-eclipse-themed-event-at-begyle-brewing/</t>
  </si>
  <si>
    <t>CIERA REU Students Discover Careers in Astronomy</t>
  </si>
  <si>
    <t>https://ciera.northwestern.edu/2017/07/31/ciera-reu-students-discover-careers-in-astronomy/</t>
  </si>
  <si>
    <t>CIERA Prof. Raffaella Margutti Helps Discover ‚ÄòHeavy Metal‚Äô Supernova Rocking Out</t>
  </si>
  <si>
    <t>https://ciera.northwestern.edu/2017/07/31/2084/</t>
  </si>
  <si>
    <t>Intergalactic Transfer: A New Study on How Matter Moves Across the Universe, Led by CIERA Postdoc Daniel Angl√©s-Alc√°zar</t>
  </si>
  <si>
    <t>https://ciera.northwestern.edu/2017/07/31/intergalactic-transfer-a-new-study-on-how-matter-moves-across-the-universe-led-by-ciera-postdoc-daniel-angles-alcazar/</t>
  </si>
  <si>
    <t>CIERA's 2017 Summer Student Researchers</t>
  </si>
  <si>
    <t>https://ciera.northwestern.edu/2017/07/30/cieras-2017-summer-student-researchers/</t>
  </si>
  <si>
    <t>The Computing Power Behind CIERA‚Äôs Galaxy Formation Research</t>
  </si>
  <si>
    <t>https://ciera.northwestern.edu/2017/07/20/the-computing-power-behind-cieras-galaxy-formation-research/</t>
  </si>
  <si>
    <t>Graduate Students Engage with 7th/8th Grade Students &amp; Families</t>
  </si>
  <si>
    <t>https://ciera.northwestern.edu/2017/07/01/graduate-students-engage-with-7th-8th-grade-students-families/</t>
  </si>
  <si>
    <t>CIERA Director Vicky Kalogera Featured in Northwestern Global Impact Video</t>
  </si>
  <si>
    <t>https://ciera.northwestern.edu/2017/06/12/ciera-director-vicky-kalogera-featured-in-northwestern-global-impact-video/</t>
  </si>
  <si>
    <t>Graduate Student Fani Dosopoulou Receives Holt Award</t>
  </si>
  <si>
    <t>https://ciera.northwestern.edu/2017/06/10/graduate-student-fani-dosopoulou-receives-holt-award/</t>
  </si>
  <si>
    <t>Black Holes &amp; Dead Stars|Exoplanets &amp; The Solar System|Stellar Dynamics &amp; Stellar Populations</t>
  </si>
  <si>
    <t>CIERA Hosts Supernovae: The LSST Revolution Workshop</t>
  </si>
  <si>
    <t>https://ciera.northwestern.edu/2017/06/03/ciera-hosts-supernovae-the-lsst-revolution-workshop/</t>
  </si>
  <si>
    <t>LIGO Detects Gravitational Waves for Third Time</t>
  </si>
  <si>
    <t>https://ciera.northwestern.edu/2017/06/02/ligo-detects-gravitational-waves-for-third-time/</t>
  </si>
  <si>
    <t>Astronomy Students Awarded Best Senior Thesis</t>
  </si>
  <si>
    <t>https://ciera.northwestern.edu/2017/05/30/astronomy-students-awarded-best-senior-thesis/</t>
  </si>
  <si>
    <t>"Science Sonification" Brings Together Composers &amp; STEM Researchers</t>
  </si>
  <si>
    <t>https://ciera.northwestern.edu/2017/05/23/science-sonification-brings-together-composers-stem-researchers/</t>
  </si>
  <si>
    <t>https://ciera.northwestern.edu/2017/05/19/ciera-postdocs-advance-to-new-positions-2/</t>
  </si>
  <si>
    <t>Postdoctoral Fellow Dan Foreman-Mackey Presents CIERA Spring Interdisciplinary Colloquium</t>
  </si>
  <si>
    <t>https://ciera.northwestern.edu/2017/05/18/postdoctoral-fellow-dan-foreman-mackey-presents-ciera-spring-interdisciplinary-colloquium/</t>
  </si>
  <si>
    <t>Physics Makes Music in A Shout Across Time</t>
  </si>
  <si>
    <t>https://ciera.northwestern.edu/2017/05/16/physics-makes-music-in-a-shout-across-time/</t>
  </si>
  <si>
    <t>Chicago Woman Magazine Features CIERA Director Prof. Kalogera</t>
  </si>
  <si>
    <t>https://ciera.northwestern.edu/2017/05/06/chicago-woman-magazine-features-ciera-director-prof-kalogera/</t>
  </si>
  <si>
    <t>LIGO Co-founder Rainer Weiss Presents CIERA Annual Public Lecture</t>
  </si>
  <si>
    <t>https://ciera.northwestern.edu/2017/05/03/ligo-co-founder-rainer-weiss-presents-ciera-annual-public-lecture/</t>
  </si>
  <si>
    <t>CIERA Director Prof. Kalogera Receives Walder Award for Research Excellence</t>
  </si>
  <si>
    <t>https://ciera.northwestern.edu/2017/05/01/ciera-director-prof-kalogera-receives-walder-award-for-research-excellence/</t>
  </si>
  <si>
    <t>CIERA Contributes to Northwestern‚Äôs Computational Research Day</t>
  </si>
  <si>
    <t>https://ciera.northwestern.edu/2017/04/30/ciera-contributes-to-northwesterns-computational-research-day/</t>
  </si>
  <si>
    <t>Black Holes &amp; Dead Stars|Exoplanets &amp; The Solar System|Galaxies &amp; Cosmology|Gravitational Waves &amp; Multi-Messenger Astronomy</t>
  </si>
  <si>
    <t>Achievement|Event|Interdisciplinary|Data Science &amp; Computing</t>
  </si>
  <si>
    <t>Prof. Faucher-Gigu√®re Receives NSF Honor for Young Faculty</t>
  </si>
  <si>
    <t>https://ciera.northwestern.edu/2017/04/29/prof-faucher-giguere-receives-nsf-honor-for-young-faculty/</t>
  </si>
  <si>
    <t>CIERA to Welcome New Postdocs in Fall 2017</t>
  </si>
  <si>
    <t>https://ciera.northwestern.edu/2017/04/28/ciera-to-welcome-new-postdocs-in-fall-2017/</t>
  </si>
  <si>
    <t>Black Holes &amp; Dead Stars|Exoplanets &amp; The Solar System|Galaxies &amp; Cosmology|Life &amp; Death of Stars|Stellar Dynamics &amp; Stellar Populations</t>
  </si>
  <si>
    <t>Rocco Coppejans Joins CIERA‚Äôs Mel Ulmer to Work on Mirrors in Space</t>
  </si>
  <si>
    <t>https://ciera.northwestern.edu/2017/04/27/rocco-coppejans-joins-cieras-mel-ulmer-to-work-on-mirrors-in-space/</t>
  </si>
  <si>
    <t>https://ciera.northwestern.edu/2017/03/17/ciera-researchers-highlight-their-expertise-in-seven-minutes-or-less-2/</t>
  </si>
  <si>
    <t>New Issue of ‚ÄúLIGO Magazine‚Äù Features Gravity Spy Article by Mike Zevin</t>
  </si>
  <si>
    <t>https://ciera.northwestern.edu/2017/03/15/new-issue-of-ligo-magazine-features-gravity-spy-article-by-mike-zevin/</t>
  </si>
  <si>
    <t>Achievement|Outreach|Interdisciplinary|Data Science &amp; Computing</t>
  </si>
  <si>
    <t>CIERA Pilot Program Exposes Students to Astronomy Research</t>
  </si>
  <si>
    <t>https://ciera.northwestern.edu/2017/03/13/ciera-pilot-program-exposes-students-to-astronomy-research/</t>
  </si>
  <si>
    <t>CIERA Professor Giles Novak Joins ALMA Science Advisory Committee</t>
  </si>
  <si>
    <t>https://ciera.northwestern.edu/2017/03/12/ciera-professor-giles-novak-joins-alma-science-advisory-committee/</t>
  </si>
  <si>
    <t>Professor Jeremy Kasdin Presents CIERA Winter Interdisciplinary Colloquium</t>
  </si>
  <si>
    <t>https://ciera.northwestern.edu/2017/03/02/professor-jeremy-kasdin-presents-ciera-winter-interdisciplinary-colloquium/</t>
  </si>
  <si>
    <t>Media Seek Expertise on New Planets in TRAPPIST-1 System</t>
  </si>
  <si>
    <t>https://ciera.northwestern.edu/2017/02/28/media-seek-expertise-on-new-planets-in-trappist-1-system/</t>
  </si>
  <si>
    <t>CIERA Hosts Astronomy Day for Middle School Teachers</t>
  </si>
  <si>
    <t>https://ciera.northwestern.edu/2017/02/24/ciera-hosts-astronomy-day-for-middle-school-teachers/</t>
  </si>
  <si>
    <t>News from CIERA Professor Farhad Yusef-Zadeh on Star, Planet Formation in Milky Way</t>
  </si>
  <si>
    <t>https://ciera.northwestern.edu/2017/01/31/news-from-ciera-professor-farhad-yusef-zadeh-on-star-planet-formation-in-milky-way/</t>
  </si>
  <si>
    <t>Graduate Student Katie Breivik Wins Chambliss Honorable Mention for Research Poster at AAS</t>
  </si>
  <si>
    <t>https://ciera.northwestern.edu/2017/01/30/graduate-student-katie-breivik-wins-chambliss-honorable-mention-for-research-poster-at-aas/</t>
  </si>
  <si>
    <t>Supernova News from CIERA Professor Raffaella Margutti</t>
  </si>
  <si>
    <t>https://ciera.northwestern.edu/2017/01/29/supernova-news-from-ciera-professor-raffaella-margutti/</t>
  </si>
  <si>
    <t>CIERA REU Students Present at 229th Meeting of the AAS</t>
  </si>
  <si>
    <t>https://ciera.northwestern.edu/2017/01/28/ciera-reu-students-present-at-229th-meeting-of-the-aas/</t>
  </si>
  <si>
    <t>Black Holes &amp; Dead Stars|Exoplanets &amp; The Solar System|Galaxies &amp; Cosmology|Gravitational Waves &amp; Multi-Messenger Astronomy|Life &amp; Death of Stars</t>
  </si>
  <si>
    <t>Education|Achievement|Interdisciplinary</t>
  </si>
  <si>
    <t>CIERA Postdoctoral Alum Laura Fissel Presents Plenary Talk at AAS229</t>
  </si>
  <si>
    <t>https://ciera.northwestern.edu/2017/01/27/ciera-postdoctoral-alum-laura-fissel-presents-plenary-talk-at-aas229/</t>
  </si>
  <si>
    <t>Professor Mel Ulmer Discusses Geoengineering at AAS229</t>
  </si>
  <si>
    <t>https://ciera.northwestern.edu/2017/01/20/professor-mel-ulmer-discusses-geoengineering-at-aas229/</t>
  </si>
  <si>
    <t>Four New Postdoctoral Researchers Join CIERA</t>
  </si>
  <si>
    <t>https://ciera.northwestern.edu/2017/01/01/four-new-postdoctoral-researchers-join-ciera/</t>
  </si>
  <si>
    <t>Exoplanets &amp; The Solar System|Galaxies &amp; Cosmology|Life &amp; Death of Stars</t>
  </si>
  <si>
    <t>Graduate Student Zachary Hafen Wins Award in the 2016 Northwestern Scientific Images Contest</t>
  </si>
  <si>
    <t>https://ciera.northwestern.edu/2016/12/31/graduate-student-zachary-hafen-wins-award-in-the-2016-northwestern-scientific-images-contest/</t>
  </si>
  <si>
    <t>Year-in-Review Honors for the LIGO Scientific Collaboration</t>
  </si>
  <si>
    <t>https://ciera.northwestern.edu/2016/12/30/year-in-review-honors-for-the-ligo-scientific-collaboration/</t>
  </si>
  <si>
    <t>Prospect High School Hosts Panel of Women Astrophysicists from Northwestern</t>
  </si>
  <si>
    <t>https://ciera.northwestern.edu/2016/12/29/prospect-high-school-hosts-panel-of-women-astrophysicists-from-northwestern/</t>
  </si>
  <si>
    <t>Gravitational Waves Detection Featured in Holiday Greeting to Northwestern Alumni</t>
  </si>
  <si>
    <t>https://ciera.northwestern.edu/2016/12/28/gravitational-waves-detection-featured-in-holiday-greeting-to-northwestern-alumni/</t>
  </si>
  <si>
    <t>Postdocs &amp; Graduate Students Present at Annual CIERA Research Jamboree</t>
  </si>
  <si>
    <t>https://ciera.northwestern.edu/2016/12/15/postdocs-graduate-students-present-at-annual-ciera-research-jamboree/</t>
  </si>
  <si>
    <t>Executive Director of LIGO Laboratory Presents CIERA Fall Interdisciplinary Colloquium</t>
  </si>
  <si>
    <t>https://ciera.northwestern.edu/2016/12/01/executive-director-of-ligo-laboratory-presents-ciera-fall-interdisciplinary-colloquium/</t>
  </si>
  <si>
    <t>Audio Series on Northwestern Couples Features Vicky Kalogera and Fred Rasio</t>
  </si>
  <si>
    <t>https://ciera.northwestern.edu/2016/11/30/audio-series-on-northwestern-couples-features-vicky-kalogera-and-fred-rasio/</t>
  </si>
  <si>
    <t>Graduate Student Matthew Rickert Wins Reber Fellowship</t>
  </si>
  <si>
    <t>https://ciera.northwestern.edu/2016/11/29/graduate-student-matthew-rickert-wins-reber-fellowship/</t>
  </si>
  <si>
    <t>CIERA‚Äôs Mel Ulmer Leading Audacious Project to Unfurl World‚Äôs Largest Space Telescope</t>
  </si>
  <si>
    <t>https://ciera.northwestern.edu/2016/11/28/cieras-mel-ulmer-leading-audacious-project-to-unfurl-worlds-largest-space-telescope/</t>
  </si>
  <si>
    <t>CIERA REU Students Present at PhysCon</t>
  </si>
  <si>
    <t>https://ciera.northwestern.edu/2016/11/27/ciera-reu-students-present-at-physcon/</t>
  </si>
  <si>
    <t>Graduate Student Katie Breivik‚Äôs Paper Featured on AAS Nova</t>
  </si>
  <si>
    <t>https://ciera.northwestern.edu/2016/11/26/graduate-student-katie-breiviks-paper-featured-on-aas-nova/</t>
  </si>
  <si>
    <t>Rapid Fire Research Kicks Off</t>
  </si>
  <si>
    <t>https://ciera.northwestern.edu/2016/11/01/rapid-fire-research-kicks-off/</t>
  </si>
  <si>
    <t>Education|Achievement|Event</t>
  </si>
  <si>
    <t>CIERA REU Student Beverly Lowell Presents Research at Symposium</t>
  </si>
  <si>
    <t>https://ciera.northwestern.edu/2016/10/31/ciera-reu-student-beverly-lowell-presents-research-at-symposium/</t>
  </si>
  <si>
    <t>CIERA‚Äôs Board of Visitors Meets with Top University Officials</t>
  </si>
  <si>
    <t>https://ciera.northwestern.edu/2016/10/30/cieras-board-of-visitors-meets-with-top-university-officials/</t>
  </si>
  <si>
    <t>Dearborn Observatory Welcomes 1,500 During Architecture Festival</t>
  </si>
  <si>
    <t>https://ciera.northwestern.edu/2016/10/17/dearborn-observatory-welcomes-1500-during-architecture-festival/</t>
  </si>
  <si>
    <t>Gravity Spy: The New Gravitational-Wave Project Using Citizen Science</t>
  </si>
  <si>
    <t>https://ciera.northwestern.edu/2016/10/14/gravity-spy-the-new-gravitational-wave-project-using-citizen-science/</t>
  </si>
  <si>
    <t>Outreach|Interdisciplinary|Data Science &amp; Computing</t>
  </si>
  <si>
    <t>Graduate Student Kyle Kremer Recognized for Exceptional Work at NSF Event</t>
  </si>
  <si>
    <t>https://ciera.northwestern.edu/2016/10/03/graduate-student-kyle-kremer-recognized-for-exceptional-work-at-nsf-event/</t>
  </si>
  <si>
    <t>Undergraduate Rebecca Diesing Honored with Oliver Marcy Scholarship</t>
  </si>
  <si>
    <t>https://ciera.northwestern.edu/2016/10/01/undergraduate-rebecca-diesing-honored-with-oliver-marcy-scholarship/</t>
  </si>
  <si>
    <t>Carl Rodriguez Awarded MIT Pappalardo Postdoctoral Fellowship in Physics</t>
  </si>
  <si>
    <t>https://ciera.northwestern.edu/2016/09/30/carl-rodriguez-awarded-mit-pappalardo-postdoctoral-fellowship-in-physics/</t>
  </si>
  <si>
    <t>CIERA‚Äôs Laura Sampson Wins L'Or√©al USA 2016 For Women in Science Fellowship</t>
  </si>
  <si>
    <t>https://ciera.northwestern.edu/2016/09/27/cieras-laura-sampson-wins-loreal-usa-2016-for-women-in-science-fellowship/</t>
  </si>
  <si>
    <t>CIERA Graduate Students Demonstrate Their Expertise in Seven Minutes or Less</t>
  </si>
  <si>
    <t>https://ciera.northwestern.edu/2016/09/14/ciera-graduate-students-demonstrate-their-expertise-in-seven-minutes-or-less/</t>
  </si>
  <si>
    <t>Dearborn Observatory and CIERA Contribute to NU STEM &amp; Sports Outreach Event</t>
  </si>
  <si>
    <t>https://ciera.northwestern.edu/2016/09/13/dearborn-observatory-and-ciera-contribute-to-nu-stem-sports-outreach-event/</t>
  </si>
  <si>
    <t>CIERA‚Äôs Fellows at the Frontiers 2016: Astronomy Research on the Cutting-edge</t>
  </si>
  <si>
    <t>https://ciera.northwestern.edu/2016/09/02/cieras-fellows-at-the-frontiers-2016-astronomy-research-on-the-cutting-edge/</t>
  </si>
  <si>
    <t>Raffaella Margutti Joins CIERA to Investigate the Biggest Explosions in Our Universe</t>
  </si>
  <si>
    <t>https://ciera.northwestern.edu/2016/09/01/raffaella-margutti-joins-ciera-to-investigate-the-biggest-explosions-in-our-universe/</t>
  </si>
  <si>
    <t>CIERA Hosts GNOME Data Analysis Bootcamp</t>
  </si>
  <si>
    <t>https://ciera.northwestern.edu/2016/08/31/ciera-hosts-gnome-data-analysis-bootcamp/</t>
  </si>
  <si>
    <t>Event|Science|Interdisciplinary|Data Science &amp; Computing</t>
  </si>
  <si>
    <t>REU Poster Session Celebrates Hard Work with Sweet Rewards</t>
  </si>
  <si>
    <t>https://ciera.northwestern.edu/2016/08/30/reu-poster-session-celebrates-hard-work-with-sweet-rewards/</t>
  </si>
  <si>
    <t>NASA Illinois Space Grant Recipients Present Their Summer Research Projects</t>
  </si>
  <si>
    <t>https://ciera.northwestern.edu/2016/08/29/nasa-illinois-space-grant-recipients-present-their-summer-research-projects/</t>
  </si>
  <si>
    <t>Black Holes &amp; Dead Stars|Exoplanets &amp; The Solar System|Galaxies &amp; Cosmology|Stellar Dynamics &amp; Stellar Populations</t>
  </si>
  <si>
    <t>CIERA's 2016 Summer Student Researchers</t>
  </si>
  <si>
    <t>https://ciera.northwestern.edu/2016/08/28/cieras-2016-summer-student-researchers/</t>
  </si>
  <si>
    <t>CIERA Hosts Inaugural Cohort of New LSSTC Data Science Fellowship Program</t>
  </si>
  <si>
    <t>https://ciera.northwestern.edu/2016/08/27/ciera-hosts-inaugural-cohort-of-new-lsstc-data-science-fellowship-program/</t>
  </si>
  <si>
    <t>Physics and Astronomy Department Rising in Impact and Visibility</t>
  </si>
  <si>
    <t>https://ciera.northwestern.edu/2016/07/30/physics-and-astronomy-department-rising-in-impact-and-visibility/</t>
  </si>
  <si>
    <t>The Legacy of Scientific Discovery - by Mike Zevin, LIGO Graduate Student</t>
  </si>
  <si>
    <t>https://ciera.northwestern.edu/2016/07/29/the-legacy-of-scientific-discovery-by-mike-zevin-ligo-graduate-student/</t>
  </si>
  <si>
    <t>Achievement|Science|Outreach</t>
  </si>
  <si>
    <t>CIERA Students Awarded Funding for Summer Research and Illinois Space Grant Projects</t>
  </si>
  <si>
    <t>https://ciera.northwestern.edu/2016/07/14/ciera-students-awarded-funding-for-summer-research-and-illinois-space-grant-projects/</t>
  </si>
  <si>
    <t>Experts Share with CIERA REU Students at Career Panel Discussion</t>
  </si>
  <si>
    <t>https://ciera.northwestern.edu/2016/07/13/experts-share-with-ciera-reu-students-at-career-panel-discussion/</t>
  </si>
  <si>
    <t>Education|Event|Outreach|Data Science &amp; Computing</t>
  </si>
  <si>
    <t>CIERA Graduate Students Dazzle the Public at Ravinia‚Äôs Astronomy Night</t>
  </si>
  <si>
    <t>https://ciera.northwestern.edu/2016/07/13/ciera-graduate-students-dazzle-the-public-at-ravinias-astronomy-night/</t>
  </si>
  <si>
    <t>Data Science is Transforming Research at Northwestern-CIERA</t>
  </si>
  <si>
    <t>https://ciera.northwestern.edu/2016/07/12/data-science-is-transforming-research-at-northwestern-ciera/</t>
  </si>
  <si>
    <t>Data Science &amp; Computing</t>
  </si>
  <si>
    <t>LIGO Team Announces Second Gravitational-Wave Event</t>
  </si>
  <si>
    <t>https://ciera.northwestern.edu/2016/06/30/ligo-team-announces-second-gravitational-wave-event/</t>
  </si>
  <si>
    <t>‚ÄòMosh Pits‚Äô in Star Clusters a Likely Source of LIGO‚Äôs First Black Holes</t>
  </si>
  <si>
    <t>https://ciera.northwestern.edu/2016/06/29/mosh-pits-in-star-clusters-a-likely-source-of-ligos-first-black-holes/</t>
  </si>
  <si>
    <t>Jian Cao Receives Manufacturing Medal</t>
  </si>
  <si>
    <t>https://ciera.northwestern.edu/2016/06/27/jian-cao-receives-manufacturing-medal/</t>
  </si>
  <si>
    <t>Graduate Students Participate in High School Research Project Showcase</t>
  </si>
  <si>
    <t>https://ciera.northwestern.edu/2016/06/24/graduate-students-participate-in-high-school-research-project-showcase/</t>
  </si>
  <si>
    <t>CIERA‚Äôs Farhad Yusef-Zadeh Leads Discussion of Milky Way Core at Science Caf√©</t>
  </si>
  <si>
    <t>https://ciera.northwestern.edu/2016/06/01/cieras-farhad-yusef-zadeh-leads-discussion-of-milky-way-core-at-science-cafe/</t>
  </si>
  <si>
    <t>CIERA Researchers Help Build a Far-Infrared Camera for SOFIA</t>
  </si>
  <si>
    <t>https://ciera.northwestern.edu/2016/05/29/ciera-researchers-help-build-a-far-infrared-camera-for-sofia/</t>
  </si>
  <si>
    <t>Graduate Student Makes Cosmic Music</t>
  </si>
  <si>
    <t>https://ciera.northwestern.edu/2016/05/25/graduate-student-makes-cosmic-music/</t>
  </si>
  <si>
    <t>Solar System Symphony Melds Music with Astronomy</t>
  </si>
  <si>
    <t>https://ciera.northwestern.edu/2016/05/23/solar-system-symphony-melds-music-with-astronomy/</t>
  </si>
  <si>
    <t>CIERA Director Vicky Kalogera Speaks at (En)Lightning Talks Chicago</t>
  </si>
  <si>
    <t>https://ciera.northwestern.edu/2016/05/20/ciera-director-vicky-kalogera-speaks-at-enlightning-talks-chicago/</t>
  </si>
  <si>
    <t>IDEAS Visits Capitol Hill: Attends Future STEM Leaders Conference</t>
  </si>
  <si>
    <t>https://ciera.northwestern.edu/2016/05/20/ideas-visits-capitol-hill-attends-future-stem-leaders-conference/</t>
  </si>
  <si>
    <t>Enthusiasm for Mercury Transit Despite Cloudy Skies</t>
  </si>
  <si>
    <t>https://ciera.northwestern.edu/2016/05/19/enthusiasm-for-mercury-transit-despite-cloudy-skies/</t>
  </si>
  <si>
    <t>See The Planets Of Our Solar System While Listening To 'The Planets'</t>
  </si>
  <si>
    <t>https://ciera.northwestern.edu/2016/05/18/see-the-planets-of-our-solar-system-while-listening-to-the-planets/</t>
  </si>
  <si>
    <t>CIERA Demonstrates the Beauty of Art and Science at the First Annual STEM-CON</t>
  </si>
  <si>
    <t>https://ciera.northwestern.edu/2016/05/10/ciera-demonstrates-the-beauty-of-art-and-science-at-the-first-annual-stem-con/</t>
  </si>
  <si>
    <t>CIERA Researcher Brings The Galaxy to the Classroom</t>
  </si>
  <si>
    <t>https://ciera.northwestern.edu/2016/05/06/ciera-researcher-brings-the-galaxy-to-the-classroom/</t>
  </si>
  <si>
    <t>Major Prizes for LIGO Founders and 1,012 Contributors to Gravitational-Wave Discovery</t>
  </si>
  <si>
    <t>https://ciera.northwestern.edu/2016/05/01/major-prizes-for-ligo-founders-and-1012-contributors-to-gravitational-wave-discovery/</t>
  </si>
  <si>
    <t>Ripples in Spacetime at Take Our Daughters &amp; Sons to Work Day</t>
  </si>
  <si>
    <t>https://ciera.northwestern.edu/2016/04/30/ripples-in-spacetime-at-take-our-daughters-sons-to-work-day/</t>
  </si>
  <si>
    <t>CIERA Presentations at National Science Foundation Site Visit</t>
  </si>
  <si>
    <t>https://ciera.northwestern.edu/2016/04/29/ciera-presentations-at-national-science-foundation-site-visit/</t>
  </si>
  <si>
    <t>https://ciera.northwestern.edu/2016/04/28/ciera-contributes-to-northwesterns-computational-research-day-2/</t>
  </si>
  <si>
    <t>CIERA‚Äôs Carl Rodriguez Gives TEDx Talk</t>
  </si>
  <si>
    <t>https://ciera.northwestern.edu/2016/04/25/cieras-carl-rodriguez-gives-tedx-talk/</t>
  </si>
  <si>
    <t>CIERA Postdoctoral Fellow Laura Fissel Wins Prestigious Jansky Fellowship</t>
  </si>
  <si>
    <t>https://ciera.northwestern.edu/2016/04/22/ciera-postdoctoral-fellow-laura-fissel-wins-prestigious-jansky-fellowship/</t>
  </si>
  <si>
    <t>Roger Malina Discusses Hybrid Art-Sciences Practices at CIERA Spring Interdisciplinary Colloquium</t>
  </si>
  <si>
    <t>https://ciera.northwestern.edu/2016/04/03/roger-malina-discusses-hybrid-art-sciences-practices-at-ciera-spring-interdisciplinary-colloquium/</t>
  </si>
  <si>
    <t>CIERA‚Äôs Vicky Kalogera Named a "Top Ten Northwestern Professor" by College Magazine</t>
  </si>
  <si>
    <t>https://ciera.northwestern.edu/2016/03/31/cieras-vicky-kalogera-named-a-top-ten-northwestern-professor-by-college-magazine/</t>
  </si>
  <si>
    <t>CIERA‚Äôs Shane Larson Leads Gravitational Waves Discussion at Science Caf√©</t>
  </si>
  <si>
    <t>https://ciera.northwestern.edu/2016/03/29/cieras-shane-larson-leads-gravitational-waves-discussion-at-science-cafe/</t>
  </si>
  <si>
    <t>Kick-off of New Outreach Event Series: Astronomy on Tap Chicago</t>
  </si>
  <si>
    <t>https://ciera.northwestern.edu/2016/03/01/kick-off-of-new-outreach-event-series-astronomy-on-tap-chicago/</t>
  </si>
  <si>
    <t>The Chicago Network‚Äôs Panel on Space Encourages Girls to Pursue Careers in Science &amp; Technology</t>
  </si>
  <si>
    <t>https://ciera.northwestern.edu/2016/02/28/the-chicago-networks-panel-on-space-encourages-girls-to-pursue-careers-in-science-technology/</t>
  </si>
  <si>
    <t>"Chicago Tonight" Features CIERA's Vicky Kalogera and Shane Larson Discussing Major Research Discovery</t>
  </si>
  <si>
    <t>https://ciera.northwestern.edu/2016/02/20/chicago-tonight-features-cieras-vicky-kalogera-and-shane-larson-discussing-major-research-discovery/</t>
  </si>
  <si>
    <t>CIERA Contributes to the Historic First Detection of Gravitational Waves</t>
  </si>
  <si>
    <t>https://ciera.northwestern.edu/2016/02/15/ciera-contributes-to-the-historic-first-detection-of-gravitational-waves/</t>
  </si>
  <si>
    <t>Largest Ever Event for Graduate Student Speaker Series</t>
  </si>
  <si>
    <t>https://ciera.northwestern.edu/2016/02/11/largest-ever-event-for-graduate-student-speaker-series/</t>
  </si>
  <si>
    <t>Olivier Guyon Looks to Characterize Habitable Exoplanets: CIERA Winter Interdisciplinary Colloquium</t>
  </si>
  <si>
    <t>https://ciera.northwestern.edu/2016/02/04/olivier-guyon-looks-to-characterize-habitable-exoplanets-ciera-winter-interdisciplinary-colloquium/</t>
  </si>
  <si>
    <t>CIERA REU Student Eryn Cangi Wins Chambliss Medal for Research Poster at AAS</t>
  </si>
  <si>
    <t>https://ciera.northwestern.edu/2016/01/30/ciera-reu-student-eryn-cangi-wins-chambliss-medal-for-research-poster-at-aas/</t>
  </si>
  <si>
    <t>CIERA's Geller and Faucher-Gigu√®re Contribute to New Study in "Nature"</t>
  </si>
  <si>
    <t>https://ciera.northwestern.edu/2016/01/29/cieras-geller-and-faucher-giguere-contribute-to-new-study-in-nature/</t>
  </si>
  <si>
    <t>New Monthly Night at Dearborn Observatory with CIERA Astronomers</t>
  </si>
  <si>
    <t>https://ciera.northwestern.edu/2016/01/27/new-monthly-night-at-dearborn-observatory-with-ciera-astronomers/</t>
  </si>
  <si>
    <t>American Astronomical Society to Lead WorldWide Telescope</t>
  </si>
  <si>
    <t>https://ciera.northwestern.edu/2016/01/10/american-astronomical-society-to-lead-worldwide-telescope/</t>
  </si>
  <si>
    <t>CIERA Grad Student Brings the Stars to Her Hometown</t>
  </si>
  <si>
    <t>https://ciera.northwestern.edu/2016/01/05/ciera-grad-student-brings-the-stars-to-her-hometown/</t>
  </si>
  <si>
    <t>Integrated Data Science Certificate in Development at CIERA</t>
  </si>
  <si>
    <t>https://ciera.northwestern.edu/2016/01/01/integrated-data-science-certificate-in-development-at-ciera/</t>
  </si>
  <si>
    <t>Education|Achievement|Data Science &amp; Computing</t>
  </si>
  <si>
    <t>AAAS Fellow Jeremy Ward Visits CIERA</t>
  </si>
  <si>
    <t>https://ciera.northwestern.edu/2015/12/06/aaas-fellow-jeremy-ward-visits-ciera/</t>
  </si>
  <si>
    <t>Professors Novak &amp; Sageman Named to 2015 Faculty Honor Roll</t>
  </si>
  <si>
    <t>https://ciera.northwestern.edu/2015/11/30/professors-novak-sageman-named-to-2015-faculty-honor-roll/</t>
  </si>
  <si>
    <t>CIERA's Shane Larson Participates in Gravitational Wave Google Hangout</t>
  </si>
  <si>
    <t>https://ciera.northwestern.edu/2015/11/25/cieras-shane-larson-participates-in-gravitational-wave-google-hangout/</t>
  </si>
  <si>
    <t>CIERA Graduate Students Speak at Local High School‚Äôs Women in STEM Event</t>
  </si>
  <si>
    <t>https://ciera.northwestern.edu/2015/11/25/ciera-graduate-students-speak-at-local-high-schools-women-in-stem-event/</t>
  </si>
  <si>
    <t>CIERA's Shane Larson Joins 2015-2016 WCAS Seminar Series for Staff</t>
  </si>
  <si>
    <t>https://ciera.northwestern.edu/2015/11/22/cieras-shane-larson-joins-2015-2016-wcas-seminar-series-for-staff/</t>
  </si>
  <si>
    <t>CIERA Director Vicky Kalogera to Join National Committee on Astronomy and Astrophysics</t>
  </si>
  <si>
    <t>https://ciera.northwestern.edu/2015/11/22/ciera-director-vicky-kalogera-to-join-national-committee-on-astronomy-and-astrophysics/</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</si>
  <si>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</si>
  <si>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</si>
  <si>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Dennis Lehmkuhl Shares the History of Einstein's Discoveries at CIERA Fall Interdisciplinary Colloquium</t>
  </si>
  <si>
    <t>https://ciera.northwestern.edu/2015/11/13/dennis-lehmkuhl-shares-the-history-of-einsteins-discoveries-at-ciera-fall-interdisciplinary-colloquium/</t>
  </si>
  <si>
    <t>Stargazing with Local Dads and Daughters Outdoors Group</t>
  </si>
  <si>
    <t>https://ciera.northwestern.edu/2015/11/11/stargazing-with-local-dads-and-daughters-outdoors-group/</t>
  </si>
  <si>
    <t>CIERA's Michelle Paulsen and Katie Breivik Meet U.S. Congressman Bob Dold</t>
  </si>
  <si>
    <t>https://ciera.northwestern.edu/2015/11/10/cieras-michelle-paulsen-and-katie-breivik-meet-u-s-congressman-bob-dold/</t>
  </si>
  <si>
    <t>CIERA Seventh Annual Public Lecture: New Horizons Leader Alan Stern</t>
  </si>
  <si>
    <t>https://ciera.northwestern.edu/2015/11/03/ciera-seventh-annual-public-lecture-new-horizons-leader-alan-stern/</t>
  </si>
  <si>
    <t>CIERA Director Elected to LSSTC ExecBoard</t>
  </si>
  <si>
    <t>https://ciera.northwestern.edu/2015/11/01/ciera-director-elected-to-lsstc-execboard/</t>
  </si>
  <si>
    <t>CIERA Summer Research Student Continues to Communicate Work</t>
  </si>
  <si>
    <t>https://ciera.northwestern.edu/2015/10/31/ciera-summer-research-student-continues-to-communicate-work/</t>
  </si>
  <si>
    <t>Dearborn Observatory Featured in Open House Chicago 2015</t>
  </si>
  <si>
    <t>https://ciera.northwestern.edu/2015/10/25/dearborn-observatory-featured-in-open-house-chicago-2015/</t>
  </si>
  <si>
    <t>CIERA Director Awarded Prestigious APS 2016 Bethe Prize</t>
  </si>
  <si>
    <t>https://ciera.northwestern.edu/2015/10/20/ciera-director-awarded-prestigious-aps-2016-bethe-prize/</t>
  </si>
  <si>
    <t>CIERA‚Äôs Shane Larson Elected APS Fellow</t>
  </si>
  <si>
    <t>https://ciera.northwestern.edu/2015/10/15/cieras-shane-larson-elected-aps-fellow/</t>
  </si>
  <si>
    <t>2015 Midwest Relativity Meeting Hosted by CIERA</t>
  </si>
  <si>
    <t>https://ciera.northwestern.edu/2015/10/05/2015-midwest-relativity-meeting-hosted-by-ciera/</t>
  </si>
  <si>
    <t>CIERA Total Lunar Eclipse Party Helped Hundreds to Experience, Understand Rare Event</t>
  </si>
  <si>
    <t>https://ciera.northwestern.edu/2015/09/30/ciera-total-lunar-eclipse-party-helped-hundreds-to-experience-understand-rare-event/</t>
  </si>
  <si>
    <t>Boy Scouts and their Families visit Dearborn Observatory as part of NU Athletics STEM &amp; Sports Day</t>
  </si>
  <si>
    <t>https://ciera.northwestern.edu/2015/09/13/boy-scouts-and-their-families-visit-dearborn-observatory-as-part-of-nu-athletics-stem-sports-day/</t>
  </si>
  <si>
    <t>CIERA Presentations at RSG Seven Minutes of Science: An Interdisciplinary Symposium</t>
  </si>
  <si>
    <t>https://ciera.northwestern.edu/2015/09/12/ciera-presentations-at-rsg-seven-minutes-of-science-an-interdisciplinary-symposium/</t>
  </si>
  <si>
    <t>CIERA's 2015 Summer Student Researchers</t>
  </si>
  <si>
    <t>https://ciera.northwestern.edu/2015/08/31/cieras-2015-summer-student-researchers/</t>
  </si>
  <si>
    <t>CIERA Director Vicky Kalogera Speaks to Office for Research Staff</t>
  </si>
  <si>
    <t>https://ciera.northwestern.edu/2015/08/30/ciera-director-vicky-kalogera-speaks-to-office-for-research-staff/</t>
  </si>
  <si>
    <t>CIERA Study Predicts Detection of More Merging Black Holes Than Previously Thought</t>
  </si>
  <si>
    <t>https://ciera.northwestern.edu/2015/07/30/ciera-study-predicts-detection-of-more-merging-black-holes-than-previously-thought/</t>
  </si>
  <si>
    <t>Immediate Opening for Graduate Student: CIERA Keck Foundation Grant</t>
  </si>
  <si>
    <t>https://ciera.northwestern.edu/2015/07/27/immediate-opening-for-graduate-student-ciera-keck-foundation-grant/</t>
  </si>
  <si>
    <t>CIERA Undergraduate Researcher Accepted to Ph.D. Programs</t>
  </si>
  <si>
    <t>https://ciera.northwestern.edu/2015/07/22/ciera-undergraduate-researcher-accepted-to-ph-d-programs/</t>
  </si>
  <si>
    <t>CIERA Research Group Receives Time with Hubble Space Telescope</t>
  </si>
  <si>
    <t>https://ciera.northwestern.edu/2015/07/20/ciera-research-group-receives-time-with-hubble-space-telescope/</t>
  </si>
  <si>
    <t>Astronomy Club of the College of DuPage Visits CIERA</t>
  </si>
  <si>
    <t>https://ciera.northwestern.edu/2015/07/12/astronomy-club-of-the-college-of-dupage-visits-ciera/</t>
  </si>
  <si>
    <t>W.M. Keck Foundation Grant to NU Team Led by CIERA's Hooman Mohseni and Melville P. Ulmer</t>
  </si>
  <si>
    <t>https://ciera.northwestern.edu/2015/07/04/w-m-keck-foundation-grant-to-nu-team-led-by-cieras-hooman-mohseni-and-melville-p-ulmer/</t>
  </si>
  <si>
    <t>CIERA Shares with Local Children: Solar Observing and Careers in Astrophysics</t>
  </si>
  <si>
    <t>https://ciera.northwestern.edu/2015/06/30/ciera-shares-with-local-children-solar-observing-and-careers-in-astrophysics/</t>
  </si>
  <si>
    <t>Illinois Congressman Visits CIERA</t>
  </si>
  <si>
    <t>https://ciera.northwestern.edu/2015/06/27/illinois-congressman-visits-ciera/</t>
  </si>
  <si>
    <t>CIERA Helps the Adler Planetarium Celebrate the Summer of Science!</t>
  </si>
  <si>
    <t>https://ciera.northwestern.edu/2015/06/15/ciera-helps-the-adler-planetarium-celebrate-the-summer-of-science/</t>
  </si>
  <si>
    <t>NASA Fellowship Awarded to CIERA Graduate Student Sam Hadden</t>
  </si>
  <si>
    <t>https://ciera.northwestern.edu/2015/06/10/nasa-fellowship-awarded-to-ciera-graduate-student-sam-hadden/</t>
  </si>
  <si>
    <t>CIERA‚Äôs Doug Roberts Creates First Video Abstract for an Astrophysical Journal Letters Article</t>
  </si>
  <si>
    <t>https://ciera.northwestern.edu/2015/06/05/cieras-doug-roberts-creates-first-video-abstract-for-an-astrophysical-journal-letters-article/</t>
  </si>
  <si>
    <t>CIERA‚Äôs Melville P. Ulmer Receives Funding from NASA Innovative Advanced Concepts (NIAC)</t>
  </si>
  <si>
    <t>https://ciera.northwestern.edu/2015/06/01/cieras-melville-p-ulmer-receives-funding-from-nasa-innovative-advanced-concepts-niac/</t>
  </si>
  <si>
    <t>Achievement|Science|Interdisciplinary</t>
  </si>
  <si>
    <t>https://ciera.northwestern.edu/2015/05/31/3897/</t>
  </si>
  <si>
    <t>Neil deGrasse Tyson Ignites CIERA Annual Public Lecture</t>
  </si>
  <si>
    <t>https://ciera.northwestern.edu/2015/05/15/neil-degrasse-tyson-ignites-ciera-annual-public-lecture/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</si>
  <si>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</si>
  <si>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</si>
  <si>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CIERA Fellow Geller Wins First Prize in Data Visualization Challenge</t>
  </si>
  <si>
    <t>https://ciera.northwestern.edu/2015/04/29/ciera-fellow-geller-wins-first-prize-in-data-visualization-challenge/</t>
  </si>
  <si>
    <t>CIERA Co-Sponsors Computational Research Day Poster Session</t>
  </si>
  <si>
    <t>https://ciera.northwestern.edu/2015/04/25/ciera-co-sponsors-computational-research-day-poster-session/</t>
  </si>
  <si>
    <t>Event|Science|Interdisciplinary</t>
  </si>
  <si>
    <t>Professor Yusef-Zadeh and Colleagues See Evidence of Star Formation Near Galaxy's Supermassive Black Hole</t>
  </si>
  <si>
    <t>https://ciera.northwestern.edu/2015/04/24/professor-yusef-zadeh-and-colleagues-see-evidence-of-star-formation-near-galaxys-supermassive-black-hole/</t>
  </si>
  <si>
    <t>Two NSF Graduate Fellowships Awarded to NU Astronomy Students</t>
  </si>
  <si>
    <t>https://ciera.northwestern.edu/2015/04/18/two-nsf-graduate-fellowships-awarded-to-nu-astronomy-students/</t>
  </si>
  <si>
    <t>CIERA-based Team Awarded 5-year NSF "Research Traineeship" Grant</t>
  </si>
  <si>
    <t>https://ciera.northwestern.edu/2015/04/10/ciera-based-team-awarded-5-year-nsf-research-traineeship-grant/</t>
  </si>
  <si>
    <t>Middle School Girls on a Mission to Space!</t>
  </si>
  <si>
    <t>https://ciera.northwestern.edu/2015/03/31/middle-school-girls-on-a-mission-to-space/</t>
  </si>
  <si>
    <t>Dave Meyer to speak at "A Day With Northwestern 2015"</t>
  </si>
  <si>
    <t>https://ciera.northwestern.edu/2015/03/29/dave-meyer-to-speak-at-a-day-with-northwestern-2015/</t>
  </si>
  <si>
    <t>CIERA to Welcome Four New Postdocs in Fall 2015</t>
  </si>
  <si>
    <t>https://ciera.northwestern.edu/2015/03/19/ciera-to-welcome-four-new-postdocs-in-fall-2015/</t>
  </si>
  <si>
    <t>Summer Undergraduate Student Success Stories: CIERA Alumni</t>
  </si>
  <si>
    <t>https://ciera.northwestern.edu/2015/03/01/summer-undergraduate-student-success-stories-ciera-alumni/</t>
  </si>
  <si>
    <t>CIERA Professors Lithwick and Motter Recognized in NU Research Annual Report</t>
  </si>
  <si>
    <t>https://ciera.northwestern.edu/2015/02/28/ciera-professors-lithwick-and-motter-recognized-in-nu-research-annual-report/</t>
  </si>
  <si>
    <t>Achievement|Science|Interdisciplinary|Data Science &amp; Computing</t>
  </si>
  <si>
    <t>LSST Project Accepts New Mirror Surfaces</t>
  </si>
  <si>
    <t>https://ciera.northwestern.edu/2015/02/27/lsst-project-accepts-new-mirror-surfaces/</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</si>
  <si>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</si>
  <si>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</si>
  <si>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Don Geci, CIERA High-School Summer Student, Accepted to Princeton</t>
  </si>
  <si>
    <t>https://ciera.northwestern.edu/2015/02/20/don-geci-ciera-high-school-summer-student-accepted-to-princeton/</t>
  </si>
  <si>
    <t>CIERA Fellow Chatterjee helps show `Vulcan‚Äô planets follow predictions of new theory</t>
  </si>
  <si>
    <t>https://ciera.northwestern.edu/2015/02/17/ciera-fellow-chatterjee-helps-show-vulcan-planets-follow-predictions-of-new-theory/</t>
  </si>
  <si>
    <t>LIGO Generations: New Documentary on Gravitational Wave Astronomy</t>
  </si>
  <si>
    <t>https://ciera.northwestern.edu/2015/02/10/ligo-generations-new-documentary-on-gravitational-wave-astronomy/</t>
  </si>
  <si>
    <t>CIERA Graduate Student Meagan Morscher Wins Martin and Beate Block Award</t>
  </si>
  <si>
    <t>https://ciera.northwestern.edu/2015/02/05/ciera-graduate-student-meagan-morscher-wins-martin-and-beate-block-award/</t>
  </si>
  <si>
    <t>Join Einstein Evenings throughout 2015</t>
  </si>
  <si>
    <t>https://ciera.northwestern.edu/2015/01/25/join-einstein-evenings-throughout-2015/</t>
  </si>
  <si>
    <t>Large Synoptic Survey Telescope Project Celebrates Successful Completion of its Unique Mirror</t>
  </si>
  <si>
    <t>https://ciera.northwestern.edu/2015/01/11/large-synoptic-survey-telescope-project-celebrates-successful-completion-of-its-unique-mirror/</t>
  </si>
  <si>
    <t>Achievement|Event|Science</t>
  </si>
  <si>
    <t>Annual Jamboree Summarizes CIERA's Diverse Research with Postdoc &amp; Graduate Student Talks</t>
  </si>
  <si>
    <t>https://ciera.northwestern.edu/2014/12/15/annual-jamboree-summarizes-cieras-diverse-research-with-postdoc-graduate-student-talks/</t>
  </si>
  <si>
    <t>CIERA Astronomers Provide Strong Support for The Adler Planetarium Girls do Hack Event Saturday, November 15th</t>
  </si>
  <si>
    <t>https://ciera.northwestern.edu/2014/11/16/ciera-astronomers-provide-strong-support-for-the-adler-planetarium-girls-do-hack-event-saturday-november-15th/</t>
  </si>
  <si>
    <t>CIERA Staff, Faculty, and Students Speak at 6th Annual Statewide OSEP STEM Summit</t>
  </si>
  <si>
    <t>https://ciera.northwestern.edu/2014/11/06/ciera-staff-faculty-and-students-speak-at-6th-annual-statewide-osep-stem-summit/</t>
  </si>
  <si>
    <t>`Kits and Cats' Celebrates Community Connections; "Reach for the Stars" Plays Key Role</t>
  </si>
  <si>
    <t>https://ciera.northwestern.edu/2014/11/02/kits-and-cats-celebrates-community-connections-reach-for-the-stars-plays-key-role/</t>
  </si>
  <si>
    <t>Education|Achievement|Event|Outreach</t>
  </si>
  <si>
    <t>CIERA Fall Interdisciplinary Talk Highlights Computation in Plasma Astrophysics</t>
  </si>
  <si>
    <t>https://ciera.northwestern.edu/2014/10/31/ciera-fall-interdisciplinary-talk-highlights-computation-in-plasma-astrophysics/</t>
  </si>
  <si>
    <t>Attendees Cheer at Partial Solar Eclipse Event on October 23rd, 2014</t>
  </si>
  <si>
    <t>https://ciera.northwestern.edu/2014/10/27/attendees-cheer-at-partial-solar-eclipse-event-on-october-23rd-2014/</t>
  </si>
  <si>
    <t>Education|Event|Science|Outreach</t>
  </si>
  <si>
    <t>Prof. Dave Meyer Delivers New Video Course on Space Astronomy</t>
  </si>
  <si>
    <t>https://ciera.northwestern.edu/2014/10/20/prof-dave-meyer-delivers-new-video-course-on-space-astronomy/</t>
  </si>
  <si>
    <t>CIERA Professor Fred Rasio Appointed to KITP Advisory Board</t>
  </si>
  <si>
    <t>https://ciera.northwestern.edu/2014/10/03/ciera-professor-fred-rasio-appointed-to-kitp-advisory-board/</t>
  </si>
  <si>
    <t>CIERA Postdoctoral Fellows Geller &amp; Hicks Win Awards for ‚ÄúCapturing the Beauty of Science‚Äù</t>
  </si>
  <si>
    <t>https://ciera.northwestern.edu/2014/09/30/ciera-postdoctoral-fellows-geller-hicks-win-awards-for-capturing-the-beauty-of-science/</t>
  </si>
  <si>
    <t>CIERA Helps Host Boy Scouts and Families for "NU STEM &amp; Sports" Event</t>
  </si>
  <si>
    <t>https://ciera.northwestern.edu/2014/09/30/ciera-helps-host-boy-scouts-and-families-for-nu-stem-sports-event/</t>
  </si>
  <si>
    <t>CIERA Postdoc Francesca Valsecchi and Colleagues Link Hot Super-Earths to Hot Jupiters</t>
  </si>
  <si>
    <t>https://ciera.northwestern.edu/2014/09/25/ciera-postdoc-francesca-valsecchi-and-colleagues-link-hot-super-earths-to-hot-jupiters/</t>
  </si>
  <si>
    <t>Professor Meyer Named to 2014 Faculty Honor Roll</t>
  </si>
  <si>
    <t>https://ciera.northwestern.edu/2014/09/09/professor-meyer-named-to-2014-faculty-honor-roll/</t>
  </si>
  <si>
    <t>New Issue of ‚ÄúLIGO Magazine‚Äù Celebrates Major Instrument Milestone</t>
  </si>
  <si>
    <t>https://ciera.northwestern.edu/2014/08/31/new-issue-of-ligo-magazine-celebrates-major-instrument-milestone/</t>
  </si>
  <si>
    <t>Experts on X-Ray Optics Meet at Northwestern, Discuss Next-Generation Space Telescopes</t>
  </si>
  <si>
    <t>https://ciera.northwestern.edu/2014/08/27/experts-on-x-ray-optics-meet-at-northwestern-discuss-next-generation-space-telescopes/</t>
  </si>
  <si>
    <t>National Science Foundation Agrees to Fund LSST Project</t>
  </si>
  <si>
    <t>https://ciera.northwestern.edu/2014/08/22/national-science-foundation-agrees-to-fund-lsst-project/</t>
  </si>
  <si>
    <t>CIERA's 2014 Summer Student Researchers</t>
  </si>
  <si>
    <t>https://ciera.northwestern.edu/2014/08/17/cieras-2014-summer-student-researchers/</t>
  </si>
  <si>
    <t>CIERA Hosts Galaxy Formation Workshop</t>
  </si>
  <si>
    <t>https://ciera.northwestern.edu/2014/08/01/ciera-hosts-galaxy-formation-workshop/</t>
  </si>
  <si>
    <t>Education|Event|Science</t>
  </si>
  <si>
    <t>Graduate Student Inspires Students Through Art</t>
  </si>
  <si>
    <t>https://ciera.northwestern.edu/2014/07/29/graduate-student-inspires-students-through-art/</t>
  </si>
  <si>
    <t>The Science that Shared Buzz Aldrin‚Äôs Space Selfie</t>
  </si>
  <si>
    <t>https://ciera.northwestern.edu/2014/07/27/the-science-that-shared-buzz-aldrins-space-selfie/</t>
  </si>
  <si>
    <t>CIERA Director Elected Trustee of Aspen Center for Physics</t>
  </si>
  <si>
    <t>https://ciera.northwestern.edu/2014/07/15/ciera-director-elected-trustee-of-aspen-center-for-physics/</t>
  </si>
  <si>
    <t>CIERA‚Äôs Shane Larson Called In As Expert On ‚ÄúCityhenge‚Äù</t>
  </si>
  <si>
    <t>https://ciera.northwestern.edu/2014/07/10/cieras-shane-larson-called-in-as-expert-on-cityhenge/</t>
  </si>
  <si>
    <t>Achievement|Event|Science|Outreach</t>
  </si>
  <si>
    <t>Six CIERA Students Awarded Illinois Space Grant Consortium Scholarships to Advance their Research</t>
  </si>
  <si>
    <t>https://ciera.northwestern.edu/2014/07/06/six-ciera-students-awarded-illinois-space-grant-consortium-scholarships-to-advance-their-research/</t>
  </si>
  <si>
    <t>CIERA Postdoc Explores Black Holes in BBC Magazine Feature</t>
  </si>
  <si>
    <t>https://ciera.northwestern.edu/2014/07/01/ciera-postdoc-explores-black-holes-in-bbc-magazine-feature/</t>
  </si>
  <si>
    <t>CIERA Graduate Student Carl Rodriguez Produces Astronomy Film for Jackson Hole Science Media Film Festival</t>
  </si>
  <si>
    <t>https://ciera.northwestern.edu/2014/06/30/ciera-graduate-student-carl-rodriguez-produces-astronomy-film-for-jackson-hole-science-media-film-festival/</t>
  </si>
  <si>
    <t>Paper Co-Authored by Ben Farr and Former CIERA Members Reviewed on Astrobites</t>
  </si>
  <si>
    <t>https://ciera.northwestern.edu/2014/06/15/paper-co-authored-by-ben-farr-and-former-ciera-members-reviewed-on-astrobites/</t>
  </si>
  <si>
    <t>CIERA Research Students and Judges Featured at Northwestern University High School Project Showcase</t>
  </si>
  <si>
    <t>https://ciera.northwestern.edu/2014/06/03/ciera-research-students-and-judges-featured-at-northwestern-university-high-school-project-showcase/</t>
  </si>
  <si>
    <t>https://ciera.northwestern.edu/2014/06/03/ciera-research-students-and-judges-featured-at-northwestern-university-high-school-project-showcase-2/</t>
  </si>
  <si>
    <t>Nine Students Awarded Funding from Weinberg College and Illinois Space Grant</t>
  </si>
  <si>
    <t>https://ciera.northwestern.edu/2014/06/01/nine-students-awarded-funding-from-weinberg-college-and-illinois-space-grant/</t>
  </si>
  <si>
    <t>CIERA Graduate Students Morscher and Schwartz Meet with Over 100 2nd Grade Students</t>
  </si>
  <si>
    <t>https://ciera.northwestern.edu/2014/05/31/ciera-graduate-students-morscher-and-schwartz-meet-with-over-100-2nd-grade-students/</t>
  </si>
  <si>
    <t>CIERA Postdoctoral Fellow Daryl Haggard Participates in a Role Model Panel at "Futures Unlimited" Event</t>
  </si>
  <si>
    <t>https://ciera.northwestern.edu/2014/05/29/ciera-postdoctoral-fellow-daryl-haggard-participates-in-a-role-model-panel-at-futures-unlimited-event/</t>
  </si>
  <si>
    <t>Giles Novak Appointed as the New Faculty Director of the Tech Instrument Shop</t>
  </si>
  <si>
    <t>https://ciera.northwestern.edu/2014/05/27/giles-novak-appointed-as-the-new-faculty-director-of-the-tech-instrument-shop/</t>
  </si>
  <si>
    <t>CIERA Postdoctoral Fellow Daryl Haggard Featured in Physics Central Podcast</t>
  </si>
  <si>
    <t>https://ciera.northwestern.edu/2014/05/25/ciera-postdoctoral-fellow-daryl-haggard-featured-in-physics-central-podcast/</t>
  </si>
  <si>
    <t>Josh Bloom Presents CIERA Spring Interdisciplinary Colloquium on Machine Learning in Astronomy</t>
  </si>
  <si>
    <t>https://ciera.northwestern.edu/2014/05/08/josh-bloom-presents-ciera-spring-interdisciplinary-colloquium-on-machine-learning-in-astronomy/</t>
  </si>
  <si>
    <t>Ben Farr Successfully Defends Thesis</t>
  </si>
  <si>
    <t>https://ciera.northwestern.edu/2014/05/05/ben-farr-successfully-defends-thesis/</t>
  </si>
  <si>
    <t>CIERA Director Vicky Kalogera Featured in Weinberg Magazine Article Encouraging Women in STEM Fields</t>
  </si>
  <si>
    <t>https://ciera.northwestern.edu/2014/05/04/ciera-director-vicky-kalogera-featured-in-weinberg-magazine-article-encouraging-women-in-stem-fields/</t>
  </si>
  <si>
    <t>Postdoctoral Fellow Haggard talks with Representatives on Capitol Hill as part of HEAD Executive Committee</t>
  </si>
  <si>
    <t>https://ciera.northwestern.edu/2014/05/02/postdoctoral-fellow-haggard-talks-with-representatives-on-capitol-hill-as-part-of-head-executive-committee/</t>
  </si>
  <si>
    <t>Undergraduate Student Scotty Coughlin Awarded Fulbright Scholarship</t>
  </si>
  <si>
    <t>https://ciera.northwestern.edu/2014/05/01/undergraduate-student-scotty-coughlin-awarded-fulbright-scholarship/</t>
  </si>
  <si>
    <t>CIERA Sponsors Poster Session at Northwestern's Computational Research Day</t>
  </si>
  <si>
    <t>https://ciera.northwestern.edu/2014/04/30/ciera-sponsors-poster-session-at-northwesterns-computational-research-day/</t>
  </si>
  <si>
    <t>CIERA Mentored High-School Student wins First Place in Space Science at the Northeastern Science and Engineering Fair</t>
  </si>
  <si>
    <t>https://ciera.northwestern.edu/2014/04/27/ciera-mentored-high-school-student-wins-first-place-in-space-science-at-the-northeastern-science-and-engineering-fair/</t>
  </si>
  <si>
    <t>"LIGO -- A Passion for Understanding" Documentary Released April 15th</t>
  </si>
  <si>
    <t>https://ciera.northwestern.edu/2014/04/25/ligo-a-passion-for-understanding-documentary-released-april-15th/</t>
  </si>
  <si>
    <t>CIERA Fifth Annual Public Lecture: Prof. Maria Zuber Introduces the "New Moon"</t>
  </si>
  <si>
    <t>https://ciera.northwestern.edu/2014/04/04/ciera-fifth-annual-public-lecture-prof-maria-zuber-introduces-the-new-moon/</t>
  </si>
  <si>
    <t>Row Labels</t>
  </si>
  <si>
    <t>Count of id</t>
  </si>
  <si>
    <t>ID</t>
  </si>
  <si>
    <t>Research Topic</t>
  </si>
  <si>
    <t>FY Start Date</t>
  </si>
  <si>
    <t>(blank)</t>
  </si>
  <si>
    <t>Grand Total</t>
  </si>
  <si>
    <t>Press Type</t>
  </si>
  <si>
    <t>Interdisciplinary</t>
  </si>
  <si>
    <t>Category</t>
  </si>
  <si>
    <t>Count of ID</t>
  </si>
  <si>
    <t>Column Labels</t>
  </si>
  <si>
    <t>Month/Day:</t>
  </si>
  <si>
    <t>Last Updated:</t>
  </si>
  <si>
    <t>Total</t>
  </si>
  <si>
    <t>Count of Title</t>
  </si>
  <si>
    <t>International LIGO-Virgo-KAGRA Collaboration Meeting hosted by CIERA</t>
  </si>
  <si>
    <t>https://ciera.northwestern.edu/2023/04/14/international-ligo-virgo-kagra-collaboration-meeting-hosted-by-ciera/</t>
  </si>
  <si>
    <t>Star Eyes outreach initiative communicates new science through new music</t>
  </si>
  <si>
    <t>https://ciera.northwestern.edu/2023/04/17/star-eyes-outreach-initiative-communicates-new-science-through-new-music/</t>
  </si>
  <si>
    <t>Introducing CIERA's Eleven New Postdocs!</t>
  </si>
  <si>
    <t>https://ciera.northwestern.edu/2023/04/18/introducing-cieras-eleven-new-postdocs/</t>
  </si>
  <si>
    <t>CIERA Connections: Ben Nelson on careers in data science</t>
  </si>
  <si>
    <t>https://ciera.northwestern.edu/2023/04/20/ciera-connections-ben-nelson-on-careers-in-data-science/</t>
  </si>
  <si>
    <t>Data Science Challenges in Gravitational Wave Surveys: a CIERA Interdisciplinary Colloquium by Tyson Littenburg</t>
  </si>
  <si>
    <t>https://ciera.northwestern.edu/2023/04/20/data-science-challenges-in-gravitational-wave-surveys-a-ciera-interdisciplinary-colloquium-by-tyson-littenburg/</t>
  </si>
  <si>
    <t>CIERA Associate Faculty Jian Cao Elected to American Academy of Arts and Sciences</t>
  </si>
  <si>
    <t>https://ciera.northwestern.edu/2023/04/25/ciera-associate-faculty-jian-cao-elected-to-american-academy-of-arts-and-sciences/</t>
  </si>
  <si>
    <t>Medium-sized black holes eat stars like messy toddlers</t>
  </si>
  <si>
    <t>https://ciera.northwestern.edu/2023/04/25/medium-sized-black-holes-eat-stars-like-messy-toddlers/</t>
  </si>
  <si>
    <t>Postdoc Caitlin Witt named finalist of Cecilia Payne-Gaposchkin Thesis Award</t>
  </si>
  <si>
    <t>https://ciera.northwestern.edu/2023/04/28/postdoc-caitlin-witt-named-finalist-of-cecilia-payne-gaposchkin-thesis-award/</t>
  </si>
  <si>
    <t>Profs. Wen-fai Fong, Raffaella Margutti and Team Create First-ever Movie of Gamma-ray Burst</t>
  </si>
  <si>
    <t>https://ciera.northwestern.edu/2018/07/26/profs-wen-fai-fong-raffaella-margutti-and-team-create-first-ever-movie-of-gamma-ray-burst/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</si>
</sst>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
      <sz val="18"/>
      <color rgb="FF000000"/>
      <name val="Calibr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4">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8" fillId="34" borderId="0" xfId="0" applyFont="1" applyFill="1" applyAlignment="1">
      <alignment horizontal="left" indent="1"/>
    </xf>
    <xf numFmtId="0" fontId="18" fillId="34" borderId="0" xfId="0" applyFont="1" applyFill="1"/>
    <xf numFmtId="0" fontId="18" fillId="0" borderId="0" xfId="0" applyFont="1" applyAlignment="1">
      <alignment horizontal="left" indent="1"/>
    </xf>
    <xf numFmtId="0" fontId="18" fillId="0" borderId="0" xfId="0" applyFont="1"/>
    <xf numFmtId="0" fontId="0" fillId="34" borderId="0" xfId="0" applyFill="1" applyAlignment="1">
      <alignment horizontal="left" indent="1"/>
    </xf>
    <xf numFmtId="0" fontId="0" fillId="34" borderId="0" xfId="0" applyFill="1"/>
    <xf numFmtId="0" fontId="0" fillId="35" borderId="0" xfId="0" applyFill="1" applyAlignment="1">
      <alignment horizontal="left" indent="1"/>
    </xf>
    <xf numFmtId="0" fontId="18" fillId="35" borderId="0" xfId="0" applyFont="1" applyFill="1"/>
    <xf numFmtId="0" fontId="16" fillId="35" borderId="0" xfId="0" applyFont="1" applyFill="1" applyAlignment="1">
      <alignment horizontal="left" indent="1"/>
    </xf>
    <xf numFmtId="0" fontId="16" fillId="0" borderId="0" xfId="0" applyFont="1" applyAlignment="1">
      <alignment horizontal="left" indent="1"/>
    </xf>
    <xf numFmtId="0" fontId="0" fillId="35" borderId="0" xfId="0" applyFill="1"/>
    <xf numFmtId="0" fontId="16" fillId="35" borderId="0" xfId="0" applyFont="1" applyFill="1"/>
    <xf numFmtId="14" fontId="0" fillId="35" borderId="0" xfId="0" applyNumberFormat="1" applyFill="1"/>
    <xf numFmtId="0" fontId="16" fillId="35" borderId="0" xfId="0" applyFont="1" applyFill="1" applyAlignment="1">
      <alignment horizontal="center"/>
    </xf>
    <xf numFmtId="0" fontId="0" fillId="36" borderId="0" xfId="0" applyFill="1"/>
    <xf numFmtId="0" fontId="20" fillId="36" borderId="0" xfId="0" applyFont="1" applyFill="1"/>
    <xf numFmtId="0" fontId="0" fillId="36" borderId="0" xfId="0" applyFill="1" applyAlignment="1">
      <alignment wrapText="1"/>
    </xf>
    <xf numFmtId="16" fontId="21" fillId="37" borderId="11" xfId="0" applyNumberFormat="1" applyFont="1" applyFill="1" applyBorder="1"/>
    <xf numFmtId="0" fontId="21" fillId="36" borderId="0" xfId="0" applyFont="1" applyFill="1"/>
    <xf numFmtId="0" fontId="19" fillId="37" borderId="10" xfId="0" applyFont="1" applyFill="1" applyBorder="1" applyAlignment="1">
      <alignment horizontal="right" vertical="center"/>
    </xf>
    <xf numFmtId="0" fontId="19" fillId="37" borderId="10" xfId="0" applyFont="1" applyFill="1" applyBorder="1" applyAlignment="1">
      <alignment horizontal="right"/>
    </xf>
    <xf numFmtId="14" fontId="21" fillId="37" borderId="11" xfId="0" applyNumberFormat="1" applyFont="1" applyFill="1" applyBorder="1"/>
    <xf numFmtId="0" fontId="16" fillId="0" borderId="0" xfId="0" applyFont="1"/>
    <xf numFmtId="0" fontId="16" fillId="0" borderId="12" xfId="0" applyFont="1" applyBorder="1"/>
    <xf numFmtId="22" fontId="0" fillId="36" borderId="0" xfId="0" applyNumberFormat="1" applyFill="1"/>
    <xf numFmtId="0" fontId="0" fillId="0" borderId="12" xfId="0" applyBorder="1"/>
    <xf numFmtId="0" fontId="22" fillId="0" borderId="0" xfId="0" applyFon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Research</a:t>
            </a:r>
            <a:r>
              <a:rPr lang="en-US" b="1" baseline="0"/>
              <a:t> Topics Per Fiscal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Black Holes &amp; Dead Stars</c:v>
                </c:pt>
              </c:strCache>
            </c:strRef>
          </c:tx>
          <c:spPr>
            <a:ln w="28575" cap="rnd">
              <a:solidFill>
                <a:schemeClr val="accent1"/>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Metrics!$G$4:$G$14</c:f>
              <c:numCache>
                <c:formatCode>General</c:formatCode>
                <c:ptCount val="10"/>
                <c:pt idx="0">
                  <c:v>4</c:v>
                </c:pt>
                <c:pt idx="1">
                  <c:v>3</c:v>
                </c:pt>
                <c:pt idx="2">
                  <c:v>2</c:v>
                </c:pt>
                <c:pt idx="3">
                  <c:v>9</c:v>
                </c:pt>
                <c:pt idx="4">
                  <c:v>15</c:v>
                </c:pt>
                <c:pt idx="5">
                  <c:v>8</c:v>
                </c:pt>
                <c:pt idx="6">
                  <c:v>10</c:v>
                </c:pt>
                <c:pt idx="7">
                  <c:v>15</c:v>
                </c:pt>
                <c:pt idx="8">
                  <c:v>17</c:v>
                </c:pt>
                <c:pt idx="9">
                  <c:v>12</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Exoplanets &amp; The Solar System</c:v>
                </c:pt>
              </c:strCache>
            </c:strRef>
          </c:tx>
          <c:spPr>
            <a:ln w="28575" cap="rnd">
              <a:solidFill>
                <a:schemeClr val="accent2"/>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Metrics!$H$4:$H$14</c:f>
              <c:numCache>
                <c:formatCode>General</c:formatCode>
                <c:ptCount val="10"/>
                <c:pt idx="0">
                  <c:v>1</c:v>
                </c:pt>
                <c:pt idx="1">
                  <c:v>8</c:v>
                </c:pt>
                <c:pt idx="2">
                  <c:v>5</c:v>
                </c:pt>
                <c:pt idx="3">
                  <c:v>12</c:v>
                </c:pt>
                <c:pt idx="4">
                  <c:v>2</c:v>
                </c:pt>
                <c:pt idx="5">
                  <c:v>3</c:v>
                </c:pt>
                <c:pt idx="6">
                  <c:v>4</c:v>
                </c:pt>
                <c:pt idx="7">
                  <c:v>6</c:v>
                </c:pt>
                <c:pt idx="8">
                  <c:v>3</c:v>
                </c:pt>
                <c:pt idx="9">
                  <c:v>14</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Galaxies &amp; Cosmology</c:v>
                </c:pt>
              </c:strCache>
            </c:strRef>
          </c:tx>
          <c:spPr>
            <a:ln w="28575" cap="rnd">
              <a:solidFill>
                <a:schemeClr val="accent3"/>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Metrics!$I$4:$I$14</c:f>
              <c:numCache>
                <c:formatCode>General</c:formatCode>
                <c:ptCount val="10"/>
                <c:pt idx="0">
                  <c:v>1</c:v>
                </c:pt>
                <c:pt idx="1">
                  <c:v>4</c:v>
                </c:pt>
                <c:pt idx="2">
                  <c:v>3</c:v>
                </c:pt>
                <c:pt idx="3">
                  <c:v>8</c:v>
                </c:pt>
                <c:pt idx="4">
                  <c:v>8</c:v>
                </c:pt>
                <c:pt idx="5">
                  <c:v>5</c:v>
                </c:pt>
                <c:pt idx="6">
                  <c:v>9</c:v>
                </c:pt>
                <c:pt idx="7">
                  <c:v>8</c:v>
                </c:pt>
                <c:pt idx="8">
                  <c:v>9</c:v>
                </c:pt>
                <c:pt idx="9">
                  <c:v>9</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Gravitational Waves &amp; Multi-Messenger Astronomy</c:v>
                </c:pt>
              </c:strCache>
            </c:strRef>
          </c:tx>
          <c:spPr>
            <a:ln w="28575" cap="rnd">
              <a:solidFill>
                <a:schemeClr val="accent4"/>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Metrics!$J$4:$J$14</c:f>
              <c:numCache>
                <c:formatCode>General</c:formatCode>
                <c:ptCount val="10"/>
                <c:pt idx="0">
                  <c:v>4</c:v>
                </c:pt>
                <c:pt idx="1">
                  <c:v>1</c:v>
                </c:pt>
                <c:pt idx="2">
                  <c:v>13</c:v>
                </c:pt>
                <c:pt idx="3">
                  <c:v>15</c:v>
                </c:pt>
                <c:pt idx="4">
                  <c:v>18</c:v>
                </c:pt>
                <c:pt idx="5">
                  <c:v>20</c:v>
                </c:pt>
                <c:pt idx="6">
                  <c:v>12</c:v>
                </c:pt>
                <c:pt idx="7">
                  <c:v>15</c:v>
                </c:pt>
                <c:pt idx="8">
                  <c:v>13</c:v>
                </c:pt>
                <c:pt idx="9">
                  <c:v>18</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Life &amp; Death of Stars</c:v>
                </c:pt>
              </c:strCache>
            </c:strRef>
          </c:tx>
          <c:spPr>
            <a:ln w="28575" cap="rnd">
              <a:solidFill>
                <a:schemeClr val="accent5"/>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Metrics!$K$4:$K$14</c:f>
              <c:numCache>
                <c:formatCode>General</c:formatCode>
                <c:ptCount val="10"/>
                <c:pt idx="1">
                  <c:v>3</c:v>
                </c:pt>
                <c:pt idx="2">
                  <c:v>2</c:v>
                </c:pt>
                <c:pt idx="3">
                  <c:v>11</c:v>
                </c:pt>
                <c:pt idx="4">
                  <c:v>7</c:v>
                </c:pt>
                <c:pt idx="5">
                  <c:v>6</c:v>
                </c:pt>
                <c:pt idx="6">
                  <c:v>13</c:v>
                </c:pt>
                <c:pt idx="7">
                  <c:v>12</c:v>
                </c:pt>
                <c:pt idx="8">
                  <c:v>21</c:v>
                </c:pt>
                <c:pt idx="9">
                  <c:v>13</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Stellar Dynamics &amp; Stellar Populations</c:v>
                </c:pt>
              </c:strCache>
            </c:strRef>
          </c:tx>
          <c:spPr>
            <a:ln w="28575" cap="rnd">
              <a:solidFill>
                <a:schemeClr val="accent6"/>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Metrics!$L$4:$L$14</c:f>
              <c:numCache>
                <c:formatCode>General</c:formatCode>
                <c:ptCount val="10"/>
                <c:pt idx="2">
                  <c:v>5</c:v>
                </c:pt>
                <c:pt idx="3">
                  <c:v>4</c:v>
                </c:pt>
                <c:pt idx="4">
                  <c:v>8</c:v>
                </c:pt>
                <c:pt idx="5">
                  <c:v>5</c:v>
                </c:pt>
                <c:pt idx="6">
                  <c:v>4</c:v>
                </c:pt>
                <c:pt idx="7">
                  <c:v>6</c:v>
                </c:pt>
                <c:pt idx="8">
                  <c:v>5</c:v>
                </c:pt>
                <c:pt idx="9">
                  <c:v>9</c:v>
                </c:pt>
              </c:numCache>
            </c:numRef>
          </c:val>
          <c:smooth val="0"/>
          <c:extLst>
            <c:ext xmlns:c16="http://schemas.microsoft.com/office/drawing/2014/chart" uri="{C3380CC4-5D6E-409C-BE32-E72D297353CC}">
              <c16:uniqueId val="{00000031-65D9-4378-A160-77BF821C4E02}"/>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2325398286546281"/>
          <c:h val="0.73188524853869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CIERA Stories</c:v>
                </c:pt>
              </c:strCache>
            </c:strRef>
          </c:tx>
          <c:spPr>
            <a:ln w="28575" cap="rnd">
              <a:solidFill>
                <a:schemeClr val="accent1"/>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Metrics!$G$20:$G$30</c:f>
              <c:numCache>
                <c:formatCode>General</c:formatCode>
                <c:ptCount val="10"/>
                <c:pt idx="0">
                  <c:v>26</c:v>
                </c:pt>
                <c:pt idx="1">
                  <c:v>45</c:v>
                </c:pt>
                <c:pt idx="2">
                  <c:v>58</c:v>
                </c:pt>
                <c:pt idx="3">
                  <c:v>46</c:v>
                </c:pt>
                <c:pt idx="4">
                  <c:v>38</c:v>
                </c:pt>
                <c:pt idx="5">
                  <c:v>42</c:v>
                </c:pt>
                <c:pt idx="6">
                  <c:v>34</c:v>
                </c:pt>
                <c:pt idx="7">
                  <c:v>24</c:v>
                </c:pt>
                <c:pt idx="8">
                  <c:v>26</c:v>
                </c:pt>
                <c:pt idx="9">
                  <c:v>32</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External Press</c:v>
                </c:pt>
              </c:strCache>
            </c:strRef>
          </c:tx>
          <c:spPr>
            <a:ln w="28575" cap="rnd">
              <a:solidFill>
                <a:schemeClr val="accent2"/>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Metrics!$H$20:$H$30</c:f>
              <c:numCache>
                <c:formatCode>General</c:formatCode>
                <c:ptCount val="10"/>
                <c:pt idx="0">
                  <c:v>10</c:v>
                </c:pt>
                <c:pt idx="1">
                  <c:v>9</c:v>
                </c:pt>
                <c:pt idx="2">
                  <c:v>11</c:v>
                </c:pt>
                <c:pt idx="3">
                  <c:v>16</c:v>
                </c:pt>
                <c:pt idx="4">
                  <c:v>17</c:v>
                </c:pt>
                <c:pt idx="5">
                  <c:v>31</c:v>
                </c:pt>
                <c:pt idx="6">
                  <c:v>13</c:v>
                </c:pt>
                <c:pt idx="7">
                  <c:v>10</c:v>
                </c:pt>
                <c:pt idx="8">
                  <c:v>8</c:v>
                </c:pt>
                <c:pt idx="9">
                  <c:v>7</c:v>
                </c:pt>
              </c:numCache>
            </c:numRef>
          </c:val>
          <c:smooth val="0"/>
          <c:extLst>
            <c:ext xmlns:c16="http://schemas.microsoft.com/office/drawing/2014/chart" uri="{C3380CC4-5D6E-409C-BE32-E72D297353CC}">
              <c16:uniqueId val="{00000009-1E4D-4530-8FF0-67601B676150}"/>
            </c:ext>
          </c:extLst>
        </c:ser>
        <c:ser>
          <c:idx val="2"/>
          <c:order val="2"/>
          <c:tx>
            <c:strRef>
              <c:f>Metrics!$I$18:$I$19</c:f>
              <c:strCache>
                <c:ptCount val="1"/>
                <c:pt idx="0">
                  <c:v>Northwestern Press</c:v>
                </c:pt>
              </c:strCache>
            </c:strRef>
          </c:tx>
          <c:spPr>
            <a:ln w="28575" cap="rnd">
              <a:solidFill>
                <a:schemeClr val="accent3"/>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Metrics!$I$20:$I$30</c:f>
              <c:numCache>
                <c:formatCode>General</c:formatCode>
                <c:ptCount val="10"/>
                <c:pt idx="0">
                  <c:v>1</c:v>
                </c:pt>
                <c:pt idx="1">
                  <c:v>10</c:v>
                </c:pt>
                <c:pt idx="2">
                  <c:v>12</c:v>
                </c:pt>
                <c:pt idx="3">
                  <c:v>17</c:v>
                </c:pt>
                <c:pt idx="4">
                  <c:v>13</c:v>
                </c:pt>
                <c:pt idx="5">
                  <c:v>12</c:v>
                </c:pt>
                <c:pt idx="6">
                  <c:v>16</c:v>
                </c:pt>
                <c:pt idx="7">
                  <c:v>15</c:v>
                </c:pt>
                <c:pt idx="8">
                  <c:v>17</c:v>
                </c:pt>
                <c:pt idx="9">
                  <c:v>11</c:v>
                </c:pt>
              </c:numCache>
            </c:numRef>
          </c:val>
          <c:smooth val="0"/>
          <c:extLst>
            <c:ext xmlns:c16="http://schemas.microsoft.com/office/drawing/2014/chart" uri="{C3380CC4-5D6E-409C-BE32-E72D297353CC}">
              <c16:uniqueId val="{0000000A-1E4D-4530-8FF0-67601B676150}"/>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Achievement</c:v>
                </c:pt>
              </c:strCache>
            </c:strRef>
          </c:tx>
          <c:spPr>
            <a:ln w="28575" cap="rnd">
              <a:solidFill>
                <a:schemeClr val="accent1"/>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Metrics!$G$36:$G$46</c:f>
              <c:numCache>
                <c:formatCode>General</c:formatCode>
                <c:ptCount val="10"/>
                <c:pt idx="0">
                  <c:v>17</c:v>
                </c:pt>
                <c:pt idx="1">
                  <c:v>24</c:v>
                </c:pt>
                <c:pt idx="2">
                  <c:v>18</c:v>
                </c:pt>
                <c:pt idx="3">
                  <c:v>35</c:v>
                </c:pt>
                <c:pt idx="4">
                  <c:v>29</c:v>
                </c:pt>
                <c:pt idx="5">
                  <c:v>26</c:v>
                </c:pt>
                <c:pt idx="6">
                  <c:v>22</c:v>
                </c:pt>
                <c:pt idx="7">
                  <c:v>16</c:v>
                </c:pt>
                <c:pt idx="8">
                  <c:v>19</c:v>
                </c:pt>
                <c:pt idx="9">
                  <c:v>15</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Data Science &amp; Computing</c:v>
                </c:pt>
              </c:strCache>
            </c:strRef>
          </c:tx>
          <c:spPr>
            <a:ln w="28575" cap="rnd">
              <a:solidFill>
                <a:schemeClr val="accent2"/>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Metrics!$H$36:$H$46</c:f>
              <c:numCache>
                <c:formatCode>General</c:formatCode>
                <c:ptCount val="10"/>
                <c:pt idx="0">
                  <c:v>1</c:v>
                </c:pt>
                <c:pt idx="1">
                  <c:v>2</c:v>
                </c:pt>
                <c:pt idx="2">
                  <c:v>7</c:v>
                </c:pt>
                <c:pt idx="3">
                  <c:v>7</c:v>
                </c:pt>
                <c:pt idx="4">
                  <c:v>4</c:v>
                </c:pt>
                <c:pt idx="5">
                  <c:v>8</c:v>
                </c:pt>
                <c:pt idx="6">
                  <c:v>7</c:v>
                </c:pt>
                <c:pt idx="7">
                  <c:v>4</c:v>
                </c:pt>
                <c:pt idx="8">
                  <c:v>2</c:v>
                </c:pt>
                <c:pt idx="9">
                  <c:v>5</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Education</c:v>
                </c:pt>
              </c:strCache>
            </c:strRef>
          </c:tx>
          <c:spPr>
            <a:ln w="28575" cap="rnd">
              <a:solidFill>
                <a:schemeClr val="accent3"/>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Metrics!$I$36:$I$46</c:f>
              <c:numCache>
                <c:formatCode>General</c:formatCode>
                <c:ptCount val="10"/>
                <c:pt idx="0">
                  <c:v>9</c:v>
                </c:pt>
                <c:pt idx="1">
                  <c:v>16</c:v>
                </c:pt>
                <c:pt idx="2">
                  <c:v>30</c:v>
                </c:pt>
                <c:pt idx="3">
                  <c:v>12</c:v>
                </c:pt>
                <c:pt idx="4">
                  <c:v>8</c:v>
                </c:pt>
                <c:pt idx="5">
                  <c:v>13</c:v>
                </c:pt>
                <c:pt idx="6">
                  <c:v>11</c:v>
                </c:pt>
                <c:pt idx="7">
                  <c:v>3</c:v>
                </c:pt>
                <c:pt idx="8">
                  <c:v>6</c:v>
                </c:pt>
                <c:pt idx="9">
                  <c:v>12</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Event</c:v>
                </c:pt>
              </c:strCache>
            </c:strRef>
          </c:tx>
          <c:spPr>
            <a:ln w="28575" cap="rnd">
              <a:solidFill>
                <a:schemeClr val="accent4"/>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Metrics!$J$36:$J$46</c:f>
              <c:numCache>
                <c:formatCode>General</c:formatCode>
                <c:ptCount val="10"/>
                <c:pt idx="0">
                  <c:v>13</c:v>
                </c:pt>
                <c:pt idx="1">
                  <c:v>21</c:v>
                </c:pt>
                <c:pt idx="2">
                  <c:v>43</c:v>
                </c:pt>
                <c:pt idx="3">
                  <c:v>23</c:v>
                </c:pt>
                <c:pt idx="4">
                  <c:v>19</c:v>
                </c:pt>
                <c:pt idx="5">
                  <c:v>23</c:v>
                </c:pt>
                <c:pt idx="6">
                  <c:v>10</c:v>
                </c:pt>
                <c:pt idx="7">
                  <c:v>4</c:v>
                </c:pt>
                <c:pt idx="8">
                  <c:v>7</c:v>
                </c:pt>
                <c:pt idx="9">
                  <c:v>16</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Interdisciplinary</c:v>
                </c:pt>
              </c:strCache>
            </c:strRef>
          </c:tx>
          <c:spPr>
            <a:ln w="28575" cap="rnd">
              <a:solidFill>
                <a:schemeClr val="accent5"/>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Metrics!$K$36:$K$46</c:f>
              <c:numCache>
                <c:formatCode>General</c:formatCode>
                <c:ptCount val="10"/>
                <c:pt idx="0">
                  <c:v>6</c:v>
                </c:pt>
                <c:pt idx="1">
                  <c:v>9</c:v>
                </c:pt>
                <c:pt idx="2">
                  <c:v>14</c:v>
                </c:pt>
                <c:pt idx="3">
                  <c:v>20</c:v>
                </c:pt>
                <c:pt idx="4">
                  <c:v>13</c:v>
                </c:pt>
                <c:pt idx="5">
                  <c:v>22</c:v>
                </c:pt>
                <c:pt idx="6">
                  <c:v>9</c:v>
                </c:pt>
                <c:pt idx="7">
                  <c:v>5</c:v>
                </c:pt>
                <c:pt idx="8">
                  <c:v>3</c:v>
                </c:pt>
                <c:pt idx="9">
                  <c:v>13</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Outreach</c:v>
                </c:pt>
              </c:strCache>
            </c:strRef>
          </c:tx>
          <c:spPr>
            <a:ln w="28575" cap="rnd">
              <a:solidFill>
                <a:schemeClr val="accent6"/>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Metrics!$L$36:$L$46</c:f>
              <c:numCache>
                <c:formatCode>General</c:formatCode>
                <c:ptCount val="10"/>
                <c:pt idx="0">
                  <c:v>11</c:v>
                </c:pt>
                <c:pt idx="1">
                  <c:v>12</c:v>
                </c:pt>
                <c:pt idx="2">
                  <c:v>24</c:v>
                </c:pt>
                <c:pt idx="3">
                  <c:v>15</c:v>
                </c:pt>
                <c:pt idx="4">
                  <c:v>12</c:v>
                </c:pt>
                <c:pt idx="5">
                  <c:v>19</c:v>
                </c:pt>
                <c:pt idx="6">
                  <c:v>8</c:v>
                </c:pt>
                <c:pt idx="7">
                  <c:v>5</c:v>
                </c:pt>
                <c:pt idx="8">
                  <c:v>8</c:v>
                </c:pt>
                <c:pt idx="9">
                  <c:v>10</c:v>
                </c:pt>
              </c:numCache>
            </c:numRef>
          </c:val>
          <c:smooth val="0"/>
          <c:extLst>
            <c:ext xmlns:c16="http://schemas.microsoft.com/office/drawing/2014/chart" uri="{C3380CC4-5D6E-409C-BE32-E72D297353CC}">
              <c16:uniqueId val="{0000000D-B6AF-4AA7-B901-382E122B456A}"/>
            </c:ext>
          </c:extLst>
        </c:ser>
        <c:ser>
          <c:idx val="6"/>
          <c:order val="6"/>
          <c:tx>
            <c:strRef>
              <c:f>Metrics!$M$34:$M$35</c:f>
              <c:strCache>
                <c:ptCount val="1"/>
                <c:pt idx="0">
                  <c:v>Science</c:v>
                </c:pt>
              </c:strCache>
            </c:strRef>
          </c:tx>
          <c:spPr>
            <a:ln w="28575" cap="rnd">
              <a:solidFill>
                <a:schemeClr val="accent1">
                  <a:lumMod val="60000"/>
                </a:schemeClr>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Metrics!$M$36:$M$46</c:f>
              <c:numCache>
                <c:formatCode>General</c:formatCode>
                <c:ptCount val="10"/>
                <c:pt idx="0">
                  <c:v>11</c:v>
                </c:pt>
                <c:pt idx="1">
                  <c:v>18</c:v>
                </c:pt>
                <c:pt idx="2">
                  <c:v>16</c:v>
                </c:pt>
                <c:pt idx="3">
                  <c:v>15</c:v>
                </c:pt>
                <c:pt idx="4">
                  <c:v>20</c:v>
                </c:pt>
                <c:pt idx="5">
                  <c:v>30</c:v>
                </c:pt>
                <c:pt idx="6">
                  <c:v>28</c:v>
                </c:pt>
                <c:pt idx="7">
                  <c:v>21</c:v>
                </c:pt>
                <c:pt idx="8">
                  <c:v>23</c:v>
                </c:pt>
                <c:pt idx="9">
                  <c:v>18</c:v>
                </c:pt>
              </c:numCache>
            </c:numRef>
          </c:val>
          <c:smooth val="0"/>
          <c:extLst>
            <c:ext xmlns:c16="http://schemas.microsoft.com/office/drawing/2014/chart" uri="{C3380CC4-5D6E-409C-BE32-E72D297353CC}">
              <c16:uniqueId val="{0000000E-B6AF-4AA7-B901-382E122B456A}"/>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Number of Articles Per</a:t>
            </a:r>
            <a:r>
              <a:rPr lang="en-US" b="1" baseline="0"/>
              <a:t>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Metrics!$G$49</c:f>
              <c:strCache>
                <c:ptCount val="1"/>
                <c:pt idx="0">
                  <c:v>Total</c:v>
                </c:pt>
              </c:strCache>
            </c:strRef>
          </c:tx>
          <c:spPr>
            <a:ln w="28575" cap="rnd">
              <a:solidFill>
                <a:schemeClr val="accent1"/>
              </a:solidFill>
              <a:round/>
            </a:ln>
            <a:effectLst/>
          </c:spPr>
          <c:marker>
            <c:symbol val="none"/>
          </c:marker>
          <c:cat>
            <c:strRef>
              <c:f>Metrics!$F$50:$F$51</c:f>
              <c:strCache>
                <c:ptCount val="1"/>
                <c:pt idx="0">
                  <c:v>(blank)</c:v>
                </c:pt>
              </c:strCache>
            </c:strRef>
          </c:cat>
          <c:val>
            <c:numRef>
              <c:f>Metrics!$G$50:$G$51</c:f>
              <c:numCache>
                <c:formatCode>General</c:formatCode>
                <c:ptCount val="1"/>
                <c:pt idx="0">
                  <c:v>536</c:v>
                </c:pt>
              </c:numCache>
            </c:numRef>
          </c:val>
          <c:smooth val="0"/>
          <c:extLst>
            <c:ext xmlns:c16="http://schemas.microsoft.com/office/drawing/2014/chart" uri="{C3380CC4-5D6E-409C-BE32-E72D297353CC}">
              <c16:uniqueId val="{00000000-F1CA-C74A-95FA-E954BD1EFA6E}"/>
            </c:ext>
          </c:extLst>
        </c:ser>
        <c:dLbls>
          <c:showLegendKey val="0"/>
          <c:showVal val="0"/>
          <c:showCatName val="0"/>
          <c:showSerName val="0"/>
          <c:showPercent val="0"/>
          <c:showBubbleSize val="0"/>
        </c:dLbls>
        <c:smooth val="0"/>
        <c:axId val="1369022816"/>
        <c:axId val="1369020736"/>
      </c:lineChart>
      <c:catAx>
        <c:axId val="13690228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020736"/>
        <c:crosses val="autoZero"/>
        <c:auto val="1"/>
        <c:lblAlgn val="ctr"/>
        <c:lblOffset val="100"/>
        <c:noMultiLvlLbl val="0"/>
      </c:catAx>
      <c:valAx>
        <c:axId val="136902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Articles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022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NU Press Releases</c:v>
          </c:tx>
          <c:spPr>
            <a:ln w="28575" cap="rnd">
              <a:solidFill>
                <a:schemeClr val="accent1"/>
              </a:solidFill>
              <a:round/>
            </a:ln>
            <a:effectLst/>
          </c:spPr>
          <c:marker>
            <c:symbol val="none"/>
          </c:marker>
          <c:cat>
            <c:numRef>
              <c:f>Sheet1!$A$1:$A$8</c:f>
              <c:numCache>
                <c:formatCode>General</c:formatCode>
                <c:ptCount val="8"/>
                <c:pt idx="0">
                  <c:v>2015</c:v>
                </c:pt>
                <c:pt idx="1">
                  <c:v>2016</c:v>
                </c:pt>
                <c:pt idx="2">
                  <c:v>2017</c:v>
                </c:pt>
                <c:pt idx="3">
                  <c:v>2018</c:v>
                </c:pt>
                <c:pt idx="4">
                  <c:v>2019</c:v>
                </c:pt>
                <c:pt idx="5">
                  <c:v>2020</c:v>
                </c:pt>
                <c:pt idx="6">
                  <c:v>2021</c:v>
                </c:pt>
                <c:pt idx="7">
                  <c:v>2022</c:v>
                </c:pt>
              </c:numCache>
            </c:numRef>
          </c:cat>
          <c:val>
            <c:numRef>
              <c:f>Sheet1!$B$1:$B$8</c:f>
              <c:numCache>
                <c:formatCode>General</c:formatCode>
                <c:ptCount val="8"/>
                <c:pt idx="0">
                  <c:v>10</c:v>
                </c:pt>
                <c:pt idx="1">
                  <c:v>12</c:v>
                </c:pt>
                <c:pt idx="2">
                  <c:v>17</c:v>
                </c:pt>
                <c:pt idx="3">
                  <c:v>13</c:v>
                </c:pt>
                <c:pt idx="4">
                  <c:v>12</c:v>
                </c:pt>
                <c:pt idx="5">
                  <c:v>16</c:v>
                </c:pt>
                <c:pt idx="6">
                  <c:v>15</c:v>
                </c:pt>
                <c:pt idx="7">
                  <c:v>17</c:v>
                </c:pt>
              </c:numCache>
            </c:numRef>
          </c:val>
          <c:smooth val="0"/>
          <c:extLst>
            <c:ext xmlns:c16="http://schemas.microsoft.com/office/drawing/2014/chart" uri="{C3380CC4-5D6E-409C-BE32-E72D297353CC}">
              <c16:uniqueId val="{00000000-DF87-46B4-BC82-D4BEE5665CD1}"/>
            </c:ext>
          </c:extLst>
        </c:ser>
        <c:dLbls>
          <c:showLegendKey val="0"/>
          <c:showVal val="0"/>
          <c:showCatName val="0"/>
          <c:showSerName val="0"/>
          <c:showPercent val="0"/>
          <c:showBubbleSize val="0"/>
        </c:dLbls>
        <c:smooth val="0"/>
        <c:axId val="1015480760"/>
        <c:axId val="1023106592"/>
      </c:lineChart>
      <c:catAx>
        <c:axId val="101548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06592"/>
        <c:crosses val="autoZero"/>
        <c:auto val="1"/>
        <c:lblAlgn val="ctr"/>
        <c:lblOffset val="100"/>
        <c:noMultiLvlLbl val="0"/>
      </c:catAx>
      <c:valAx>
        <c:axId val="1023106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8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558800</xdr:colOff>
          <xdr:row>11</xdr:row>
          <xdr:rowOff>127000</xdr:rowOff>
        </xdr:from>
        <xdr:to>
          <xdr:col>2</xdr:col>
          <xdr:colOff>850900</xdr:colOff>
          <xdr:row>16</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UPDATE</a:t>
              </a:r>
            </a:p>
          </xdr:txBody>
        </xdr:sp>
        <xdr:clientData fPrintsWithSheet="0"/>
      </xdr:twoCellAnchor>
    </mc:Choice>
    <mc:Fallback/>
  </mc:AlternateContent>
  <xdr:twoCellAnchor>
    <xdr:from>
      <xdr:col>15</xdr:col>
      <xdr:colOff>341404</xdr:colOff>
      <xdr:row>7</xdr:row>
      <xdr:rowOff>0</xdr:rowOff>
    </xdr:from>
    <xdr:to>
      <xdr:col>35</xdr:col>
      <xdr:colOff>228600</xdr:colOff>
      <xdr:row>21</xdr:row>
      <xdr:rowOff>148896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103188</xdr:colOff>
      <xdr:row>23</xdr:row>
      <xdr:rowOff>62442</xdr:rowOff>
    </xdr:from>
    <xdr:to>
      <xdr:col>33</xdr:col>
      <xdr:colOff>111125</xdr:colOff>
      <xdr:row>40</xdr:row>
      <xdr:rowOff>15875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179916</xdr:colOff>
      <xdr:row>41</xdr:row>
      <xdr:rowOff>20107</xdr:rowOff>
    </xdr:from>
    <xdr:to>
      <xdr:col>33</xdr:col>
      <xdr:colOff>31750</xdr:colOff>
      <xdr:row>63</xdr:row>
      <xdr:rowOff>79375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27</xdr:row>
      <xdr:rowOff>169334</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90501" y="3947586"/>
          <a:ext cx="3640666" cy="1492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a:t>
          </a:r>
          <a:r>
            <a:rPr lang="en-US" sz="1400"/>
            <a:t>Make</a:t>
          </a:r>
          <a:r>
            <a:rPr lang="en-US" sz="1400" baseline="0"/>
            <a:t> a copy of the most recent News Report in Box and archive any other versions. Remove the date from the copy's name, so the file name is "News_Report.csv". This report will be used to generate the metrics.</a:t>
          </a:r>
          <a:endParaRPr lang="en-US" sz="1400"/>
        </a:p>
      </xdr:txBody>
    </xdr:sp>
    <xdr:clientData/>
  </xdr:twoCellAnchor>
  <xdr:twoCellAnchor>
    <xdr:from>
      <xdr:col>0</xdr:col>
      <xdr:colOff>190501</xdr:colOff>
      <xdr:row>29</xdr:row>
      <xdr:rowOff>2</xdr:rowOff>
    </xdr:from>
    <xdr:to>
      <xdr:col>2</xdr:col>
      <xdr:colOff>1227667</xdr:colOff>
      <xdr:row>38</xdr:row>
      <xdr:rowOff>95252</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90501" y="5630335"/>
          <a:ext cx="3640666"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8</xdr:col>
      <xdr:colOff>904875</xdr:colOff>
      <xdr:row>48</xdr:row>
      <xdr:rowOff>157692</xdr:rowOff>
    </xdr:from>
    <xdr:to>
      <xdr:col>11</xdr:col>
      <xdr:colOff>2185458</xdr:colOff>
      <xdr:row>64</xdr:row>
      <xdr:rowOff>22225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558800</xdr:colOff>
      <xdr:row>3</xdr:row>
      <xdr:rowOff>149225</xdr:rowOff>
    </xdr:from>
    <xdr:to>
      <xdr:col>13</xdr:col>
      <xdr:colOff>431799</xdr:colOff>
      <xdr:row>16</xdr:row>
      <xdr:rowOff>12701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89.714651388887" createdVersion="6" refreshedVersion="8" minRefreshableVersion="3" recordCount="9999" xr:uid="{00000000-000A-0000-FFFF-FFFF1F000000}">
  <cacheSource type="worksheet">
    <worksheetSource ref="A1:G1048576" sheet="News"/>
  </cacheSource>
  <cacheFields count="9">
    <cacheField name="id" numFmtId="0">
      <sharedItems containsString="0" containsBlank="1" containsNumber="1" containsInteger="1" minValue="433" maxValue="8271" count="542">
        <n v="8271"/>
        <n v="8247"/>
        <n v="8250"/>
        <n v="8223"/>
        <n v="8226"/>
        <n v="8204"/>
        <n v="8173"/>
        <n v="8166"/>
        <n v="8153"/>
        <n v="8085"/>
        <n v="8125"/>
        <n v="8131"/>
        <n v="8054"/>
        <n v="8056"/>
        <n v="8061"/>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3"/>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385" u="1"/>
        <n v="4480" u="1"/>
        <n v="7523" u="1"/>
        <n v="7912" u="1"/>
      </sharedItems>
    </cacheField>
    <cacheField name="Title" numFmtId="0">
      <sharedItems containsBlank="1"/>
    </cacheField>
    <cacheField name="Date" numFmtId="0">
      <sharedItems containsNonDate="0" containsDate="1" containsString="0" containsBlank="1" minDate="2014-04-04T00:00:00" maxDate="2023-04-29T00:00:00" count="487">
        <d v="2023-04-28T00:00:00"/>
        <d v="2023-04-25T00:00:00"/>
        <d v="2023-04-20T00:00:00"/>
        <d v="2023-04-18T00:00:00"/>
        <d v="2023-04-17T00:00:00"/>
        <d v="2023-04-14T00:00:00"/>
        <d v="2023-04-04T00:00:00"/>
        <d v="2023-03-28T00:00:00"/>
        <d v="2023-03-08T00:00:00"/>
        <d v="2023-02-16T00:00:00"/>
        <d v="2023-02-03T00:00:00"/>
        <d v="2023-01-31T00:00:00"/>
        <d v="2023-01-23T00:00:00"/>
        <d v="2023-01-18T00:00:00"/>
        <d v="2023-01-17T00:00:00"/>
        <d v="2023-01-13T00:00:00"/>
        <d v="2023-01-11T00:00:00"/>
        <d v="2023-01-10T00:00:00"/>
        <d v="2023-01-06T00:00:00"/>
        <d v="2023-01-05T00:00:00"/>
        <d v="2022-12-16T00:00:00"/>
        <d v="2022-12-08T00:00:00"/>
        <d v="2022-12-07T00:00:00"/>
        <d v="2022-11-28T00:00:00"/>
        <d v="2022-11-21T00:00:00"/>
        <d v="2022-11-14T00:00:00"/>
        <d v="2022-11-11T00:00:00"/>
        <d v="2022-11-08T00:00:00"/>
        <d v="2022-11-07T00:00:00"/>
        <d v="2022-11-04T00:00:00"/>
        <d v="2022-10-20T00:00:00"/>
        <d v="2022-10-18T00:00:00"/>
        <d v="2022-10-13T00:00:00"/>
        <d v="2022-10-12T00:00:00"/>
        <d v="2022-09-16T00:00:00"/>
        <d v="2022-09-14T00:00:00"/>
        <d v="2022-09-12T00:00:00"/>
        <d v="2022-09-06T00:00:00"/>
        <d v="2022-09-01T00:00:00"/>
        <d v="2022-08-31T00:00:00"/>
        <d v="2022-08-29T00:00:00"/>
        <d v="2022-08-12T00:00:00"/>
        <d v="2022-08-11T00:00:00"/>
        <d v="2022-08-08T00:00:00"/>
        <d v="2022-08-03T00:00:00"/>
        <d v="2022-07-12T00:00:00"/>
        <d v="2022-07-08T00:00:00"/>
        <d v="2022-06-29T00:00:00"/>
        <d v="2022-06-21T00:00:00"/>
        <d v="2022-06-13T00:00:00"/>
        <d v="2022-06-08T00:00:00"/>
        <d v="2022-06-07T00:00:00"/>
        <d v="2022-06-01T00:00:00"/>
        <d v="2022-05-20T00:00:00"/>
        <d v="2022-05-03T00:00:00"/>
        <d v="2022-04-29T00:00:00"/>
        <d v="2022-04-20T00:00:00"/>
        <d v="2022-04-18T00:00:00"/>
        <d v="2022-04-08T00:00:00"/>
        <d v="2022-04-06T00:00:00"/>
        <d v="2022-04-01T00:00:00"/>
        <d v="2022-03-16T00:00:00"/>
        <d v="2022-02-28T00:00:00"/>
        <d v="2022-02-24T00:00:00"/>
        <d v="2022-02-23T00:00:00"/>
        <d v="2022-02-15T00:00:00"/>
        <d v="2022-02-09T00:00:00"/>
        <d v="2022-01-26T00:00:00"/>
        <d v="2022-01-06T00:00:00"/>
        <d v="2021-12-17T00:00:00"/>
        <d v="2021-11-08T00:00:00"/>
        <d v="2021-11-01T00:00:00"/>
        <d v="2021-10-21T00:00:00"/>
        <d v="2021-10-20T00:00:00"/>
        <d v="2021-10-14T00:00:00"/>
        <d v="2021-09-08T00:00:00"/>
        <d v="2021-09-01T00:00:00"/>
        <d v="2021-08-30T00:00:00"/>
        <d v="2021-08-17T00:00:00"/>
        <d v="2021-08-16T00:00:00"/>
        <d v="2021-06-29T00:00:00"/>
        <d v="2021-05-20T00:00:00"/>
        <d v="2021-05-18T00:00:00"/>
        <d v="2021-05-17T00:00:00"/>
        <d v="2021-05-05T00:00:00"/>
        <d v="2021-05-03T00:00:00"/>
        <d v="2021-04-28T00:00:00"/>
        <d v="2021-04-23T00:00:00"/>
        <d v="2021-04-19T00:00:00"/>
        <d v="2021-04-17T00:00:00"/>
        <d v="2021-04-12T00:00:00"/>
        <d v="2021-04-02T00:00:00"/>
        <d v="2021-03-25T00:00:00"/>
        <d v="2021-03-24T00:00:00"/>
        <d v="2021-03-18T00:00:00"/>
        <d v="2021-03-15T00:00:00"/>
        <d v="2021-03-12T00:00:00"/>
        <d v="2021-02-18T00:00:00"/>
        <d v="2021-02-01T00:00:00"/>
        <d v="2021-01-28T00:00:00"/>
        <d v="2021-01-15T00:00:00"/>
        <d v="2020-12-21T00:00:00"/>
        <d v="2020-12-14T00:00:00"/>
        <d v="2020-11-30T00:00:00"/>
        <d v="2020-11-23T00:00:00"/>
        <d v="2020-11-16T00:00:00"/>
        <d v="2020-11-12T00:00:00"/>
        <d v="2020-11-03T00:00:00"/>
        <d v="2020-10-30T00:00:00"/>
        <d v="2020-10-29T00:00:00"/>
        <d v="2020-10-28T00:00:00"/>
        <d v="2020-10-25T00:00:00"/>
        <d v="2020-10-20T00:00:00"/>
        <d v="2020-10-12T00:00:00"/>
        <d v="2020-10-01T00:00:00"/>
        <d v="2020-09-17T00:00:00"/>
        <d v="2020-09-08T00:00:00"/>
        <d v="2020-09-02T00:00:00"/>
        <d v="2020-09-01T00:00:00"/>
        <d v="2020-08-31T00:00:00"/>
        <d v="2020-08-14T00:00:00"/>
        <d v="2020-08-06T00:00:00"/>
        <d v="2020-08-05T00:00:00"/>
        <d v="2020-07-23T00:00:00"/>
        <d v="2020-07-14T00:00:00"/>
        <d v="2020-06-23T00:00:00"/>
        <d v="2020-06-19T00:00:00"/>
        <d v="2020-06-18T00:00:00"/>
        <d v="2020-06-12T00:00:00"/>
        <d v="2020-06-06T00:00:00"/>
        <d v="2020-06-01T00:00:00"/>
        <d v="2020-05-29T00:00:00"/>
        <d v="2020-05-28T00:00:00"/>
        <d v="2020-05-27T00:00:00"/>
        <d v="2020-05-26T00:00:00"/>
        <d v="2020-05-19T00:00:00"/>
        <d v="2020-05-09T00:00:00"/>
        <d v="2020-05-07T00:00:00"/>
        <d v="2020-04-21T00:00:00"/>
        <d v="2020-04-20T00:00:00"/>
        <d v="2020-04-13T00:00:00"/>
        <d v="2020-04-09T00:00:00"/>
        <d v="2020-04-01T00:00:00"/>
        <d v="2020-03-26T00:00:00"/>
        <d v="2020-03-25T00:00:00"/>
        <d v="2020-03-24T00:00:00"/>
        <d v="2020-03-13T00:00:00"/>
        <d v="2020-02-25T00:00:00"/>
        <d v="2020-02-19T00:00:00"/>
        <d v="2020-02-18T00:00:00"/>
        <d v="2020-02-06T00:00:00"/>
        <d v="2020-01-22T00:00:00"/>
        <d v="2020-01-13T00:00:00"/>
        <d v="2020-01-10T00:00:00"/>
        <d v="2019-12-18T00:00:00"/>
        <d v="2019-12-10T00:00:00"/>
        <d v="2019-12-09T00:00:00"/>
        <d v="2019-12-08T00:00:00"/>
        <d v="2019-12-02T00:00:00"/>
        <d v="2019-11-26T00:00:00"/>
        <d v="2019-11-18T00:00:00"/>
        <d v="2019-11-12T00:00:00"/>
        <d v="2019-11-01T00:00:00"/>
        <d v="2019-10-31T00:00:00"/>
        <d v="2019-10-25T00:00:00"/>
        <d v="2019-10-21T00:00:00"/>
        <d v="2019-10-10T00:00:00"/>
        <d v="2019-10-08T00:00:00"/>
        <d v="2019-09-30T00:00:00"/>
        <d v="2019-09-12T00:00:00"/>
        <d v="2019-09-09T00:00:00"/>
        <d v="2019-09-05T00:00:00"/>
        <d v="2019-09-01T00:00:00"/>
        <d v="2019-08-28T00:00:00"/>
        <d v="2019-08-23T00:00:00"/>
        <d v="2019-08-19T00:00:00"/>
        <d v="2019-08-15T00:00:00"/>
        <d v="2019-08-02T00:00:00"/>
        <d v="2019-07-26T00:00:00"/>
        <d v="2019-07-25T00:00:00"/>
        <d v="2019-07-18T00:00:00"/>
        <d v="2019-07-17T00:00:00"/>
        <d v="2019-07-10T00:00:00"/>
        <d v="2019-06-21T00:00:00"/>
        <d v="2019-06-20T00:00:00"/>
        <d v="2019-06-19T00:00:00"/>
        <d v="2019-06-14T00:00:00"/>
        <d v="2019-06-06T00:00:00"/>
        <d v="2019-06-04T00:00:00"/>
        <d v="2019-06-01T00:00:00"/>
        <d v="2019-05-29T00:00:00"/>
        <d v="2019-05-28T00:00:00"/>
        <d v="2019-05-13T00:00:00"/>
        <d v="2019-05-09T00:00:00"/>
        <d v="2019-05-06T00:00:00"/>
        <d v="2019-05-02T00:00:00"/>
        <d v="2019-04-29T00:00:00"/>
        <d v="2019-04-19T00:00:00"/>
        <d v="2019-04-18T00:00:00"/>
        <d v="2019-04-16T00:00:00"/>
        <d v="2019-04-15T00:00:00"/>
        <d v="2019-04-03T00:00:00"/>
        <d v="2019-04-02T00:00:00"/>
        <d v="2019-04-01T00:00:00"/>
        <d v="2019-03-29T00:00:00"/>
        <d v="2019-03-28T00:00:00"/>
        <d v="2019-03-25T00:00:00"/>
        <d v="2019-03-15T00:00:00"/>
        <d v="2019-03-13T00:00:00"/>
        <d v="2019-03-10T00:00:00"/>
        <d v="2019-02-27T00:00:00"/>
        <d v="2019-02-25T00:00:00"/>
        <d v="2019-02-22T00:00:00"/>
        <d v="2019-02-20T00:00:00"/>
        <d v="2019-02-19T00:00:00"/>
        <d v="2019-02-07T00:00:00"/>
        <d v="2019-01-31T00:00:00"/>
        <d v="2019-01-28T00:00:00"/>
        <d v="2019-01-22T00:00:00"/>
        <d v="2019-01-21T00:00:00"/>
        <d v="2019-01-20T00:00:00"/>
        <d v="2019-01-15T00:00:00"/>
        <d v="2019-01-10T00:00:00"/>
        <d v="2018-12-18T00:00:00"/>
        <d v="2018-12-13T00:00:00"/>
        <d v="2018-12-03T00:00:00"/>
        <d v="2018-11-27T00:00:00"/>
        <d v="2018-11-26T00:00:00"/>
        <d v="2018-11-20T00:00:00"/>
        <d v="2018-11-12T00:00:00"/>
        <d v="2018-11-02T00:00:00"/>
        <d v="2018-10-26T00:00:00"/>
        <d v="2018-10-25T00:00:00"/>
        <d v="2018-09-27T00:00:00"/>
        <d v="2018-09-20T00:00:00"/>
        <d v="2018-09-13T00:00:00"/>
        <d v="2018-09-01T00:00:00"/>
        <d v="2018-08-24T00:00:00"/>
        <d v="2018-08-17T00:00:00"/>
        <d v="2018-08-13T00:00:00"/>
        <d v="2018-08-06T00:00:00"/>
        <d v="2018-08-04T00:00:00"/>
        <d v="2018-07-26T00:00:00"/>
        <d v="2018-07-13T00:00:00"/>
        <d v="2018-07-08T00:00:00"/>
        <d v="2018-06-29T00:00:00"/>
        <d v="2018-06-16T00:00:00"/>
        <d v="2018-06-10T00:00:00"/>
        <d v="2018-06-04T00:00:00"/>
        <d v="2018-06-01T00:00:00"/>
        <d v="2018-05-30T00:00:00"/>
        <d v="2018-05-17T00:00:00"/>
        <d v="2018-05-11T00:00:00"/>
        <d v="2018-05-10T00:00:00"/>
        <d v="2018-05-09T00:00:00"/>
        <d v="2018-05-02T00:00:00"/>
        <d v="2018-04-20T00:00:00"/>
        <d v="2018-04-10T00:00:00"/>
        <d v="2018-04-05T00:00:00"/>
        <d v="2018-03-29T00:00:00"/>
        <d v="2018-03-27T00:00:00"/>
        <d v="2018-03-22T00:00:00"/>
        <d v="2018-03-21T00:00:00"/>
        <d v="2018-02-12T00:00:00"/>
        <d v="2018-02-05T00:00:00"/>
        <d v="2018-02-03T00:00:00"/>
        <d v="2018-01-31T00:00:00"/>
        <d v="2018-01-30T00:00:00"/>
        <d v="2018-01-10T00:00:00"/>
        <d v="2018-01-09T00:00:00"/>
        <d v="2017-12-06T00:00:00"/>
        <d v="2017-12-01T00:00:00"/>
        <d v="2017-11-28T00:00:00"/>
        <d v="2017-11-18T00:00:00"/>
        <d v="2017-11-10T00:00:00"/>
        <d v="2017-11-02T00:00:00"/>
        <d v="2017-11-01T00:00:00"/>
        <d v="2017-10-26T00:00:00"/>
        <d v="2017-10-21T00:00:00"/>
        <d v="2017-10-16T00:00:00"/>
        <d v="2017-10-15T00:00:00"/>
        <d v="2017-10-14T00:00:00"/>
        <d v="2017-10-05T00:00:00"/>
        <d v="2017-10-03T00:00:00"/>
        <d v="2017-09-27T00:00:00"/>
        <d v="2017-09-18T00:00:00"/>
        <d v="2017-09-15T00:00:00"/>
        <d v="2017-09-01T00:00:00"/>
        <d v="2017-08-31T00:00:00"/>
        <d v="2017-08-22T00:00:00"/>
        <d v="2017-08-18T00:00:00"/>
        <d v="2017-08-15T00:00:00"/>
        <d v="2017-07-31T00:00:00"/>
        <d v="2017-07-30T00:00:00"/>
        <d v="2017-07-20T00:00:00"/>
        <d v="2017-07-01T00:00:00"/>
        <d v="2017-06-12T00:00:00"/>
        <d v="2017-06-10T00:00:00"/>
        <d v="2017-06-03T00:00:00"/>
        <d v="2017-06-02T00:00:00"/>
        <d v="2017-05-30T00:00:00"/>
        <d v="2017-05-23T00:00:00"/>
        <d v="2017-05-19T00:00:00"/>
        <d v="2017-05-18T00:00:00"/>
        <d v="2017-05-16T00:00:00"/>
        <d v="2017-05-06T00:00:00"/>
        <d v="2017-05-03T00:00:00"/>
        <d v="2017-05-01T00:00:00"/>
        <d v="2017-04-30T00:00:00"/>
        <d v="2017-04-29T00:00:00"/>
        <d v="2017-04-28T00:00:00"/>
        <d v="2017-04-27T00:00:00"/>
        <d v="2017-03-17T00:00:00"/>
        <d v="2017-03-15T00:00:00"/>
        <d v="2017-03-13T00:00:00"/>
        <d v="2017-03-12T00:00:00"/>
        <d v="2017-03-02T00:00:00"/>
        <d v="2017-02-28T00:00:00"/>
        <d v="2017-02-25T00:00:00"/>
        <d v="2017-01-31T00:00:00"/>
        <d v="2017-01-30T00:00:00"/>
        <d v="2017-01-29T00:00:00"/>
        <d v="2017-01-28T00:00:00"/>
        <d v="2017-01-27T00:00:00"/>
        <d v="2017-01-20T00:00:00"/>
        <d v="2017-01-01T00:00:00"/>
        <d v="2016-12-31T00:00:00"/>
        <d v="2016-12-30T00:00:00"/>
        <d v="2016-12-29T00:00:00"/>
        <d v="2016-12-28T00:00:00"/>
        <d v="2016-12-15T00:00:00"/>
        <d v="2016-12-01T00:00:00"/>
        <d v="2016-11-30T00:00:00"/>
        <d v="2016-11-29T00:00:00"/>
        <d v="2016-11-28T00:00:00"/>
        <d v="2016-11-27T00:00:00"/>
        <d v="2016-11-26T00:00:00"/>
        <d v="2016-11-01T00:00:00"/>
        <d v="2016-10-31T00:00:00"/>
        <d v="2016-10-30T00:00:00"/>
        <d v="2016-10-17T00:00:00"/>
        <d v="2016-10-14T00:00:00"/>
        <d v="2016-10-03T00:00:00"/>
        <d v="2016-10-01T00:00:00"/>
        <d v="2016-09-30T00:00:00"/>
        <d v="2016-09-27T00:00:00"/>
        <d v="2016-09-14T00:00:00"/>
        <d v="2016-09-13T00:00:00"/>
        <d v="2016-09-02T00:00:00"/>
        <d v="2016-09-01T00:00:00"/>
        <d v="2016-08-31T00:00:00"/>
        <d v="2016-08-30T00:00:00"/>
        <d v="2016-08-29T00:00:00"/>
        <d v="2016-08-28T00:00:00"/>
        <d v="2016-08-27T00:00:00"/>
        <d v="2016-07-30T00:00:00"/>
        <d v="2016-07-29T00:00:00"/>
        <d v="2016-07-14T00:00:00"/>
        <d v="2016-07-13T00:00:00"/>
        <d v="2016-07-12T00:00:00"/>
        <d v="2016-06-30T00:00:00"/>
        <d v="2016-06-29T00:00:00"/>
        <d v="2016-06-27T00:00:00"/>
        <d v="2016-06-24T00:00:00"/>
        <d v="2016-06-01T00:00:00"/>
        <d v="2016-05-29T00:00:00"/>
        <d v="2016-05-25T00:00:00"/>
        <d v="2016-05-23T00:00:00"/>
        <d v="2016-05-20T00:00:00"/>
        <d v="2016-05-19T00:00:00"/>
        <d v="2016-05-18T00:00:00"/>
        <d v="2016-05-10T00:00:00"/>
        <d v="2016-05-06T00:00:00"/>
        <d v="2016-05-01T00:00:00"/>
        <d v="2016-04-30T00:00:00"/>
        <d v="2016-04-29T00:00:00"/>
        <d v="2016-04-28T00:00:00"/>
        <d v="2016-04-25T00:00:00"/>
        <d v="2016-04-22T00:00:00"/>
        <d v="2016-04-03T00:00:00"/>
        <d v="2016-03-31T00:00:00"/>
        <d v="2016-03-29T00:00:00"/>
        <d v="2016-03-01T00:00:00"/>
        <d v="2016-02-28T00:00:00"/>
        <d v="2016-02-20T00:00:00"/>
        <d v="2016-02-15T00:00:00"/>
        <d v="2016-02-11T00:00:00"/>
        <d v="2016-02-04T00:00:00"/>
        <d v="2016-01-30T00:00:00"/>
        <d v="2016-01-29T00:00:00"/>
        <d v="2016-01-27T00:00:00"/>
        <d v="2016-01-10T00:00:00"/>
        <d v="2016-01-05T00:00:00"/>
        <d v="2016-01-01T00:00:00"/>
        <d v="2015-12-06T00:00:00"/>
        <d v="2015-11-30T00:00:00"/>
        <d v="2015-11-25T00:00:00"/>
        <d v="2015-11-22T00:00:00"/>
        <d v="2015-11-19T00:00:00"/>
        <d v="2015-11-13T00:00:00"/>
        <d v="2015-11-11T00:00:00"/>
        <d v="2015-11-10T00:00:00"/>
        <d v="2015-11-03T00:00:00"/>
        <d v="2015-11-01T00:00:00"/>
        <d v="2015-10-31T00:00:00"/>
        <d v="2015-10-25T00:00:00"/>
        <d v="2015-10-20T00:00:00"/>
        <d v="2015-10-15T00:00:00"/>
        <d v="2015-10-05T00:00:00"/>
        <d v="2015-09-30T00:00:00"/>
        <d v="2015-09-13T00:00:00"/>
        <d v="2015-09-12T00:00:00"/>
        <d v="2015-08-31T00:00:00"/>
        <d v="2015-08-30T00:00:00"/>
        <d v="2015-07-30T00:00:00"/>
        <d v="2015-07-27T00:00:00"/>
        <d v="2015-07-22T00:00:00"/>
        <d v="2015-07-20T00:00:00"/>
        <d v="2015-07-12T00:00:00"/>
        <d v="2015-07-04T00:00:00"/>
        <d v="2015-06-30T00:00:00"/>
        <d v="2015-06-27T00:00:00"/>
        <d v="2015-06-15T00:00:00"/>
        <d v="2015-06-10T00:00:00"/>
        <d v="2015-06-05T00:00:00"/>
        <d v="2015-06-01T00:00:00"/>
        <d v="2015-05-31T00:00:00"/>
        <d v="2015-05-15T00:00:00"/>
        <d v="2015-04-30T00:00:00"/>
        <d v="2015-04-29T00:00:00"/>
        <d v="2015-04-25T00:00:00"/>
        <d v="2015-04-24T00:00:00"/>
        <d v="2015-04-18T00:00:00"/>
        <d v="2015-04-10T00:00:00"/>
        <d v="2015-03-31T00:00:00"/>
        <d v="2015-03-29T00:00:00"/>
        <d v="2015-03-19T00:00:00"/>
        <d v="2015-03-01T00:00:00"/>
        <d v="2015-02-28T00:00:00"/>
        <d v="2015-02-27T00:00:00"/>
        <d v="2015-02-26T00:00:00"/>
        <d v="2015-02-20T00:00:00"/>
        <d v="2015-02-17T00:00:00"/>
        <d v="2015-02-10T00:00:00"/>
        <d v="2015-02-05T00:00:00"/>
        <d v="2015-01-25T00:00:00"/>
        <d v="2015-01-11T00:00:00"/>
        <d v="2014-12-15T00:00:00"/>
        <d v="2014-11-16T00:00:00"/>
        <d v="2014-11-06T00:00:00"/>
        <d v="2014-11-02T00:00:00"/>
        <d v="2014-10-31T00:00:00"/>
        <d v="2014-10-27T00:00:00"/>
        <d v="2014-10-20T00:00:00"/>
        <d v="2014-10-03T00:00:00"/>
        <d v="2014-09-30T00:00:00"/>
        <d v="2014-09-25T00:00:00"/>
        <d v="2014-09-09T00:00:00"/>
        <d v="2014-08-31T00:00:00"/>
        <d v="2014-08-27T00:00:00"/>
        <d v="2014-08-22T00:00:00"/>
        <d v="2014-08-17T00:00:00"/>
        <d v="2014-08-01T00:00:00"/>
        <d v="2014-07-29T00:00:00"/>
        <d v="2014-07-27T00:00:00"/>
        <d v="2014-07-15T00:00:00"/>
        <d v="2014-07-10T00:00:00"/>
        <d v="2014-07-06T00:00:00"/>
        <d v="2014-07-01T00:00:00"/>
        <d v="2014-06-30T00:00:00"/>
        <d v="2014-06-15T00:00:00"/>
        <d v="2014-06-03T00:00:00"/>
        <d v="2014-06-01T00:00:00"/>
        <d v="2014-05-31T00:00:00"/>
        <d v="2014-05-29T00:00:00"/>
        <d v="2014-05-27T00:00:00"/>
        <d v="2014-05-25T00:00:00"/>
        <d v="2014-05-08T00:00:00"/>
        <d v="2014-05-05T00:00:00"/>
        <d v="2014-05-04T00:00:00"/>
        <d v="2014-05-02T00:00:00"/>
        <d v="2014-05-01T00:00:00"/>
        <d v="2014-04-30T00:00:00"/>
        <d v="2014-04-27T00:00:00"/>
        <d v="2014-04-25T00:00:00"/>
        <d v="2014-04-04T00:00:00"/>
        <m/>
      </sharedItems>
      <fieldGroup par="8" base="2">
        <rangePr groupBy="months" startDate="2014-04-04T00:00:00" endDate="2023-04-29T00:00:00"/>
        <groupItems count="14">
          <s v="(blank)"/>
          <s v="Jan"/>
          <s v="Feb"/>
          <s v="Mar"/>
          <s v="Apr"/>
          <s v="May"/>
          <s v="Jun"/>
          <s v="Jul"/>
          <s v="Aug"/>
          <s v="Sep"/>
          <s v="Oct"/>
          <s v="Nov"/>
          <s v="Dec"/>
          <s v="&gt;4/29/23"/>
        </groupItems>
      </fieldGroup>
    </cacheField>
    <cacheField name="Permalink" numFmtId="0">
      <sharedItems containsBlank="1"/>
    </cacheField>
    <cacheField name="Research Topics" numFmtId="0">
      <sharedItems containsBlank="1" count="72">
        <s v="Gravitational Waves &amp; Multi-Messenger Astronomy"/>
        <m/>
        <s v="Black Holes &amp; Dead Stars"/>
        <s v="Black Holes &amp; Dead Stars|Exoplanets &amp; The Solar System|Galaxies &amp; Cosmology|Gravitational Waves &amp; Multi-Messenger Astronomy|Life &amp; Death of Stars|Stellar Dynamics &amp; Stellar Populations"/>
        <s v="Exoplanets &amp; The Solar System"/>
        <s v="Stellar Dynamics &amp; Stellar Populations"/>
        <s v="Galaxies &amp; Cosmology"/>
        <s v="Black Holes &amp; Dead Stars|Exoplanets &amp; The Solar System|Galaxies &amp; Cosmology|Gravitational Waves &amp; Multi-Messenger Astronomy|Stellar Dynamics &amp; Stellar Populations"/>
        <s v="Life &amp; Death of Stars"/>
        <s v="Black Holes &amp; Dead Stars|Gravitational Waves &amp; Multi-Messenger Astronomy"/>
        <s v="Life &amp; Death of Stars|Stellar Dynamics &amp; Stellar Populations"/>
        <s v="Gravitational Waves &amp; Multi-Messenger Astronomy|Life &amp; Death of Stars"/>
        <s v="Black Holes &amp; Dead Stars|Life &amp; Death of Stars"/>
        <s v="Gravitational Waves &amp; Multi-Messenger Astronomy|Stellar Dynamics &amp; Stellar Populations"/>
        <s v="Black Holes &amp; Dead Stars|Gravitational Waves &amp; Multi-Messenger Astronomy|Life &amp; Death of Stars"/>
        <s v="Exoplanets &amp; The Solar System|Galaxies &amp; Cosmology"/>
        <s v="Black Holes &amp; Dead Stars|Galaxies &amp; Cosmology"/>
        <s v="Galaxies &amp; Cosmology|Life &amp; Death of Stars"/>
        <s v="Black Holes &amp; Dead Stars|Galaxies &amp; Cosmology|Gravitational Waves &amp; Multi-Messenger Astronomy|Life &amp; Death of Stars|Stellar Dynamics &amp; Stellar Populations"/>
        <s v="Black Holes &amp; Dead Stars|Exoplanets &amp; The Solar System"/>
        <s v="Black Holes &amp; Dead Stars|Stellar Dynamics &amp; Stellar Populations"/>
        <s v="Black Holes &amp; Dead Stars|Gravitational Waves &amp; Multi-Messenger Astronomy|Stellar Dynamics &amp; Stellar Populations"/>
        <s v="Galaxies &amp; Cosmology|Stellar Dynamics &amp; Stellar Populations"/>
        <s v="Black Holes &amp; Dead Stars|Exoplanets &amp; The Solar System|Life &amp; Death of Stars"/>
        <s v="Galaxies &amp; Cosmology|Life &amp; Death of Stars|Stellar Dynamics &amp; Stellar Populations"/>
        <s v="Black Holes &amp; Dead Stars|Galaxies &amp; Cosmology|Stellar Dynamics &amp; Stellar Populations"/>
        <s v="Black Holes &amp; Dead Stars|Galaxies &amp; Cosmology|Gravitational Waves &amp; Multi-Messenger Astronomy|Life &amp; Death of Stars"/>
        <s v="Galaxies &amp; Cosmology|Gravitational Waves &amp; Multi-Messenger Astronomy|Life &amp; Death of Stars"/>
        <s v="Exoplanets &amp; The Solar System|Life &amp; Death of Stars"/>
        <s v="Black Holes &amp; Dead Stars|Exoplanets &amp; The Solar System|Gravitational Waves &amp; Multi-Messenger Astronomy|Life &amp; Death of Stars|Stellar Dynamics &amp; Stellar Populations"/>
        <s v="Galaxies &amp; Cosmology|Gravitational Waves &amp; Multi-Messenger Astronomy"/>
        <s v="Black Holes &amp; Dead Stars|Exoplanets &amp; The Solar System|Stellar Dynamics &amp; Stellar Populations"/>
        <s v="Black Holes &amp; Dead Stars|Exoplanets &amp; The Solar System|Galaxies &amp; Cosmology|Gravitational Waves &amp; Multi-Messenger Astronomy"/>
        <s v="Black Holes &amp; Dead Stars|Exoplanets &amp; The Solar System|Galaxies &amp; Cosmology|Life &amp; Death of Stars|Stellar Dynamics &amp; Stellar Populations"/>
        <s v="Black Holes &amp; Dead Stars|Exoplanets &amp; The Solar System|Galaxies &amp; Cosmology|Gravitational Waves &amp; Multi-Messenger Astronomy|Life &amp; Death of Stars"/>
        <s v="Exoplanets &amp; The Solar System|Galaxies &amp; Cosmology|Life &amp; Death of Stars"/>
        <s v="Black Holes &amp; Dead Stars|Exoplanets &amp; The Solar System|Galaxies &amp; Cosmology|Stellar Dynamics &amp; Stellar Populations"/>
        <s v="Galaxies &amp;amp; Cosmology|Stellar Dynamics &amp;amp; Stellar Populations" u="1"/>
        <s v="Gravitational Waves &amp;amp; Multi-Messenger Astronomy|Life &amp;amp; Death of Stars" u="1"/>
        <s v="Black Holes &amp;amp; Dead Stars|Exoplanets &amp;amp; The Solar System" u="1"/>
        <s v="Black Holes &amp;amp; Dead Stars|Gravitational Waves &amp;amp; Multi-Messenger Astronomy|Life &amp;amp; Death of Stars" u="1"/>
        <s v="Exoplanets &amp;amp; The Solar System" u="1"/>
        <s v="Black Holes &amp;amp; Dead Stars|Gravitational Waves &amp;amp; Multi-Messenger Astronomy" u="1"/>
        <s v="Black Holes &amp;amp; Dead Stars|Exoplanets &amp;amp; The Solar System|Galaxies &amp;amp; Cosmology|Gravitational Waves &amp;amp; Multi-Messenger Astronomy" u="1"/>
        <s v="Life &amp;amp; Death of Stars" u="1"/>
        <s v="Galaxies &amp;amp; Cosmology|Life &amp;amp; Death of Stars" u="1"/>
        <s v="Black Holes &amp;amp; Dead Stars|Exoplanets &amp;amp; The Solar System|Galaxies &amp;amp; Cosmology|Stellar Dynamics &amp;amp; Stellar Populations" u="1"/>
        <s v="Gravitational Waves &amp;amp; Multi-Messenger Astronomy" u="1"/>
        <s v="Gravitational Waves &amp;amp; Multi-Messenger Astronomy|Stellar Dynamics &amp;amp; Stellar Populations" u="1"/>
        <s v="Black Holes &amp;amp; Dead Stars" u="1"/>
        <s v="Black Holes &amp;amp; Dead Stars|Life &amp;amp; Death of Stars" u="1"/>
        <s v="Black Holes &amp;amp; Dead Stars|Galaxies &amp;amp; Cosmology|Gravitational Waves &amp;amp; Multi-Messenger Astronomy|Life &amp;amp; Death of Stars" u="1"/>
        <s v="Galaxies &amp;amp; Cosmology" u="1"/>
        <s v="Stellar Dynamics &amp;amp; Stellar Populations" u="1"/>
        <s v="Black Holes &amp;amp; Dead Stars|Galaxies &amp;amp; Cosmology" u="1"/>
        <s v="Galaxies &amp;amp; Cosmology|Gravitational Waves &amp;amp; Multi-Messenger Astronomy|Life &amp;amp; Death of Stars" u="1"/>
        <s v="Black Holes &amp;amp; Dead Stars|Exoplanets &amp;amp; The Solar System|Galaxies &amp;amp; Cosmology|Life &amp;amp; Death of Stars|Stellar Dynamics &amp;amp; Stellar Populations" u="1"/>
        <s v="Exoplanets &amp;amp; The Solar System|Galaxies &amp;amp; Cosmology|Life &amp;amp; Death of Stars" u="1"/>
        <s v="Black Holes &amp;amp; Dead Stars|Exoplanets &amp;amp; The Solar System|Galaxies &amp;amp; Cosmology|Gravitational Waves &amp;amp; Multi-Messenger Astronomy|Life &amp;amp; Death of Stars|Stellar Dynamics &amp;amp; Stellar Populations" u="1"/>
        <s v="Black Holes &amp;amp; Dead Stars|Stellar Dynamics &amp;amp; Stellar Populations" u="1"/>
        <s v="Galaxies &amp;amp; Cosmology|Gravitational Waves &amp;amp; Multi-Messenger Astronomy" u="1"/>
        <s v="Black Holes &amp;amp; Dead Stars|Exoplanets &amp;amp; The Solar System|Stellar Dynamics &amp;amp; Stellar Populations" u="1"/>
        <s v="Black Holes &amp;amp; Dead Stars|Exoplanets &amp;amp; The Solar System|Gravitational Waves &amp;amp; Multi-Messenger Astronomy|Life &amp;amp; Death of Stars|Stellar Dynamics &amp;amp; Stellar Populations" u="1"/>
        <s v="Black Holes &amp;amp; Dead Stars|Gravitational Waves &amp;amp; Multi-Messenger Astronomy|Stellar Dynamics &amp;amp; Stellar Populations" u="1"/>
        <s v="Exoplanets &amp;amp; The Solar System|Life &amp;amp; Death of Stars" u="1"/>
        <s v="Black Holes &amp;amp; Dead Stars|Galaxies &amp;amp; Cosmology|Gravitational Waves &amp;amp; Multi-Messenger Astronomy|Life &amp;amp; Death of Stars|Stellar Dynamics &amp;amp; Stellar Populations" u="1"/>
        <s v="Life &amp;amp; Death of Stars|Stellar Dynamics &amp;amp; Stellar Populations" u="1"/>
        <s v="Black Holes &amp;amp; Dead Stars|Exoplanets &amp;amp; The Solar System|Life &amp;amp; Death of Stars" u="1"/>
        <s v="Galaxies &amp;amp; Cosmology|Life &amp;amp; Death of Stars|Stellar Dynamics &amp;amp; Stellar Populations" u="1"/>
        <s v="Black Holes &amp;amp; Dead Stars|Exoplanets &amp;amp; The Solar System|Galaxies &amp;amp; Cosmology|Gravitational Waves &amp;amp; Multi-Messenger Astronomy|Stellar Dynamics &amp;amp; Stellar Populations" u="1"/>
        <s v="Black Holes &amp;amp; Dead Stars|Galaxies &amp;amp; Cosmology|Stellar Dynamics &amp;amp; Stellar Populations" u="1"/>
        <s v="Black Holes &amp;amp; Dead Stars|Exoplanets &amp;amp; The Solar System|Galaxies &amp;amp; Cosmology|Gravitational Waves &amp;amp; Multi-Messenger Astronomy|Life &amp;amp; Death of Stars" u="1"/>
      </sharedItems>
    </cacheField>
    <cacheField name="Press Types" numFmtId="0">
      <sharedItems containsBlank="1" count="8">
        <s v="CIERA Stories"/>
        <s v="Northwestern Press"/>
        <s v="Northwestern Press|External Press"/>
        <s v="External Press"/>
        <s v="CIERA Stories|External Press"/>
        <m/>
        <s v="Northwestern Press|CIERA Stories|External Press"/>
        <s v="Northwestern Press|CIERA Stories"/>
      </sharedItems>
    </cacheField>
    <cacheField name="Categories" numFmtId="0">
      <sharedItems containsBlank="1" count="94">
        <s v="Achievement"/>
        <s v="Achievement|Interdisciplinary"/>
        <s v="Science"/>
        <s v="Education|Event|Interdisciplinary|Data Science &amp; Computing"/>
        <s v="Event|Interdisciplinary|Data Science &amp; Computing"/>
        <s v="Event|Outreach|Interdisciplinary"/>
        <s v="Event"/>
        <s v="Event|Interdisciplinary"/>
        <s v="Education|Achievement|Interdisciplinary|Data Science &amp; Computing"/>
        <s v="Event|Science|Outreach"/>
        <s v="Science|Outreach"/>
        <s v="Education|Event|Interdisciplinary"/>
        <s v="Education|Achievement"/>
        <s v="Education|Outreach|Interdisciplinary|Data Science &amp; Computing"/>
        <s v="Education|Science|Outreach"/>
        <s v="Achievement|Science"/>
        <s v="Education|Event"/>
        <s v="Achievement|Event|Outreach"/>
        <s v="Event|Outreach"/>
        <s v="Education|Outreach"/>
        <s v="Education|Outreach|Interdisciplinary"/>
        <s v="Science|Interdisciplinary"/>
        <s v="Achievement|Outreach"/>
        <s v="Event|Science"/>
        <s v="Education|Interdisciplinary"/>
        <s v="Achievement|Data Science &amp; Computing"/>
        <s v="Achievement|Event"/>
        <s v="Education|Achievement|Outreach"/>
        <s v="Education|Science|Outreach|Data Science &amp; Computing"/>
        <s v="Science|Data Science &amp; Computing"/>
        <s v="Interdisciplinary|Data Science &amp; Computing"/>
        <s v="Outreach"/>
        <s v="Education"/>
        <s v="Uncategorized"/>
        <s v="Achievement|Science|Data Science &amp; Computing"/>
        <s v="Outreach|Interdisciplinary"/>
        <s v="Achievement|Interdisciplinary|Data Science &amp; Computing"/>
        <s v="Event|Outreach|Data Science &amp; Computing"/>
        <s v="Education|Event|Data Science &amp; Computing"/>
        <s v="Event|Outreach|Interdisciplinary|Data Science &amp; Computing"/>
        <s v="Education|Event|Outreach"/>
        <s v="Education|Event|Outreach|Interdisciplinary"/>
        <s v="Science|Outreach|Interdisciplinary|Data Science &amp; Computing"/>
        <s v="Education|Science|Interdisciplinary|Data Science &amp; Computing"/>
        <s v="Science|Interdisciplinary|Data Science &amp; Computing"/>
        <s v="Education|Achievement|Outreach|Interdisciplinary"/>
        <s v="Achievement|Event|Outreach|Interdisciplinary"/>
        <s v="Education|Interdisciplinary|Data Science &amp; Computing"/>
        <s v="Education|Achievement|Event|Interdisciplinary|Data Science &amp; Computing"/>
        <s v="Education|Achievement|Event|Interdisciplinary"/>
        <s v="Achievement|Outreach|Interdisciplinary"/>
        <s v="Education|Achievement|Event|Outreach|Interdisciplinary"/>
        <s v="Achievement|Event|Interdisciplinary|Data Science &amp; Computing"/>
        <s v="Achievement|Outreach|Interdisciplinary|Data Science &amp; Computing"/>
        <s v="Education|Achievement|Interdisciplinary"/>
        <s v="Education|Achievement|Event"/>
        <s v="Outreach|Interdisciplinary|Data Science &amp; Computing"/>
        <s v="Event|Science|Interdisciplinary|Data Science &amp; Computing"/>
        <s v="Achievement|Science|Outreach"/>
        <s v="Education|Event|Outreach|Data Science &amp; Computing"/>
        <s v="Data Science &amp; Computing"/>
        <s v="Education|Achievement|Data Science &amp; Computing"/>
        <s v="Achievement|Science|Interdisciplinary"/>
        <s v="Event|Science|Interdisciplinary"/>
        <s v="Achievement|Science|Interdisciplinary|Data Science &amp; Computing"/>
        <s v="Achievement|Event|Science"/>
        <s v="Education|Achievement|Event|Outreach"/>
        <s v="Education|Event|Science|Outreach"/>
        <s v="Education|Event|Science"/>
        <s v="Achievement|Event|Science|Outreach"/>
        <m/>
        <s v="Achievement|Science|Interdisciplinary|Data Science &amp;amp; Computing" u="1"/>
        <s v="Achievement|Outreach|Interdisciplinary|Data Science &amp;amp; Computing" u="1"/>
        <s v="Science|Outreach|Interdisciplinary|Data Science &amp;amp; Computing" u="1"/>
        <s v="Education|Achievement|Science" u="1"/>
        <s v="Education|Science|Interdisciplinary|Data Science &amp;amp; Computing" u="1"/>
        <s v="Education|Achievement|Data Science &amp;amp; Computing" u="1"/>
        <s v="Science|Interdisciplinary|Data Science &amp;amp; Computing" u="1"/>
        <s v="Outreach|Interdisciplinary|Data Science &amp;amp; Computing" u="1"/>
        <s v="Event|Outreach|Data Science &amp;amp; Computing" u="1"/>
        <s v="Education|Outreach|Interdisciplinary|Data Science &amp;amp; Computing" u="1"/>
        <s v="Education|Science" u="1"/>
        <s v="Achievement|Data Science &amp;amp; Computing" u="1"/>
        <s v="Event|Outreach|Interdisciplinary|Data Science &amp;amp; Computing" u="1"/>
        <s v="Education|Event|Outreach|Data Science &amp;amp; Computing" u="1"/>
        <s v="Achievement|Interdisciplinary|Data Science &amp;amp; Computing" u="1"/>
        <s v="Event|Interdisciplinary|Data Science &amp;amp; Computing" u="1"/>
        <s v="Achievement|Science|Data Science &amp;amp; Computing" u="1"/>
        <s v="Data Science &amp;amp; Computing" u="1"/>
        <s v="Education|Interdisciplinary|Data Science &amp;amp; Computing" u="1"/>
        <s v="Event|Science|Interdisciplinary|Data Science &amp;amp; Computing" u="1"/>
        <s v="Education|Achievement|Event|Interdisciplinary|Data Science &amp;amp; Computing" u="1"/>
        <s v="Education|Event|Data Science &amp;amp; Computing" u="1"/>
        <s v="Achievement|Event|Interdisciplinary|Data Science &amp;amp; Computing" u="1"/>
      </sharedItems>
    </cacheField>
    <cacheField name="Quarters" numFmtId="0" databaseField="0">
      <fieldGroup base="2">
        <rangePr groupBy="quarters" startDate="2014-04-04T00:00:00" endDate="2023-04-29T00:00:00"/>
        <groupItems count="6">
          <s v="&lt;4/4/14"/>
          <s v="Qtr1"/>
          <s v="Qtr2"/>
          <s v="Qtr3"/>
          <s v="Qtr4"/>
          <s v="&gt;4/29/23"/>
        </groupItems>
      </fieldGroup>
    </cacheField>
    <cacheField name="Years" numFmtId="0" databaseField="0">
      <fieldGroup base="2">
        <rangePr groupBy="years" startDate="2014-04-04T00:00:00" endDate="2023-04-29T00:00:00"/>
        <groupItems count="12">
          <s v="&lt;4/4/14"/>
          <s v="2014"/>
          <s v="2015"/>
          <s v="2016"/>
          <s v="2017"/>
          <s v="2018"/>
          <s v="2019"/>
          <s v="2020"/>
          <s v="2021"/>
          <s v="2022"/>
          <s v="2023"/>
          <s v="&gt;4/29/23"/>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89.714651736111" createdVersion="8" refreshedVersion="8" minRefreshableVersion="3" recordCount="9999" xr:uid="{C0B64B82-DE0B-9E41-A870-5C09136650D0}">
  <cacheSource type="worksheet">
    <worksheetSource ref="A1:H1048576" sheet="News"/>
  </cacheSource>
  <cacheFields count="8">
    <cacheField name="id" numFmtId="0">
      <sharedItems containsString="0" containsBlank="1" containsNumber="1" containsInteger="1" minValue="433" maxValue="8271"/>
    </cacheField>
    <cacheField name="Title" numFmtId="0">
      <sharedItems containsBlank="1"/>
    </cacheField>
    <cacheField name="Date" numFmtId="0">
      <sharedItems containsNonDate="0" containsDate="1" containsString="0" containsBlank="1" minDate="2014-04-04T00:00:00" maxDate="2023-04-29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NonDate="0" containsString="0" containsBlank="1" containsNumber="1" containsInteger="1" minValue="2014" maxValue="2024" count="12">
        <m/>
        <n v="2022" u="1"/>
        <n v="2015" u="1"/>
        <n v="2020" u="1"/>
        <n v="2018" u="1"/>
        <n v="2023" u="1"/>
        <n v="2016" u="1"/>
        <n v="2021" u="1"/>
        <n v="2014" u="1"/>
        <n v="2019" u="1"/>
        <n v="2024" u="1"/>
        <n v="2017"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89.714652199073" createdVersion="7" refreshedVersion="8" minRefreshableVersion="3" recordCount="1101" xr:uid="{9B4D6232-8D7E-4C94-9412-F467186175E2}">
  <cacheSource type="worksheet">
    <worksheetSource ref="M1:Q1048576" sheet="Press Types"/>
  </cacheSource>
  <cacheFields count="5">
    <cacheField name="ID" numFmtId="0">
      <sharedItems containsString="0" containsBlank="1" containsNumber="1" containsInteger="1" minValue="433" maxValue="8271"/>
    </cacheField>
    <cacheField name="Press Type" numFmtId="0">
      <sharedItems containsBlank="1" count="4">
        <s v="CIERA Stories"/>
        <s v="External Press"/>
        <s v="Northwestern Press"/>
        <m/>
      </sharedItems>
    </cacheField>
    <cacheField name="Date" numFmtId="0">
      <sharedItems containsBlank="1"/>
    </cacheField>
    <cacheField name="FY Start Date" numFmtId="0">
      <sharedItems containsDate="1" containsBlank="1" containsMixedTypes="1" minDate="2014-09-01T00:00:00" maxDate="2023-09-02T00:00:00"/>
    </cacheField>
    <cacheField name="FY" numFmtId="0">
      <sharedItems containsBlank="1" containsMixedTypes="1" containsNumber="1" containsInteger="1" minValue="2014" maxValue="2024" count="13">
        <n v="2018"/>
        <n v="2019"/>
        <n v="2017"/>
        <n v="2016"/>
        <n v="2015"/>
        <n v="2014"/>
        <n v="2020"/>
        <n v="2021"/>
        <n v="2022"/>
        <n v="2023"/>
        <e v="#N/A"/>
        <m/>
        <n v="2024"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89.714652430557" createdVersion="7" refreshedVersion="8" minRefreshableVersion="3" recordCount="4547" xr:uid="{F02AAC83-4F89-4222-8708-3B959959BDDF}">
  <cacheSource type="worksheet">
    <worksheetSource ref="U1:Y1048576" sheet="Categories"/>
  </cacheSource>
  <cacheFields count="5">
    <cacheField name="ID" numFmtId="0">
      <sharedItems containsString="0" containsBlank="1" containsNumber="1" containsInteger="1" minValue="433" maxValue="8271"/>
    </cacheField>
    <cacheField name="Category" numFmtId="0">
      <sharedItems containsBlank="1" count="8">
        <s v="Achievement"/>
        <s v="Data Science &amp; Computing"/>
        <s v="Education"/>
        <s v="Event"/>
        <s v="Interdisciplinary"/>
        <s v="Outreach"/>
        <s v="Science"/>
        <m/>
      </sharedItems>
    </cacheField>
    <cacheField name="Date" numFmtId="0">
      <sharedItems containsBlank="1"/>
    </cacheField>
    <cacheField name="FY Start Date" numFmtId="0">
      <sharedItems containsDate="1" containsBlank="1" containsMixedTypes="1" minDate="2014-09-01T00:00:00" maxDate="2023-09-02T00:00:00"/>
    </cacheField>
    <cacheField name="FY" numFmtId="0">
      <sharedItems containsBlank="1" containsMixedTypes="1" containsNumber="1" containsInteger="1" minValue="2014" maxValue="2024" count="13">
        <n v="2018"/>
        <n v="2019"/>
        <n v="2017"/>
        <n v="2016"/>
        <n v="2015"/>
        <n v="2014"/>
        <n v="2020"/>
        <n v="2021"/>
        <n v="2022"/>
        <n v="2023"/>
        <e v="#N/A"/>
        <m/>
        <n v="2024"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89.71465277778" createdVersion="7" refreshedVersion="8" minRefreshableVersion="3" recordCount="1084" xr:uid="{ABA4A775-1163-4C2E-B7FF-C56210A7D9BE}">
  <cacheSource type="worksheet">
    <worksheetSource ref="U1:Y1048576" sheet="Research Topics"/>
  </cacheSource>
  <cacheFields count="5">
    <cacheField name="ID" numFmtId="0">
      <sharedItems containsString="0" containsBlank="1" containsNumber="1" containsInteger="1" minValue="433" maxValue="8271"/>
    </cacheField>
    <cacheField name="Research Topic" numFmtId="0">
      <sharedItems containsBlank="1" count="7">
        <s v="Black Holes &amp; Dead Stars"/>
        <s v="Exoplanets &amp; The Solar System"/>
        <s v="Galaxies &amp; Cosmology"/>
        <s v="Gravitational Waves &amp; Multi-Messenger Astronomy"/>
        <s v="Life &amp; Death of Stars"/>
        <s v="Stellar Dynamics &amp; Stellar Populations"/>
        <m/>
      </sharedItems>
    </cacheField>
    <cacheField name="Date" numFmtId="0">
      <sharedItems containsBlank="1"/>
    </cacheField>
    <cacheField name="FY Start Date" numFmtId="0">
      <sharedItems containsNonDate="0" containsDate="1" containsString="0" containsBlank="1" minDate="2014-09-01T00:00:00" maxDate="2023-09-02T00:00:00"/>
    </cacheField>
    <cacheField name="FY" numFmtId="0">
      <sharedItems containsString="0" containsBlank="1" containsNumber="1" containsInteger="1" minValue="2014" maxValue="2024" count="12">
        <n v="2018"/>
        <n v="2017"/>
        <n v="2019"/>
        <n v="2015"/>
        <n v="2014"/>
        <n v="2020"/>
        <n v="2021"/>
        <n v="2022"/>
        <n v="2023"/>
        <n v="2016"/>
        <m/>
        <n v="2024"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x v="0"/>
    <s v="Postdoc Caitlin Witt named finalist of Cecilia Payne-Gaposchkin Thesis Award"/>
    <x v="0"/>
    <s v="https://ciera.northwestern.edu/2023/04/28/postdoc-caitlin-witt-named-finalist-of-cecilia-payne-gaposchkin-thesis-award/"/>
    <x v="0"/>
    <x v="0"/>
    <x v="0"/>
  </r>
  <r>
    <x v="1"/>
    <s v="CIERA Associate Faculty Jian Cao Elected to American Academy of Arts and Sciences"/>
    <x v="1"/>
    <s v="https://ciera.northwestern.edu/2023/04/25/ciera-associate-faculty-jian-cao-elected-to-american-academy-of-arts-and-sciences/"/>
    <x v="1"/>
    <x v="1"/>
    <x v="1"/>
  </r>
  <r>
    <x v="2"/>
    <s v="Medium-sized black holes eat stars like messy toddlers"/>
    <x v="1"/>
    <s v="https://ciera.northwestern.edu/2023/04/25/medium-sized-black-holes-eat-stars-like-messy-toddlers/"/>
    <x v="2"/>
    <x v="1"/>
    <x v="2"/>
  </r>
  <r>
    <x v="3"/>
    <s v="CIERA Connections: Ben Nelson on careers in data science"/>
    <x v="2"/>
    <s v="https://ciera.northwestern.edu/2023/04/20/ciera-connections-ben-nelson-on-careers-in-data-science/"/>
    <x v="1"/>
    <x v="0"/>
    <x v="3"/>
  </r>
  <r>
    <x v="4"/>
    <s v="Data Science Challenges in Gravitational Wave Surveys: a CIERA Interdisciplinary Colloquium by Tyson Littenburg"/>
    <x v="2"/>
    <s v="https://ciera.northwestern.edu/2023/04/20/data-science-challenges-in-gravitational-wave-surveys-a-ciera-interdisciplinary-colloquium-by-tyson-littenburg/"/>
    <x v="0"/>
    <x v="0"/>
    <x v="4"/>
  </r>
  <r>
    <x v="5"/>
    <s v="Introducing CIERA's Eleven New Postdocs!"/>
    <x v="3"/>
    <s v="https://ciera.northwestern.edu/2023/04/18/introducing-cieras-eleven-new-postdocs/"/>
    <x v="3"/>
    <x v="0"/>
    <x v="0"/>
  </r>
  <r>
    <x v="6"/>
    <s v="Star Eyes outreach initiative communicates new science through new music"/>
    <x v="4"/>
    <s v="https://ciera.northwestern.edu/2023/04/17/star-eyes-outreach-initiative-communicates-new-science-through-new-music/"/>
    <x v="0"/>
    <x v="0"/>
    <x v="5"/>
  </r>
  <r>
    <x v="7"/>
    <s v="International LIGO-Virgo-KAGRA Collaboration Meeting hosted by CIERA"/>
    <x v="5"/>
    <s v="https://ciera.northwestern.edu/2023/04/14/international-ligo-virgo-kagra-collaboration-meeting-hosted-by-ciera/"/>
    <x v="0"/>
    <x v="0"/>
    <x v="6"/>
  </r>
  <r>
    <x v="8"/>
    <s v="Origin, Evolution and Habitability of Planet Earth: a CIERA Interdisciplinary Colloquium by David Bercovici"/>
    <x v="6"/>
    <s v="https://ciera.northwestern.edu/2023/04/04/origin-evolution-and-habitability-of-planet-earth-a-ciera-interdisciplinary-colloquium-by-david-bercovici/"/>
    <x v="4"/>
    <x v="0"/>
    <x v="7"/>
  </r>
  <r>
    <x v="9"/>
    <s v="Climate of Mars, past and future: a CIERA Interdisciplinary Colloquium by Edwin Kite"/>
    <x v="7"/>
    <s v="https://ciera.northwestern.edu/2023/03/28/climate-of-mars-past-and-future-a-ciera-interdisciplinary-colloquium-by-edwin-kite/"/>
    <x v="4"/>
    <x v="0"/>
    <x v="7"/>
  </r>
  <r>
    <x v="10"/>
    <s v="REU Student Claire Zwicker Wins Chambliss Honorable Mention for Research Poster at AAS"/>
    <x v="7"/>
    <s v="https://ciera.northwestern.edu/2023/03/28/reu-student-claire-zwicker-wins-chambliss-honorable-mention-for-research-poster-at-aas/"/>
    <x v="5"/>
    <x v="0"/>
    <x v="8"/>
  </r>
  <r>
    <x v="11"/>
    <s v="Northwestern to host gravitational-wave researchers from around the globe"/>
    <x v="8"/>
    <s v="https://ciera.northwestern.edu/2023/03/08/northwestern-to-host-gravitational-wave-researchers-from-around-the-globe/"/>
    <x v="0"/>
    <x v="1"/>
    <x v="6"/>
  </r>
  <r>
    <x v="12"/>
    <s v="Postdoc Anna Childs discusses M-dwarfs on SETI Live Broadcast"/>
    <x v="9"/>
    <s v="https://ciera.northwestern.edu/2023/02/16/postdoc-anna-childs-discusses-m-dwarfs-on-seti-live-broadcast/"/>
    <x v="4"/>
    <x v="0"/>
    <x v="9"/>
  </r>
  <r>
    <x v="13"/>
    <s v="CIERA Alum Daniel Angl√©s-Alc√°zar wins Cottrell Scholar Award"/>
    <x v="9"/>
    <s v="https://ciera.northwestern.edu/2023/02/16/ciera-alum-daniel-angles-alcazar-wins-cottrell-scholar-award/"/>
    <x v="6"/>
    <x v="0"/>
    <x v="0"/>
  </r>
  <r>
    <x v="14"/>
    <s v="Wen-fai Fong named ‚ÄòRising Star‚Äô by Astronomy Magazine"/>
    <x v="9"/>
    <s v="https://ciera.northwestern.edu/2023/02/16/wen-fai-fong-named-rising-star-by-astronomy-magazine/"/>
    <x v="2"/>
    <x v="2"/>
    <x v="0"/>
  </r>
  <r>
    <x v="15"/>
    <s v="Graduate student's photos of green comet featured in major media outlets"/>
    <x v="10"/>
    <s v="https://ciera.northwestern.edu/2023/02/03/green-comet-visible-in-the-night-sky-for-first-time-since-stone-age-makes-its-closest-pass-by-earth/"/>
    <x v="6"/>
    <x v="3"/>
    <x v="2"/>
  </r>
  <r>
    <x v="16"/>
    <s v="Watch distant worlds dance around their sun"/>
    <x v="11"/>
    <s v="https://ciera.northwestern.edu/2023/01/31/watch-distant-worlds-dance-around-their-sun/"/>
    <x v="4"/>
    <x v="1"/>
    <x v="10"/>
  </r>
  <r>
    <x v="17"/>
    <s v="CIERA REU Students Present at 241st Meeting of the AAS"/>
    <x v="12"/>
    <s v="https://ciera.northwestern.edu/2023/01/23/ciera-reu-students-present-at-241st-meeting-of-the-aas/"/>
    <x v="7"/>
    <x v="0"/>
    <x v="11"/>
  </r>
  <r>
    <x v="18"/>
    <s v="First exoplanet detected with Gaia satellite found to be undergoing nuclear fusion"/>
    <x v="13"/>
    <s v="https://ciera.northwestern.edu/2023/01/18/first-exoplanet-detected-with-gaia-satellite-found-to-be-undergoing-nuclear-fusion/"/>
    <x v="4"/>
    <x v="4"/>
    <x v="2"/>
  </r>
  <r>
    <x v="19"/>
    <s v="Ultracool dwarf binary stars break records"/>
    <x v="14"/>
    <s v="https://ciera.northwestern.edu/2023/01/17/ultracool-dwarf-binary-stars-break-records/"/>
    <x v="8"/>
    <x v="1"/>
    <x v="2"/>
  </r>
  <r>
    <x v="20"/>
    <s v="Research Student Madeline Oh Named a Top 300 Teen Scientist by Regeneron Science Talent Search"/>
    <x v="15"/>
    <s v="https://ciera.northwestern.edu/2023/01/13/ciera-research-student-madeline-oh-named-scholar-in-the-regeneron-science-talent-search/"/>
    <x v="9"/>
    <x v="0"/>
    <x v="12"/>
  </r>
  <r>
    <x v="21"/>
    <s v="Professor Dave Meyer retires after 35 years at Northwestern"/>
    <x v="16"/>
    <s v="https://ciera.northwestern.edu/2023/01/11/professor-dave-meyer-retires-after-35-years-at-northwestern/"/>
    <x v="1"/>
    <x v="0"/>
    <x v="0"/>
  </r>
  <r>
    <x v="22"/>
    <s v="Researchers develop Firefly: an innovation in interactive particle visualization"/>
    <x v="17"/>
    <s v="https://ciera.northwestern.edu/2023/01/10/researchers-develop-firefly-an-innovation-in-interactive-particle-visualization/"/>
    <x v="3"/>
    <x v="0"/>
    <x v="13"/>
  </r>
  <r>
    <x v="23"/>
    <s v="Local Group Cluster Search led by CIERA Postdoctoral Fellow Cliff Johnson"/>
    <x v="18"/>
    <s v="https://ciera.northwestern.edu/2023/01/06/the-local-group-cluster-search-led-by-ciera-postdoctoral-fellow-cliff-johnson-recently-published-results/"/>
    <x v="10"/>
    <x v="0"/>
    <x v="14"/>
  </r>
  <r>
    <x v="24"/>
    <s v="Graduate Student Jillian Rastinejad Spotlighted on NASA Universe"/>
    <x v="19"/>
    <s v="https://ciera.northwestern.edu/2023/01/05/ciera-graduate-student-jillian-rastinejad-spotlighted-on-nasa-universe/"/>
    <x v="11"/>
    <x v="0"/>
    <x v="0"/>
  </r>
  <r>
    <x v="25"/>
    <s v="CIERA Interdisciplinary Colloquium: Enectal√≠ Figueroa-Feliciano Presents &quot;Extremely Cool Detectors On a Fireball: Launching the Micro-X Sounding Rocket&quot;"/>
    <x v="20"/>
    <s v="https://ciera.northwestern.edu/2022/12/16/ciera-interdisciplinary-colloquium-enectali-figueroa-feliciano-presents-extremely-cool-detectors-on-a-fireball-launching-the-micro-x-sounding-rocket/"/>
    <x v="12"/>
    <x v="0"/>
    <x v="7"/>
  </r>
  <r>
    <x v="26"/>
    <s v="REU Site Directors Meeting Led by CIERA's Aaron Geller"/>
    <x v="21"/>
    <s v="https://ciera.northwestern.edu/2022/12/08/reu-site-directors-meeting-led-by-ciera-member/"/>
    <x v="1"/>
    <x v="0"/>
    <x v="11"/>
  </r>
  <r>
    <x v="27"/>
    <s v="Surprise kilonova upends established understanding of long gamma-ray bursts"/>
    <x v="22"/>
    <s v="https://ciera.northwestern.edu/2022/12/07/surprise-kilonova-upends-established-understanding-of-long-gamma-ray-bursts/"/>
    <x v="11"/>
    <x v="1"/>
    <x v="2"/>
  </r>
  <r>
    <x v="28"/>
    <s v="Team with Northwestern astrophysicists competes for $300 million"/>
    <x v="23"/>
    <s v="https://ciera.northwestern.edu/2022/11/28/team-with-northwestern-astrophysicists-competes-for-300-million/"/>
    <x v="11"/>
    <x v="1"/>
    <x v="15"/>
  </r>
  <r>
    <x v="29"/>
    <s v="Short gamma-ray bursts traced farther into distant universe"/>
    <x v="24"/>
    <s v="https://ciera.northwestern.edu/2022/11/21/short-gamma-ray-bursts-traced-farther-into-distant-universe/"/>
    <x v="9"/>
    <x v="2"/>
    <x v="2"/>
  </r>
  <r>
    <x v="30"/>
    <s v="ALMA Data Reduction Workshop"/>
    <x v="25"/>
    <s v="https://ciera.northwestern.edu/2022/11/14/alma-data-reduction-workshop/"/>
    <x v="1"/>
    <x v="0"/>
    <x v="16"/>
  </r>
  <r>
    <x v="31"/>
    <s v="Explore the Cosmos with CIERA"/>
    <x v="26"/>
    <s v="https://ciera.northwestern.edu/2022/11/11/explore-the-cosmos-with-ciera/"/>
    <x v="1"/>
    <x v="0"/>
    <x v="17"/>
  </r>
  <r>
    <x v="32"/>
    <s v="What makes gamma-ray bursts blink on and off?"/>
    <x v="27"/>
    <s v="https://ciera.northwestern.edu/2022/11/08/what-makes-gamma-ray-bursts-blink-on-and-off/"/>
    <x v="1"/>
    <x v="3"/>
    <x v="2"/>
  </r>
  <r>
    <x v="33"/>
    <s v="Carolyn Porco Presents 13th Annual CIERA Public Lecture"/>
    <x v="28"/>
    <s v="https://ciera.northwestern.edu/2022/11/07/carolyn-porco-presents-13th-annual-ciera-public-lecture/"/>
    <x v="4"/>
    <x v="0"/>
    <x v="18"/>
  </r>
  <r>
    <x v="34"/>
    <s v="CIERA Hosts SEDM &amp; ZTF"/>
    <x v="29"/>
    <s v="https://ciera.northwestern.edu/2022/11/04/ciera-hosts-sedm-ztf/"/>
    <x v="8"/>
    <x v="0"/>
    <x v="6"/>
  </r>
  <r>
    <x v="35"/>
    <s v="CIERA Alum Carl Rodriguez wins Packard Fellowship"/>
    <x v="30"/>
    <s v="https://ciera.northwestern.edu/2022/10/20/ciera-alum-carl-rodriguez-wins-packard-fellowship/"/>
    <x v="13"/>
    <x v="0"/>
    <x v="0"/>
  </r>
  <r>
    <x v="36"/>
    <s v="Brightest-ever gamma-ray burst breaks records"/>
    <x v="31"/>
    <s v="https://ciera.northwestern.edu/2022/10/18/brightest-ever-gamma-ray-burst-breaks-records/"/>
    <x v="14"/>
    <x v="2"/>
    <x v="2"/>
  </r>
  <r>
    <x v="37"/>
    <s v="The 2023 APS Francis M. Pipkin Award Has Been Given to Andrew Geraci"/>
    <x v="32"/>
    <s v="https://ciera.northwestern.edu/2022/10/13/the-2023-aps-francis-m-pipkin-award-has-been-given-to-andrew-geraci/"/>
    <x v="1"/>
    <x v="0"/>
    <x v="0"/>
  </r>
  <r>
    <x v="38"/>
    <s v="CIERA welcomes DSFP back to Northwestern"/>
    <x v="33"/>
    <s v="https://ciera.northwestern.edu/2022/10/12/ciera-welcomes-dsfp-back-to-northwestern/"/>
    <x v="1"/>
    <x v="0"/>
    <x v="3"/>
  </r>
  <r>
    <x v="39"/>
    <s v="REACH 2022 Sessions Back In-Person"/>
    <x v="34"/>
    <s v="https://ciera.northwestern.edu/2022/09/16/reach-2022-sessions/"/>
    <x v="3"/>
    <x v="0"/>
    <x v="19"/>
  </r>
  <r>
    <x v="40"/>
    <s v="CIERA Postdocs Advance to New Positions"/>
    <x v="35"/>
    <s v="https://ciera.northwestern.edu/2022/09/14/ciera-postdocs-advance-to-new-positions-4/"/>
    <x v="1"/>
    <x v="0"/>
    <x v="0"/>
  </r>
  <r>
    <x v="41"/>
    <s v="REU Welcomed 14 Students to Campus for a Successful 2022 Summer"/>
    <x v="36"/>
    <s v="https://ciera.northwestern.edu/2022/09/12/reu-2022/"/>
    <x v="3"/>
    <x v="0"/>
    <x v="20"/>
  </r>
  <r>
    <x v="42"/>
    <s v="CIERA Welcomes New Faculty Members: Allison Strom and Jason Wang"/>
    <x v="37"/>
    <s v="https://ciera.northwestern.edu/2022/09/06/ciera-welcomes-new-faculty-members-allison-strom-and-jason-wang/"/>
    <x v="15"/>
    <x v="0"/>
    <x v="0"/>
  </r>
  <r>
    <x v="43"/>
    <s v="RET 2022 Completion of a Successful First Year"/>
    <x v="38"/>
    <s v="https://ciera.northwestern.edu/2022/09/01/ret-2022/"/>
    <x v="3"/>
    <x v="0"/>
    <x v="19"/>
  </r>
  <r>
    <x v="44"/>
    <s v="Northwestern astrophysicist contributes to Webb‚Äôs first exoplanet image"/>
    <x v="38"/>
    <s v="https://ciera.northwestern.edu/2022/09/01/northwestern-astrophysicist-contributes-to-webbs-first-exoplanet-image/"/>
    <x v="4"/>
    <x v="2"/>
    <x v="2"/>
  </r>
  <r>
    <x v="45"/>
    <s v="The Recipient of the 2022 Robert J. Trumpler Award is Dr. Ariadna Murguia Berthier"/>
    <x v="39"/>
    <s v="https://ciera.northwestern.edu/2022/08/31/the-recipient-of-the-2022-robert-j-trumpler-award-is-dr-ariadna-murguia-berthier/"/>
    <x v="9"/>
    <x v="0"/>
    <x v="0"/>
  </r>
  <r>
    <x v="46"/>
    <s v="X-shaped radio galaxies might form more simply than expected"/>
    <x v="40"/>
    <s v="https://ciera.northwestern.edu/2022/08/29/x-shaped-radio-galaxies-might-form-more-simply-than-expected/"/>
    <x v="16"/>
    <x v="1"/>
    <x v="2"/>
  </r>
  <r>
    <x v="47"/>
    <s v="A quick jump into space ‚Äî and back ‚Äî for pictures of ‚Äòstar stuff‚Äô"/>
    <x v="40"/>
    <s v="https://ciera.northwestern.edu/2022/08/29/a-quick-jump-into-space-and-back-for-pictures-of-star-stuff/"/>
    <x v="12"/>
    <x v="1"/>
    <x v="21"/>
  </r>
  <r>
    <x v="48"/>
    <s v="LSST observations of tidal disruption events may uncover existence of dark matter particles"/>
    <x v="41"/>
    <s v="https://ciera.northwestern.edu/2022/08/12/lsst-observations-of-tidal-disruption-events-may-uncover-existence-of-dark-matter-particles/"/>
    <x v="16"/>
    <x v="0"/>
    <x v="2"/>
  </r>
  <r>
    <x v="49"/>
    <s v="Women astronomers leading the revolution"/>
    <x v="42"/>
    <s v="https://ciera.northwestern.edu/2022/08/11/women-astronomers-leading-the-revolution/"/>
    <x v="0"/>
    <x v="0"/>
    <x v="22"/>
  </r>
  <r>
    <x v="50"/>
    <s v="Northwestern rocket to image supernova remnant"/>
    <x v="42"/>
    <s v="https://ciera.northwestern.edu/2022/08/11/northwestern-rocket-to-image-supernova-remnant/"/>
    <x v="12"/>
    <x v="1"/>
    <x v="23"/>
  </r>
  <r>
    <x v="51"/>
    <s v="Stars determine their own masses"/>
    <x v="43"/>
    <s v="https://ciera.northwestern.edu/2022/08/08/stars-determine-their-own-masses/"/>
    <x v="8"/>
    <x v="2"/>
    <x v="2"/>
  </r>
  <r>
    <x v="52"/>
    <s v="Explosive neutron star merger captured for first time in millimeter light"/>
    <x v="44"/>
    <s v="https://ciera.northwestern.edu/2022/08/03/explosive-neutron-star-merger-captured-for-first-time-in-millimeter-light/"/>
    <x v="14"/>
    <x v="1"/>
    <x v="2"/>
  </r>
  <r>
    <x v="53"/>
    <s v="Northwestern astrophysicists snag early time on James Webb Space Telescope"/>
    <x v="45"/>
    <s v="https://ciera.northwestern.edu/2022/07/12/northwestern-astrophysicists-snag-early-time-on-james-webb-space-telescope/"/>
    <x v="17"/>
    <x v="1"/>
    <x v="15"/>
  </r>
  <r>
    <x v="54"/>
    <s v="CIERA student's paper highlighted by NASA's SOFIA Science Center"/>
    <x v="46"/>
    <s v="https://ciera.northwestern.edu/2022/07/08/ciera-students-paper-highlighted-by-nasas-sofia-science-center/"/>
    <x v="8"/>
    <x v="3"/>
    <x v="2"/>
  </r>
  <r>
    <x v="55"/>
    <s v="Falling stardust, wobbly jets explain blinking gamma ray bursts"/>
    <x v="47"/>
    <s v="https://ciera.northwestern.edu/2022/06/29/falling-stardust-wobbly-jets-explain-blinking-gamma-ray-bursts/"/>
    <x v="2"/>
    <x v="1"/>
    <x v="2"/>
  </r>
  <r>
    <x v="56"/>
    <s v="CIERA Faculty member successfully launches new conference on Intermediate-Mass Black Holes"/>
    <x v="48"/>
    <s v="https://ciera.northwestern.edu/2022/06/21/ciera-faculty-member-successfully-launches-new-conference-on-intermediate-mass-black-holes/"/>
    <x v="18"/>
    <x v="0"/>
    <x v="23"/>
  </r>
  <r>
    <x v="57"/>
    <s v="SCOPE Program rising in numbers and influence"/>
    <x v="48"/>
    <s v="https://ciera.northwestern.edu/2022/06/21/scope-program-rising-in-numbers-and-influence/"/>
    <x v="1"/>
    <x v="0"/>
    <x v="24"/>
  </r>
  <r>
    <x v="58"/>
    <s v="Wandering star disrupts stellar nursery"/>
    <x v="49"/>
    <s v="https://ciera.northwestern.edu/2022/06/13/wandering-star-disrupts-stellar-nursery/"/>
    <x v="8"/>
    <x v="2"/>
    <x v="2"/>
  </r>
  <r>
    <x v="59"/>
    <s v="May 15 Lunar Eclipse Public Viewing"/>
    <x v="50"/>
    <s v="https://ciera.northwestern.edu/2022/06/08/may-15-lunar-eclipse-public-viewing/"/>
    <x v="1"/>
    <x v="4"/>
    <x v="18"/>
  </r>
  <r>
    <x v="60"/>
    <s v="Alex Gurvich Wins Northwestern's Data Visualization Contest"/>
    <x v="51"/>
    <s v="https://ciera.northwestern.edu/2022/06/07/alex-gurvich-wins-northwesterns-data-visualization-contest/"/>
    <x v="6"/>
    <x v="0"/>
    <x v="25"/>
  </r>
  <r>
    <x v="61"/>
    <s v="CIERA Researchers Quoted in Sky &amp; Telescope June Cover Story"/>
    <x v="52"/>
    <s v="https://ciera.northwestern.edu/2022/06/01/ciera-researchers-quoted-in-sky-telescope-june-cover-story/"/>
    <x v="9"/>
    <x v="4"/>
    <x v="22"/>
  </r>
  <r>
    <x v="62"/>
    <s v="CIERA'S Inaugural Astronomy Night Out"/>
    <x v="53"/>
    <s v="https://ciera.northwestern.edu/2022/05/20/cieras-inaugural-astronomy-night-out/"/>
    <x v="8"/>
    <x v="0"/>
    <x v="18"/>
  </r>
  <r>
    <x v="63"/>
    <s v="Tarraneh Eftekhari Named NASA Einstein Fellow"/>
    <x v="54"/>
    <s v="https://ciera.northwestern.edu/2022/05/03/tarraneh-eftekhari-named-nasa-einstein-fellow/"/>
    <x v="8"/>
    <x v="0"/>
    <x v="0"/>
  </r>
  <r>
    <x v="64"/>
    <s v="Erin Cox Awarded NSF MPS-Ascend Fellowship"/>
    <x v="55"/>
    <s v="https://ciera.northwestern.edu/2022/04/29/erin-cox-awarded-nsf-mps-ascend-fellowship/"/>
    <x v="8"/>
    <x v="0"/>
    <x v="0"/>
  </r>
  <r>
    <x v="65"/>
    <s v="Dying Stars‚Äô Cocoons Might Explain Fast Blue Optical Transients"/>
    <x v="56"/>
    <s v="https://ciera.northwestern.edu/2022/04/20/dying-stars-cocoons-might-explain-fast-blue-optical-transients/"/>
    <x v="8"/>
    <x v="2"/>
    <x v="2"/>
  </r>
  <r>
    <x v="66"/>
    <s v="ALMA Community Day"/>
    <x v="57"/>
    <s v="https://ciera.northwestern.edu/2022/04/18/alma-community-day/"/>
    <x v="19"/>
    <x v="0"/>
    <x v="26"/>
  </r>
  <r>
    <x v="67"/>
    <s v="Five New Postdoctoral Researchers Join CIERA"/>
    <x v="58"/>
    <s v="https://ciera.northwestern.edu/2022/04/08/five-new-postdoctoral-researchers-join-ciera/"/>
    <x v="3"/>
    <x v="0"/>
    <x v="0"/>
  </r>
  <r>
    <x v="68"/>
    <s v="Monica Gallegos Garcia Selected for 2022 Bouchet Honor Society"/>
    <x v="59"/>
    <s v="https://ciera.northwestern.edu/2022/04/06/monica-gallegos-garcia-selected-for-2022-bouchet-honor-society/"/>
    <x v="1"/>
    <x v="0"/>
    <x v="0"/>
  </r>
  <r>
    <x v="69"/>
    <s v="CIERA Astronomers Travel to Mexico to Install TolTEC Camera"/>
    <x v="59"/>
    <s v="https://ciera.northwestern.edu/2022/04/06/ciera-astronomers-travel-to-mexico-to-install-toltec-camera/"/>
    <x v="8"/>
    <x v="0"/>
    <x v="2"/>
  </r>
  <r>
    <x v="70"/>
    <s v="Ariadna Murguia Berthier Top 3 Finalist for AAS HEAD Dissertation Prize"/>
    <x v="60"/>
    <s v="https://ciera.northwestern.edu/2022/04/01/ariadna-murguia-berthier-top-3-finalist-for-aas-head-dissertation-prize/"/>
    <x v="20"/>
    <x v="0"/>
    <x v="0"/>
  </r>
  <r>
    <x v="71"/>
    <s v="CIERA High School Researcher is Regeneron National Science Talent Search Grand Prize Winner"/>
    <x v="61"/>
    <s v="https://ciera.northwestern.edu/2022/03/16/ciera-high-school-research-is-regeneron-national-science-talent-search-grand-prize-winner/"/>
    <x v="0"/>
    <x v="4"/>
    <x v="27"/>
  </r>
  <r>
    <x v="72"/>
    <s v="Kilonova afterglow potentially spotted for first time"/>
    <x v="62"/>
    <s v="https://ciera.northwestern.edu/2022/02/28/kilonova-afterglow-potentially-spotted-for-first-time/"/>
    <x v="11"/>
    <x v="1"/>
    <x v="2"/>
  </r>
  <r>
    <x v="73"/>
    <s v="Conference in snowy Aspen brings astrophysicists together"/>
    <x v="63"/>
    <s v="https://ciera.northwestern.edu/2022/02/24/conference-in-snowy-aspen-brings-astrophysicists-together/"/>
    <x v="21"/>
    <x v="0"/>
    <x v="23"/>
  </r>
  <r>
    <x v="74"/>
    <s v="High School Student and CIERA Postdoctoral Fellow Mentor Publish Star Formation Simulation Research"/>
    <x v="64"/>
    <s v="https://ciera.northwestern.edu/2022/02/23/high-school-student-and-ciera-postdoctoral-fellow-mentor-publish-star-formation-simulation-research/"/>
    <x v="8"/>
    <x v="0"/>
    <x v="28"/>
  </r>
  <r>
    <x v="75"/>
    <s v="Wen-fai Fong named Sloan Research Fellow"/>
    <x v="65"/>
    <s v="https://ciera.northwestern.edu/2022/02/15/six-northwestern-professors-named-sloan-research-fellows/"/>
    <x v="8"/>
    <x v="1"/>
    <x v="0"/>
  </r>
  <r>
    <x v="76"/>
    <s v="Wen-fai Fong receives Cottrell Scholar Award"/>
    <x v="66"/>
    <s v="https://ciera.northwestern.edu/2022/02/09/wen-fai-fong-receives-cottrell-scholar-award/"/>
    <x v="8"/>
    <x v="1"/>
    <x v="12"/>
  </r>
  <r>
    <x v="77"/>
    <s v="Nearly 1,000 mysterious strands revealed in Milky Way‚Äôs center"/>
    <x v="67"/>
    <s v="https://ciera.northwestern.edu/2022/01/26/nearly-1000-mysterious-strands-revealed-in-milky-ways-center/"/>
    <x v="6"/>
    <x v="1"/>
    <x v="2"/>
  </r>
  <r>
    <x v="78"/>
    <s v="Astronomers capture red supergiant‚Äôs death throes"/>
    <x v="68"/>
    <s v="https://ciera.northwestern.edu/2022/01/06/astronomers-capture-red-supergiants-death-throes/"/>
    <x v="8"/>
    <x v="1"/>
    <x v="2"/>
  </r>
  <r>
    <x v="79"/>
    <s v="Looking forward to a huge leap in space exploration"/>
    <x v="69"/>
    <s v="https://ciera.northwestern.edu/2021/12/17/looking-forward-to-a-huge-leap-in-space-exploration/"/>
    <x v="16"/>
    <x v="1"/>
    <x v="15"/>
  </r>
  <r>
    <x v="80"/>
    <s v="Black holes of ‚Äòall shapes and sizes‚Äô in new gravitational-wave catalog"/>
    <x v="70"/>
    <s v="https://ciera.northwestern.edu/2021/11/08/black-holes-of-all-shapes-and-sizes-in-new-gravitational-wave-catalog/"/>
    <x v="0"/>
    <x v="2"/>
    <x v="2"/>
  </r>
  <r>
    <x v="81"/>
    <s v="CIERA Research Assistant Professor Giacomo Fragione Receives NASA Grant for LISA Preparatory Science Program"/>
    <x v="71"/>
    <s v="https://ciera.northwestern.edu/2021/11/01/ciera-professor-giacomo-fragione-receives-nasa-grant-for-lisa-preparatory-science-program/"/>
    <x v="21"/>
    <x v="0"/>
    <x v="15"/>
  </r>
  <r>
    <x v="82"/>
    <s v="Phil Plait Presents 12th Annual CIERA Public Lecture"/>
    <x v="72"/>
    <s v="https://ciera.northwestern.edu/2021/10/21/phil-plait-presents-12th-annual-ciera-public-lecture/"/>
    <x v="4"/>
    <x v="0"/>
    <x v="18"/>
  </r>
  <r>
    <x v="83"/>
    <s v="Another Successful CIERA REU Program in the Books!"/>
    <x v="73"/>
    <s v="https://ciera.northwestern.edu/2021/10/20/another-successful-ciera-reu-program-in-the-books/"/>
    <x v="1"/>
    <x v="0"/>
    <x v="24"/>
  </r>
  <r>
    <x v="84"/>
    <s v="REACH Continues to Grow!"/>
    <x v="73"/>
    <s v="https://ciera.northwestern.edu/2021/10/20/reach-continues-to-grow/"/>
    <x v="1"/>
    <x v="0"/>
    <x v="19"/>
  </r>
  <r>
    <x v="85"/>
    <s v="Did a black hole eating a star generate a neutrino? Unlikely, new study shows"/>
    <x v="73"/>
    <s v="https://ciera.northwestern.edu/2021/10/20/did-a-black-hole-eating-a-star-generate-a-neutrino-unlikely-new-study-shows/"/>
    <x v="9"/>
    <x v="0"/>
    <x v="2"/>
  </r>
  <r>
    <x v="86"/>
    <s v="Professor Wen-fai Fong Receives Prestigious Packard Fellowship"/>
    <x v="74"/>
    <s v="https://ciera.northwestern.edu/2021/10/14/professor-wen-fai-fong-receives-prestigious-packard-fellowship/"/>
    <x v="17"/>
    <x v="1"/>
    <x v="0"/>
  </r>
  <r>
    <x v="87"/>
    <s v="Luke Kelley Awarded Cottrell Fellowship"/>
    <x v="75"/>
    <s v="https://ciera.northwestern.edu/2021/09/08/luke-kelley-awarded-cottrell-fellowship/"/>
    <x v="9"/>
    <x v="0"/>
    <x v="0"/>
  </r>
  <r>
    <x v="88"/>
    <s v="CIERA Welcomes New Faculty Member Adam Miller"/>
    <x v="76"/>
    <s v="https://ciera.northwestern.edu/2021/09/01/ciera-welcomes-new-faculty-member-adam-miller/"/>
    <x v="8"/>
    <x v="0"/>
    <x v="0"/>
  </r>
  <r>
    <x v="89"/>
    <s v="CIERA Members Win 2nd Place for JSPG Policy Position Paper"/>
    <x v="77"/>
    <s v="https://ciera.northwestern.edu/2021/08/30/ciera-members-win-2nd-place-for-jspg-policy-position-paper/"/>
    <x v="1"/>
    <x v="1"/>
    <x v="1"/>
  </r>
  <r>
    <x v="90"/>
    <s v="New simulation shows how galaxies feed their supermassive black holes"/>
    <x v="78"/>
    <s v="https://ciera.northwestern.edu/2021/08/17/new-simulation-shows-how-galaxies-feed-their-supermassive-black-holes/"/>
    <x v="16"/>
    <x v="1"/>
    <x v="29"/>
  </r>
  <r>
    <x v="91"/>
    <s v="Social scientists, astrophysicists to probe the Universe‚Äôs deepest mysteries"/>
    <x v="79"/>
    <s v="https://ciera.northwestern.edu/2021/08/16/social-scientists-astrophysicists-to-probe-the-universes-deepest-mysteries/"/>
    <x v="1"/>
    <x v="1"/>
    <x v="30"/>
  </r>
  <r>
    <x v="92"/>
    <s v="Astrophysicists detect first black hole-neutron star mergers"/>
    <x v="80"/>
    <s v="https://ciera.northwestern.edu/2021/06/29/astrophysicists-detect-first-black-hole-neutron-star-mergers/"/>
    <x v="9"/>
    <x v="2"/>
    <x v="2"/>
  </r>
  <r>
    <x v="93"/>
    <s v="Intense radio blasts traced to galaxies‚Äô spiral arms"/>
    <x v="81"/>
    <s v="https://ciera.northwestern.edu/2021/05/20/intense-radio-blasts-traced-to-galaxies-spiral-arms/"/>
    <x v="8"/>
    <x v="2"/>
    <x v="2"/>
  </r>
  <r>
    <x v="94"/>
    <s v="Postdoctoral Fellow Mike Grudiƒá Awarded NASA Hubble Fellowship"/>
    <x v="82"/>
    <s v="https://ciera.northwestern.edu/2021/05/18/postdoctoral-fellow-mike-grudic-awarded-nasa-hubble-fellowship/"/>
    <x v="22"/>
    <x v="0"/>
    <x v="0"/>
  </r>
  <r>
    <x v="95"/>
    <s v="Alumnus Dr. K. Chris Oh Integrates Physics Education in his Career"/>
    <x v="83"/>
    <s v="https://ciera.northwestern.edu/2021/05/17/alumnus-dr-k-chris-oh-integrates-physics-education-in-his-career/"/>
    <x v="1"/>
    <x v="1"/>
    <x v="20"/>
  </r>
  <r>
    <x v="96"/>
    <s v="Stunning simulation of stars being born is most realistic ever"/>
    <x v="83"/>
    <s v="https://ciera.northwestern.edu/2021/05/17/stunning-simulation-of-stars-being-born-is-most-realistic-ever/"/>
    <x v="17"/>
    <x v="2"/>
    <x v="29"/>
  </r>
  <r>
    <x v="97"/>
    <s v="‚ÄòOddball supernova‚Äô appears strangely cool before exploding"/>
    <x v="84"/>
    <s v="https://ciera.northwestern.edu/2021/05/05/oddball-supernova-appears-strangely-cool-before-exploding/"/>
    <x v="8"/>
    <x v="2"/>
    <x v="2"/>
  </r>
  <r>
    <x v="98"/>
    <s v="James Kasting Presents Joint Interdisciplinary Colloquium"/>
    <x v="85"/>
    <s v="https://ciera.northwestern.edu/2021/05/03/james-kasting-presents-joint-interdisciplinary-colloquium/"/>
    <x v="4"/>
    <x v="0"/>
    <x v="7"/>
  </r>
  <r>
    <x v="99"/>
    <s v="Gamma-Ray Burst Studied by CIERA Astronomers Challenges Traditional Classification of GRBs"/>
    <x v="86"/>
    <s v="https://ciera.northwestern.edu/2021/04/28/gamma-ray-burst-studied-by-ciera-astronomers-challenges-traditional-classification-of-grbs/"/>
    <x v="8"/>
    <x v="0"/>
    <x v="2"/>
  </r>
  <r>
    <x v="100"/>
    <s v="Vicky Kalogera Elected to American Academy of Arts and Sciences"/>
    <x v="87"/>
    <s v="https://ciera.northwestern.edu/2021/04/23/vicky-kalogera-elected-to-american-academy-of-arts-and-sciences/"/>
    <x v="0"/>
    <x v="1"/>
    <x v="0"/>
  </r>
  <r>
    <x v="101"/>
    <s v="NSF Graduate Fellowships Awarded to Astronomy Students"/>
    <x v="88"/>
    <s v="https://ciera.northwestern.edu/2021/04/19/nsf-graduate-research-fellowships-2021/"/>
    <x v="1"/>
    <x v="0"/>
    <x v="12"/>
  </r>
  <r>
    <x v="102"/>
    <s v="American Physical Society Elects Professors Margutti and Larson to Committees"/>
    <x v="89"/>
    <s v="https://ciera.northwestern.edu/2021/04/17/american-physical-society-elects-professors-margutti-and-larson-to-committees/"/>
    <x v="1"/>
    <x v="0"/>
    <x v="0"/>
  </r>
  <r>
    <x v="103"/>
    <s v="Vicky Kalogera Named 2021 Guggenheim Fellow"/>
    <x v="90"/>
    <s v="https://ciera.northwestern.edu/2021/04/12/vicky-kalogera-named-2021-guggenheim-fellow/"/>
    <x v="14"/>
    <x v="1"/>
    <x v="0"/>
  </r>
  <r>
    <x v="104"/>
    <s v="200+ International Scientists Attend Virtual Conference on Triple Evolution &amp; Dynamics"/>
    <x v="91"/>
    <s v="https://ciera.northwestern.edu/2021/04/02/200-international-scientists-attend-virtual-conference-on-triple-evolution-dynamics/"/>
    <x v="5"/>
    <x v="0"/>
    <x v="6"/>
  </r>
  <r>
    <x v="105"/>
    <s v="New Issue of ‚ÄúLIGO Magazine‚Äù Features Gravitational Wave Article by Eve Chase"/>
    <x v="92"/>
    <s v="https://ciera.northwestern.edu/2021/03/25/new-issue-of-ligo-magazine-features-gravitational-wave-article-by-eve-chase/"/>
    <x v="0"/>
    <x v="0"/>
    <x v="22"/>
  </r>
  <r>
    <x v="106"/>
    <s v="Prof. Fong Receives NSF Honor for Young Faculty"/>
    <x v="93"/>
    <s v="https://ciera.northwestern.edu/2021/03/24/prof-fong-receives-nsf-honor-for-young-faculty/"/>
    <x v="8"/>
    <x v="1"/>
    <x v="0"/>
  </r>
  <r>
    <x v="107"/>
    <s v="Welcome New CIERA Postdoctoral Researchers"/>
    <x v="94"/>
    <s v="https://ciera.northwestern.edu/2021/03/18/welcome-new-ciera-postdoctoral-researchers/"/>
    <x v="3"/>
    <x v="0"/>
    <x v="0"/>
  </r>
  <r>
    <x v="108"/>
    <s v="Major Award for Gravitational Wave Researcher Christopher Berry"/>
    <x v="95"/>
    <s v="https://ciera.northwestern.edu/2021/03/15/major-award-for-gravitational-wave-researcher-christopher-berry/"/>
    <x v="0"/>
    <x v="0"/>
    <x v="0"/>
  </r>
  <r>
    <x v="109"/>
    <s v="New Kind of Space Explosion Reveals the Birth of a Black Hole"/>
    <x v="96"/>
    <s v="https://ciera.northwestern.edu/2021/03/12/new-kind-of-space-explosion-reveals-the-birth-of-a-black-hole/"/>
    <x v="12"/>
    <x v="3"/>
    <x v="2"/>
  </r>
  <r>
    <x v="110"/>
    <s v="Growing Inventory of Black Holes Offers a Radical Probe of the Cosmos"/>
    <x v="97"/>
    <s v="https://ciera.northwestern.edu/2021/02/18/growing-inventory-of-black-holes-offers-a-radical-probe-of-the-cosmos/"/>
    <x v="0"/>
    <x v="3"/>
    <x v="2"/>
  </r>
  <r>
    <x v="111"/>
    <s v="CIERA Astronomy LIVE Debuts on YouTube"/>
    <x v="98"/>
    <s v="https://ciera.northwestern.edu/2021/02/01/ciera-astronomy-live-debuts-on-youtube/"/>
    <x v="23"/>
    <x v="0"/>
    <x v="18"/>
  </r>
  <r>
    <x v="112"/>
    <s v="‚ÄòUnicorn‚Äô Discovery Points to a New Population of Black Holes"/>
    <x v="99"/>
    <s v="https://ciera.northwestern.edu/2021/01/28/unicorn-discovery-points-to-a-new-population-of-black-holes/"/>
    <x v="9"/>
    <x v="3"/>
    <x v="2"/>
  </r>
  <r>
    <x v="113"/>
    <s v="String of Stars in Milky Way are Related"/>
    <x v="100"/>
    <s v="https://ciera.northwestern.edu/2021/01/15/string-of-stars-in-milky-way-are-related/"/>
    <x v="5"/>
    <x v="1"/>
    <x v="2"/>
  </r>
  <r>
    <x v="114"/>
    <s v="Faucher-Gigu√®re Named Highly Cited Researcher for Second Year"/>
    <x v="101"/>
    <s v="https://ciera.northwestern.edu/2020/12/21/faucher-giguere-named-highly-cited-researcher-for-second-year/"/>
    <x v="6"/>
    <x v="3"/>
    <x v="0"/>
  </r>
  <r>
    <x v="115"/>
    <s v="The Upside of Volatile Space Weather"/>
    <x v="101"/>
    <s v="https://ciera.northwestern.edu/2020/12/21/the-upside-of-volatile-space-weather/"/>
    <x v="4"/>
    <x v="1"/>
    <x v="21"/>
  </r>
  <r>
    <x v="116"/>
    <s v="Planets to appear nearly aligned creating ‚ÄòChristmas star‚Äô last widely visible 800 years ago"/>
    <x v="102"/>
    <s v="https://ciera.northwestern.edu/2020/12/14/christmas-star/"/>
    <x v="4"/>
    <x v="3"/>
    <x v="31"/>
  </r>
  <r>
    <x v="117"/>
    <s v="Andr√© de Gouv√™a Selected as 2020 AAAS Fellow"/>
    <x v="103"/>
    <s v="https://ciera.northwestern.edu/2020/11/30/de-gouvea-2020-aaas-fellow/"/>
    <x v="1"/>
    <x v="0"/>
    <x v="0"/>
  </r>
  <r>
    <x v="118"/>
    <s v="Rare Short Gamma-ray Burst Discovered in Galaxy Cluster"/>
    <x v="104"/>
    <s v="https://ciera.northwestern.edu/2020/11/23/rare-short-gamma-ray-burst-discovered-in-galaxy-cluster/"/>
    <x v="24"/>
    <x v="0"/>
    <x v="2"/>
  </r>
  <r>
    <x v="119"/>
    <s v="Supercomputing Time Awarded for Third Year to Sasha Tchekhovskoy"/>
    <x v="105"/>
    <s v="https://ciera.northwestern.edu/2020/11/16/supercomputing-time-awarded-for-third-year-to-sasha-tchekhovskoy/"/>
    <x v="2"/>
    <x v="0"/>
    <x v="25"/>
  </r>
  <r>
    <x v="120"/>
    <s v="NASA's Hubble Sees Unexplained Brightness from Colossal Explosion"/>
    <x v="106"/>
    <s v="https://ciera.northwestern.edu/2020/11/12/nasas-hubble-sees-unexplained-brightness-from-colossal-explosion/"/>
    <x v="9"/>
    <x v="3"/>
    <x v="2"/>
  </r>
  <r>
    <x v="121"/>
    <s v="Shane Larson Presents Virtual Public Lecture on the Milky Way"/>
    <x v="107"/>
    <s v="https://ciera.northwestern.edu/2020/11/03/shane-larson-presents-virtual-public-lecture-on-the-milky-way/"/>
    <x v="1"/>
    <x v="0"/>
    <x v="18"/>
  </r>
  <r>
    <x v="122"/>
    <s v="Growing Library of Educational Brochures by CIERA Astronomers"/>
    <x v="108"/>
    <s v="https://ciera.northwestern.edu/2020/10/30/growing-library-of-educational-brochures-by-ciera-astronomers/"/>
    <x v="3"/>
    <x v="0"/>
    <x v="32"/>
  </r>
  <r>
    <x v="123"/>
    <s v="Black hole ‚Äòfamily portrait‚Äô is most detailed to date"/>
    <x v="109"/>
    <s v="https://ciera.northwestern.edu/2020/10/28/black-hole-family-portrait-is-most-detailed-to-date/"/>
    <x v="0"/>
    <x v="1"/>
    <x v="2"/>
  </r>
  <r>
    <x v="124"/>
    <s v="Statement of Principles and Values"/>
    <x v="110"/>
    <s v="https://ciera.northwestern.edu/2020/10/28/statement-of-principles-and-values/"/>
    <x v="1"/>
    <x v="0"/>
    <x v="33"/>
  </r>
  <r>
    <x v="125"/>
    <s v="2020 Midwest Relativity Meeting Blue Apple Awarded to Lindsay DeMarchi"/>
    <x v="111"/>
    <s v="https://ciera.northwestern.edu/2020/10/25/2020-midwest-relativity-meeting-blue-apple-awarded-to-lindsay-demarchi/"/>
    <x v="0"/>
    <x v="0"/>
    <x v="0"/>
  </r>
  <r>
    <x v="126"/>
    <s v="The Low Spin of the Milky Way's Supermassive Black Hole"/>
    <x v="112"/>
    <s v="https://ciera.northwestern.edu/2020/10/20/the-low-spin-of-the-milky-ways-supermassive-black-hole/"/>
    <x v="2"/>
    <x v="0"/>
    <x v="2"/>
  </r>
  <r>
    <x v="127"/>
    <s v="Star 'Spaghettified' by a Supermassive Black Hole"/>
    <x v="113"/>
    <s v="https://ciera.northwestern.edu/2020/10/12/star-spaghettified-by-a-supermassive-black-hole/"/>
    <x v="2"/>
    <x v="0"/>
    <x v="2"/>
  </r>
  <r>
    <x v="128"/>
    <s v="Update on Initiative for Social Justice"/>
    <x v="114"/>
    <s v="https://ciera.northwestern.edu/2020/10/01/update-on-initiative-for-social-justice/"/>
    <x v="1"/>
    <x v="0"/>
    <x v="33"/>
  </r>
  <r>
    <x v="129"/>
    <s v="CIERA Postdocs Move on to New Positions"/>
    <x v="115"/>
    <s v="https://ciera.northwestern.edu/2020/09/17/ciera-postdocs-move-on-to-new-positions/"/>
    <x v="1"/>
    <x v="0"/>
    <x v="0"/>
  </r>
  <r>
    <x v="130"/>
    <s v="CIERA Welcomes New Faculty Members Ryan Chornock and Daniel Lecoanet"/>
    <x v="115"/>
    <s v="https://ciera.northwestern.edu/2020/09/17/ciera-welcomes-new-faculty-members-ryan-chornock-and-daniel-lecoanet/"/>
    <x v="14"/>
    <x v="0"/>
    <x v="0"/>
  </r>
  <r>
    <x v="131"/>
    <s v="Observations of Andromeda‚Äôs Halo Test Predictions of Galaxy Formation Models by CIERA Scientists"/>
    <x v="116"/>
    <s v="https://ciera.northwestern.edu/2020/09/08/observations-of-andromedas-halo-test-predictions-of-galaxy-formation-models-by-ciera-scientists/"/>
    <x v="6"/>
    <x v="0"/>
    <x v="2"/>
  </r>
  <r>
    <x v="132"/>
    <s v="Scientists detect first-of-its-kind ‚Äòintermediate-mass‚Äò black hole"/>
    <x v="117"/>
    <s v="https://ciera.northwestern.edu/2020/09/02/gw190521/"/>
    <x v="9"/>
    <x v="1"/>
    <x v="2"/>
  </r>
  <r>
    <x v="133"/>
    <s v="Do Short Gamma-ray Bursts Produce Magnetars? Radio Observations Say: Probably Not"/>
    <x v="118"/>
    <s v="https://ciera.northwestern.edu/2020/09/01/do-short-gamma-ray-bursts-produce-magnetars-radio-observations-say-probably-not/"/>
    <x v="9"/>
    <x v="0"/>
    <x v="2"/>
  </r>
  <r>
    <x v="134"/>
    <s v="CIERA's REU Program Goes Virtual!"/>
    <x v="119"/>
    <s v="https://ciera.northwestern.edu/2020/08/31/cieras-reu-program-goes-virtual/"/>
    <x v="1"/>
    <x v="0"/>
    <x v="24"/>
  </r>
  <r>
    <x v="135"/>
    <s v="CIERA High School Summer Research Experience in Astronomy Goes Remote!"/>
    <x v="120"/>
    <s v="https://ciera.northwestern.edu/2020/08/14/high-school-summer-research-experience-in-astronomy-goes-remote/"/>
    <x v="1"/>
    <x v="0"/>
    <x v="19"/>
  </r>
  <r>
    <x v="136"/>
    <s v="4th Award of LSSTC Enabling Science Grant to CIERA's Aaron Geller"/>
    <x v="121"/>
    <s v="https://ciera.northwestern.edu/2020/08/06/4th-lsstc-enabling/"/>
    <x v="8"/>
    <x v="0"/>
    <x v="12"/>
  </r>
  <r>
    <x v="137"/>
    <s v="Calcium-rich supernova examined with X-rays for first time"/>
    <x v="122"/>
    <s v="https://ciera.northwestern.edu/2020/08/05/calcium-rich-supernova-examined-with-x-rays-for-first-time/"/>
    <x v="8"/>
    <x v="1"/>
    <x v="2"/>
  </r>
  <r>
    <x v="138"/>
    <s v="Spectacular ultraviolet flash may finally explain how white dwarfs explode"/>
    <x v="123"/>
    <s v="https://ciera.northwestern.edu/2020/07/23/spectacular-ultraviolet-flash-may-finally-explain-how-white-dwarfs-explode/"/>
    <x v="8"/>
    <x v="1"/>
    <x v="2"/>
  </r>
  <r>
    <x v="139"/>
    <s v="Short Gamma Ray Burst Leaves Most-distant Optical Afterglow Ever Detected"/>
    <x v="124"/>
    <s v="https://ciera.northwestern.edu/2020/07/14/short-gamma-ray-burst-leaves-most-distant-optical-afterglow-ever-detected/"/>
    <x v="8"/>
    <x v="1"/>
    <x v="2"/>
  </r>
  <r>
    <x v="140"/>
    <s v="New Mystery Merger Detected by LIGO-Virgo"/>
    <x v="125"/>
    <s v="https://ciera.northwestern.edu/2020/06/23/gw190814/"/>
    <x v="0"/>
    <x v="1"/>
    <x v="2"/>
  </r>
  <r>
    <x v="141"/>
    <s v="Undergraduate Kristopher Mortensen Earns Outstanding Thesis Research Award"/>
    <x v="126"/>
    <s v="https://ciera.northwestern.edu/2020/06/19/undergraduate-kristopher-mortensen-earns-outstanding-thesis-research-award/"/>
    <x v="6"/>
    <x v="0"/>
    <x v="0"/>
  </r>
  <r>
    <x v="142"/>
    <s v="CIERA‚Äôs Nancy Aggarwal Wins GWIC-Braccini Thesis Prize"/>
    <x v="127"/>
    <s v="https://ciera.northwestern.edu/2020/06/18/cieras-nancy-aggarwal-wins-gwic-braccini-thesis-prize/"/>
    <x v="1"/>
    <x v="0"/>
    <x v="0"/>
  </r>
  <r>
    <x v="143"/>
    <s v="Launching SCOPE, a Free Online Science Communication Program"/>
    <x v="128"/>
    <s v="https://ciera.northwestern.edu/2020/06/12/launching-scope-a-free-online-science-communication-program/"/>
    <x v="1"/>
    <x v="5"/>
    <x v="24"/>
  </r>
  <r>
    <x v="144"/>
    <s v="Black Lives Matter"/>
    <x v="129"/>
    <s v="https://ciera.northwestern.edu/2020/06/06/black-lives-matter/"/>
    <x v="1"/>
    <x v="0"/>
    <x v="33"/>
  </r>
  <r>
    <x v="145"/>
    <s v="Vicky Kalogera Featured in Crain's 2020 Notable Women in STEM"/>
    <x v="130"/>
    <s v="https://ciera.northwestern.edu/2020/06/01/vicky-kalogera-featured-in-crains-2020-notable-women-in-stem/"/>
    <x v="1"/>
    <x v="0"/>
    <x v="0"/>
  </r>
  <r>
    <x v="146"/>
    <s v="CIERA Ranks #1 for National Postdoctoral Fellowships"/>
    <x v="131"/>
    <s v="https://ciera.northwestern.edu/2020/05/29/ciera-ranks-1-for-national-postdoctoral-fellowships/"/>
    <x v="25"/>
    <x v="0"/>
    <x v="0"/>
  </r>
  <r>
    <x v="147"/>
    <s v="Remote Learning Resources Available on New Reach for the Stars Website"/>
    <x v="132"/>
    <s v="https://ciera.northwestern.edu/2020/05/28/remote-learning-resources-available-on-new-reach-for-the-stars-website/"/>
    <x v="1"/>
    <x v="0"/>
    <x v="19"/>
  </r>
  <r>
    <x v="148"/>
    <s v="CIERA to Host National REU Leaders"/>
    <x v="133"/>
    <s v="https://ciera.northwestern.edu/2020/05/27/ciera-to-host-national-reu-leaders/"/>
    <x v="1"/>
    <x v="0"/>
    <x v="12"/>
  </r>
  <r>
    <x v="149"/>
    <s v="Astrophysicists Capture New Class of Transient Objects"/>
    <x v="134"/>
    <s v="https://ciera.northwestern.edu/2020/05/26/astrophysicists-capture-new-class-of-transient-objects/"/>
    <x v="8"/>
    <x v="1"/>
    <x v="2"/>
  </r>
  <r>
    <x v="150"/>
    <s v="Using Gravitational Waves to Approximate Pi"/>
    <x v="135"/>
    <s v="https://ciera.northwestern.edu/2020/05/19/using-gravitational-waves-to-approximate-pi/"/>
    <x v="0"/>
    <x v="3"/>
    <x v="2"/>
  </r>
  <r>
    <x v="151"/>
    <s v="NASA Einstein Postdoc Kate Alexander Named to Crain‚Äôs ‚Äú20 in Their Twenties‚Äù"/>
    <x v="136"/>
    <s v="https://ciera.northwestern.edu/2020/05/09/nasa-einstein-postdoc-kate-alexander-named-to-crains-20-in-their-twenties-for-2020/"/>
    <x v="11"/>
    <x v="3"/>
    <x v="0"/>
  </r>
  <r>
    <x v="152"/>
    <s v="Undergraduate Andrew Bowen Receives AAS Chambliss Award"/>
    <x v="137"/>
    <s v="https://ciera.northwestern.edu/2020/05/07/undergraduate-andrew-bowen-receives-aas-chambliss-award/"/>
    <x v="5"/>
    <x v="0"/>
    <x v="0"/>
  </r>
  <r>
    <x v="153"/>
    <s v="NASA Hubble Fellowship Awarded to Michael Zevin"/>
    <x v="138"/>
    <s v="https://ciera.northwestern.edu/2020/04/21/nasa-hubble-fellowship-awarded-to-michael-zevin/"/>
    <x v="1"/>
    <x v="0"/>
    <x v="0"/>
  </r>
  <r>
    <x v="154"/>
    <s v="Tom Imperato ‚Äò22P, Devoted CIERA Board of Visitors Member, Dies at 73"/>
    <x v="138"/>
    <s v="https://ciera.northwestern.edu/2020/04/21/tom-imperato-22p-devoted-ciera-board-of-visitors-member-dies-at-73/"/>
    <x v="1"/>
    <x v="0"/>
    <x v="33"/>
  </r>
  <r>
    <x v="155"/>
    <s v="Astronomers Find First-Ever Collision of Black Holes With a Strange Mass Discrepancy"/>
    <x v="139"/>
    <s v="https://ciera.northwestern.edu/2020/04/20/astronomers-find-first-ever-collision-of-black-holes-with-a-strange-mass-discrepancy/"/>
    <x v="0"/>
    <x v="3"/>
    <x v="2"/>
  </r>
  <r>
    <x v="156"/>
    <s v="A Supernova that Outshines All Others"/>
    <x v="140"/>
    <s v="https://ciera.northwestern.edu/2020/04/13/a-supernova-that-outshines-all-others/"/>
    <x v="8"/>
    <x v="3"/>
    <x v="2"/>
  </r>
  <r>
    <x v="157"/>
    <s v="CIERA‚Äôs Sasha Tchekhovskoy to Utilize the Fastest Academic Supercomputer in the World"/>
    <x v="141"/>
    <s v="https://ciera.northwestern.edu/2020/04/09/cieras-sasha-tchekhovskoy-to-utilize-the-fastest-academic-supercomputer-in-the-world/"/>
    <x v="1"/>
    <x v="3"/>
    <x v="34"/>
  </r>
  <r>
    <x v="158"/>
    <s v="Earthquake Detective Featured by sustainNU in Citizen Science Project Spotlight"/>
    <x v="141"/>
    <s v="https://ciera.northwestern.edu/2020/04/09/earthquake-detective-featured-by-sustainnu-in-citizen-science-project-spotlight/"/>
    <x v="1"/>
    <x v="1"/>
    <x v="35"/>
  </r>
  <r>
    <x v="159"/>
    <s v="Seven New Postdoctoral Researchers Join CIERA"/>
    <x v="142"/>
    <s v="https://ciera.northwestern.edu/2020/04/01/seven-new-postdoctoral-researchers-join-ciera-2/"/>
    <x v="1"/>
    <x v="0"/>
    <x v="0"/>
  </r>
  <r>
    <x v="160"/>
    <s v="Beverly Lowell Awarded NSF Graduate Research Fellowship"/>
    <x v="142"/>
    <s v="https://ciera.northwestern.edu/2020/04/01/beverly-lowell-awarded-nsf-graduate-research-fellowship/"/>
    <x v="9"/>
    <x v="0"/>
    <x v="0"/>
  </r>
  <r>
    <x v="161"/>
    <s v="Prof. Margutti Receives NSF Honor for Junior Faculty"/>
    <x v="143"/>
    <s v="https://ciera.northwestern.edu/2020/03/26/prof-margutti-receives-nsf-honor-for-junior-faculty/"/>
    <x v="1"/>
    <x v="1"/>
    <x v="0"/>
  </r>
  <r>
    <x v="162"/>
    <s v="Coronavirus/COVID-19 Update"/>
    <x v="144"/>
    <s v="https://ciera.northwestern.edu/2020/03/25/coronavirus-update-2/"/>
    <x v="1"/>
    <x v="0"/>
    <x v="33"/>
  </r>
  <r>
    <x v="163"/>
    <s v="Danat Issa Awarded Frontera Computational Science Fellowship"/>
    <x v="145"/>
    <s v="https://ciera.northwestern.edu/2020/03/24/danat-issa-awarded-frontera-computational-science-fellowship/"/>
    <x v="26"/>
    <x v="0"/>
    <x v="36"/>
  </r>
  <r>
    <x v="164"/>
    <s v="Coronavirus/COVID-19 Update"/>
    <x v="146"/>
    <s v="https://ciera.northwestern.edu/2020/03/13/coronavirus-update/"/>
    <x v="1"/>
    <x v="0"/>
    <x v="33"/>
  </r>
  <r>
    <x v="165"/>
    <s v="Professors Kalogera and Rasio Named in Legacy Group of AAS Fellows"/>
    <x v="147"/>
    <s v="https://ciera.northwestern.edu/2020/02/25/professors-kalogera-and-rasio-named-in-first-group-of-aas-fellows/"/>
    <x v="1"/>
    <x v="3"/>
    <x v="0"/>
  </r>
  <r>
    <x v="166"/>
    <s v="The Sky is No Limit"/>
    <x v="148"/>
    <s v="https://ciera.northwestern.edu/2020/02/19/the-sky-is-no-limit/"/>
    <x v="27"/>
    <x v="1"/>
    <x v="2"/>
  </r>
  <r>
    <x v="167"/>
    <s v="Students from Chicago‚Äôs Off the Street Club Visit Dearborn Observatory"/>
    <x v="149"/>
    <s v="https://ciera.northwestern.edu/2020/02/18/students-from-chicagos-off-the-street-club-visit-dearborn-observatory/"/>
    <x v="1"/>
    <x v="0"/>
    <x v="37"/>
  </r>
  <r>
    <x v="168"/>
    <s v="Proposal Workshop for New Observatory Held at CIERA"/>
    <x v="150"/>
    <s v="https://ciera.northwestern.edu/2020/02/06/proposal-workshop-for-new-observatory-held-at-ciera/"/>
    <x v="1"/>
    <x v="0"/>
    <x v="38"/>
  </r>
  <r>
    <x v="169"/>
    <s v="New Year, New CIERA Open House Event"/>
    <x v="151"/>
    <s v="https://ciera.northwestern.edu/2020/01/22/new-year-new-ciera-open-house-event/"/>
    <x v="1"/>
    <x v="0"/>
    <x v="39"/>
  </r>
  <r>
    <x v="170"/>
    <s v="This Exoplanet is in a Death Dance with its Star"/>
    <x v="152"/>
    <s v="https://ciera.northwestern.edu/2020/01/13/this-exoplanet-is-in-a-death-dance-with-its-star/"/>
    <x v="4"/>
    <x v="3"/>
    <x v="2"/>
  </r>
  <r>
    <x v="171"/>
    <s v="CIERA REU Students Present at 235th Meeting of the AAS"/>
    <x v="153"/>
    <s v="https://ciera.northwestern.edu/2020/01/10/ciera-reu-students-present-at-235th-meeting-of-the-aas/"/>
    <x v="7"/>
    <x v="0"/>
    <x v="11"/>
  </r>
  <r>
    <x v="172"/>
    <s v="Cosmic ‚Äòcandy cane‚Äô spotted in inner Milky Way"/>
    <x v="154"/>
    <s v="https://ciera.northwestern.edu/2019/12/18/cosmic-candy-cane-spotted-in-inner-milky-way/"/>
    <x v="17"/>
    <x v="1"/>
    <x v="2"/>
  </r>
  <r>
    <x v="173"/>
    <s v="Jeremy Schnittman Presents Interdisciplinary Colloquium Inspired by ‚ÄòInterstellar‚Äô"/>
    <x v="155"/>
    <s v="https://ciera.northwestern.edu/2019/12/10/jeremy-schnittman-presents-interdisciplinary-colloquium-inspired-by-interstellar/"/>
    <x v="19"/>
    <x v="0"/>
    <x v="7"/>
  </r>
  <r>
    <x v="174"/>
    <s v="An experiment that solved a 100-year-old mystery posed by Einstein just got up to 50% more powerful by squeezing light"/>
    <x v="156"/>
    <s v="https://ciera.northwestern.edu/2019/12/09/an-experiment-that-solved-a-100-year-old-mystery-posed-by-einstein-just-got-up-to-50-more-powerful-by-squeezing-light/"/>
    <x v="0"/>
    <x v="3"/>
    <x v="2"/>
  </r>
  <r>
    <x v="175"/>
    <s v="Using Gravitational Waves to See Inside Stars"/>
    <x v="156"/>
    <s v="https://ciera.northwestern.edu/2019/12/09/using-gravitational-waves-to-see-inside-stars/"/>
    <x v="0"/>
    <x v="0"/>
    <x v="2"/>
  </r>
  <r>
    <x v="176"/>
    <s v="First Discoveries by the Young Supernova Experiment"/>
    <x v="157"/>
    <s v="https://ciera.northwestern.edu/2019/12/08/first-discoveries-by-the-young-supernova-experiment/"/>
    <x v="8"/>
    <x v="3"/>
    <x v="2"/>
  </r>
  <r>
    <x v="177"/>
    <s v="Rate of Neutron Star Binary Mergers From Star Clusters Much Lower than Previously Thought"/>
    <x v="158"/>
    <s v="https://ciera.northwestern.edu/2019/12/02/rate-of-neutron-star-binary-mergers-much-lower-than-previously-thought/"/>
    <x v="20"/>
    <x v="0"/>
    <x v="2"/>
  </r>
  <r>
    <x v="178"/>
    <s v="Faucher-Gigu√®re Named Highly Cited Researcher"/>
    <x v="158"/>
    <s v="https://ciera.northwestern.edu/2019/12/02/faucher-giguere-named-highly-cited-researcher/"/>
    <x v="1"/>
    <x v="1"/>
    <x v="0"/>
  </r>
  <r>
    <x v="179"/>
    <s v="CIERA‚Äôs Vicky Kalogera and Farhad Yusef-Zadeh Named AAAS Fellows"/>
    <x v="159"/>
    <s v="https://ciera.northwestern.edu/2019/11/26/five-professors-named-aaas-fellows/"/>
    <x v="1"/>
    <x v="1"/>
    <x v="0"/>
  </r>
  <r>
    <x v="180"/>
    <s v="CIERA Observer's Image Gets &quot;Starlinked&quot;"/>
    <x v="160"/>
    <s v="https://ciera.northwestern.edu/2019/11/18/ciera-observers-image-gets-starlinked/"/>
    <x v="6"/>
    <x v="4"/>
    <x v="2"/>
  </r>
  <r>
    <x v="181"/>
    <s v="&quot;‚ÄòAre we alone?‚Äô Study refines which exoplanets are potentially habitable&quot;"/>
    <x v="161"/>
    <s v="https://ciera.northwestern.edu/2019/11/12/are-we-alone-study-refines-which-exoplanets-are-potentially-habitable/"/>
    <x v="4"/>
    <x v="2"/>
    <x v="2"/>
  </r>
  <r>
    <x v="182"/>
    <s v="CIERA Graduate Student Zachary Hafen Featured by Northwestern TGS"/>
    <x v="162"/>
    <s v="https://ciera.northwestern.edu/2019/11/01/ciera-graduate-student-zachary-hafen-featured-by-northwestern-tgs/"/>
    <x v="1"/>
    <x v="1"/>
    <x v="0"/>
  </r>
  <r>
    <x v="183"/>
    <s v="Supercomputer Award Granted to CIERA‚Äôs Sasha Tchekhovskoy"/>
    <x v="162"/>
    <s v="https://ciera.northwestern.edu/2019/11/01/supercomputer-award-granted-to-cieras-sasha-tchekhovskoy/"/>
    <x v="2"/>
    <x v="1"/>
    <x v="15"/>
  </r>
  <r>
    <x v="184"/>
    <s v="&quot;A star has been flickering for years ‚Äì and researchers think they've figured out why&quot;"/>
    <x v="163"/>
    <s v="https://ciera.northwestern.edu/2019/10/31/a-star-has-been-flickering-for-years-and-researchers-think-theyve-figured-out-why/"/>
    <x v="8"/>
    <x v="3"/>
    <x v="2"/>
  </r>
  <r>
    <x v="185"/>
    <s v="Priya Natarajan Presents 11th Annual CIERA Public Lecture"/>
    <x v="164"/>
    <s v="https://ciera.northwestern.edu/2019/10/25/priya-natarajan-presents-11th-annual-ciera-public-lecture/"/>
    <x v="6"/>
    <x v="0"/>
    <x v="18"/>
  </r>
  <r>
    <x v="186"/>
    <s v="Dearborn Observatory on View at Open House Chicago 2019"/>
    <x v="165"/>
    <s v="https://ciera.northwestern.edu/2019/10/21/dearborn-observatory-on-view-at-open-house-chicago-2019/"/>
    <x v="1"/>
    <x v="0"/>
    <x v="18"/>
  </r>
  <r>
    <x v="187"/>
    <s v="IDEAS Trainees Attend the Grace Hopper Celebration 2019"/>
    <x v="166"/>
    <s v="https://ciera.northwestern.edu/2019/10/10/ideas-trainees-attend-the-grace-hopper-celebration-2019/"/>
    <x v="1"/>
    <x v="0"/>
    <x v="3"/>
  </r>
  <r>
    <x v="188"/>
    <s v="STEM Panel Discussion Held at Lincoln Park High School"/>
    <x v="167"/>
    <s v="https://ciera.northwestern.edu/2019/10/08/stem-panel-discussion-held-at-lincoln-park-high-school/"/>
    <x v="1"/>
    <x v="0"/>
    <x v="40"/>
  </r>
  <r>
    <x v="189"/>
    <s v="IDEAS &amp; CIERA Host NSF Research Traineeship National Meeting"/>
    <x v="168"/>
    <s v="https://ciera.northwestern.edu/2019/09/30/ideas-ciera-host-nsf-research-traineeship-national-meeting/"/>
    <x v="1"/>
    <x v="0"/>
    <x v="3"/>
  </r>
  <r>
    <x v="190"/>
    <s v="&quot;Giant balloon-like structures discovered at center of Milky Way&quot;"/>
    <x v="169"/>
    <s v="https://ciera.northwestern.edu/2019/09/12/giant-balloon-like-structures-discovered-at-center-of-milky-way/"/>
    <x v="16"/>
    <x v="2"/>
    <x v="2"/>
  </r>
  <r>
    <x v="191"/>
    <s v="&quot;Afterglow sheds light on the nature, origin of neutron star collisions&quot;"/>
    <x v="170"/>
    <s v="https://ciera.northwestern.edu/2019/09/09/afterglow-sheds-light-on-the-nature-origin-of-neutron-star-collisions/"/>
    <x v="9"/>
    <x v="1"/>
    <x v="2"/>
  </r>
  <r>
    <x v="192"/>
    <s v="Professor Raffaella Margutti Named CIFAR Azrieli Global Scholar"/>
    <x v="171"/>
    <s v="https://ciera.northwestern.edu/2019/09/05/professor-raffaella-margutti-named-cifar-azrieli-global-scholar/"/>
    <x v="14"/>
    <x v="0"/>
    <x v="0"/>
  </r>
  <r>
    <x v="193"/>
    <s v="CIERA Alumna Laura Fissel Begins Faculty Appointment at Queen‚Äôs University"/>
    <x v="172"/>
    <s v="https://ciera.northwestern.edu/2019/09/01/ciera-alumna-laura-fissel-begins-faculty-appointment-at-queens-university/"/>
    <x v="1"/>
    <x v="0"/>
    <x v="0"/>
  </r>
  <r>
    <x v="194"/>
    <s v="CIERA Postdocs Advance to New Positions"/>
    <x v="172"/>
    <s v="https://ciera.northwestern.edu/2019/09/01/ciera-postdocs-advance-to-new-positions-3/"/>
    <x v="1"/>
    <x v="0"/>
    <x v="0"/>
  </r>
  <r>
    <x v="195"/>
    <s v="&quot;Remember that meteor that lit up Chicago‚Äôs night sky two years ago? Scientists are searching for it at the bottom of Lake Michigan.&quot;"/>
    <x v="173"/>
    <s v="https://ciera.northwestern.edu/2019/08/28/remember-that-meteor-that-lit-up-chicagos-night-sky-two-years-ago-scientists-are-searching-for-it-at-the-bottom-of-lake-michigan/"/>
    <x v="1"/>
    <x v="3"/>
    <x v="10"/>
  </r>
  <r>
    <x v="196"/>
    <s v="Observational Astronomers Gather for ‚ÄòHot-wiring the Transient Universe VI‚Äô"/>
    <x v="174"/>
    <s v="https://ciera.northwestern.edu/2019/08/23/observational-astronomers-gather-for-hot-wiring-the-transient-universe-vi/"/>
    <x v="1"/>
    <x v="0"/>
    <x v="4"/>
  </r>
  <r>
    <x v="197"/>
    <s v="&quot;Astronomers probably just saw a black hole swallow a dead star&quot;"/>
    <x v="175"/>
    <s v="https://ciera.northwestern.edu/2019/08/19/astronomers-probably-just-saw-a-black-hole-swallow-a-dead-star/"/>
    <x v="9"/>
    <x v="3"/>
    <x v="2"/>
  </r>
  <r>
    <x v="198"/>
    <s v="SAGUARO: Using Arizona Telescopes to Observe the Most Dramatic Collisions in Space"/>
    <x v="176"/>
    <s v="https://ciera.northwestern.edu/2019/08/15/saguaro-using-arizona-telescopes-to-observe-the-most-dramatic-collisions-in-space/"/>
    <x v="0"/>
    <x v="0"/>
    <x v="2"/>
  </r>
  <r>
    <x v="199"/>
    <s v="Students in 2019 ‚ÄúHigh School Summer Research Experience in Astronomy‚Äù Present Their Research at Annual Poster Session"/>
    <x v="177"/>
    <s v="https://ciera.northwestern.edu/2019/08/02/students-in-2019-high-school-summer-research-experience-in-astronomy-present-their-research-at-annual-poster-session/"/>
    <x v="1"/>
    <x v="0"/>
    <x v="40"/>
  </r>
  <r>
    <x v="200"/>
    <s v="CIERA Celebrates Apollo 11"/>
    <x v="178"/>
    <s v="https://ciera.northwestern.edu/2019/07/26/ciera-celebrates-apollo-11/"/>
    <x v="1"/>
    <x v="0"/>
    <x v="18"/>
  </r>
  <r>
    <x v="201"/>
    <s v="20 Years of Chandra X-ray Observatory"/>
    <x v="179"/>
    <s v="https://ciera.northwestern.edu/2019/07/25/20-years-of-chandra-x-ray-observatory/"/>
    <x v="14"/>
    <x v="3"/>
    <x v="2"/>
  </r>
  <r>
    <x v="202"/>
    <s v="Grad Student Zach Hafen Turns Summer Camp Students into Gas Molecules"/>
    <x v="180"/>
    <s v="https://ciera.northwestern.edu/2019/07/18/grad-student-zach-hafen-turns-summer-camp-students-into-gas-molecules/"/>
    <x v="1"/>
    <x v="0"/>
    <x v="40"/>
  </r>
  <r>
    <x v="203"/>
    <s v="Northwestern Leads Effort to Detect New Types of Cosmic Events"/>
    <x v="181"/>
    <s v="https://ciera.northwestern.edu/2019/07/17/northwestern-leads-effort-to-detect-new-types-of-cosmic-events/"/>
    <x v="0"/>
    <x v="1"/>
    <x v="2"/>
  </r>
  <r>
    <x v="204"/>
    <s v="Aprajita Hajela Wins NASA Future Investigator Award"/>
    <x v="182"/>
    <s v="https://ciera.northwestern.edu/2019/07/10/aprajita-hajela-wins-nasa-future-investigator-award/"/>
    <x v="0"/>
    <x v="0"/>
    <x v="0"/>
  </r>
  <r>
    <x v="205"/>
    <s v="Monica Gallegos Garcia Wins Ford Foundation Fellowship"/>
    <x v="183"/>
    <s v="https://ciera.northwestern.edu/2019/06/21/monica-gallegos-garcia-wins-ford-foundation-fellowship/"/>
    <x v="13"/>
    <x v="0"/>
    <x v="36"/>
  </r>
  <r>
    <x v="206"/>
    <s v="High School Researcher Takes Gold at State Science Fair"/>
    <x v="183"/>
    <s v="https://ciera.northwestern.edu/2019/06/21/high-school-researcher-takes-gold-at-state-science-fair/"/>
    <x v="1"/>
    <x v="0"/>
    <x v="12"/>
  </r>
  <r>
    <x v="207"/>
    <s v="Fred Rasio Receives 2019 Brouwer Award"/>
    <x v="184"/>
    <s v="https://ciera.northwestern.edu/2019/06/20/fred-rasio-receives-2019-brouwer-award/"/>
    <x v="1"/>
    <x v="1"/>
    <x v="0"/>
  </r>
  <r>
    <x v="208"/>
    <s v="&quot;Astronomers uncover first polarized radio signals from gamma-ray burst&quot;"/>
    <x v="185"/>
    <s v="https://ciera.northwestern.edu/2019/06/19/astronomers-uncover-first-polarized-radio-signals-from-gamma-ray-burst/"/>
    <x v="0"/>
    <x v="1"/>
    <x v="2"/>
  </r>
  <r>
    <x v="209"/>
    <s v="Scientists Gather to Plan Flight of Balloon-borne Telescope"/>
    <x v="186"/>
    <s v="https://ciera.northwestern.edu/2019/06/14/scientists-gather-to-plan-flight-of-balloon-borne-telescope/"/>
    <x v="1"/>
    <x v="0"/>
    <x v="23"/>
  </r>
  <r>
    <x v="210"/>
    <s v="Most-detailed Simulations of Black Hole Solve Longstanding Mystery"/>
    <x v="187"/>
    <s v="https://ciera.northwestern.edu/2019/06/06/most-detailed-simulations-of-black-hole-solve-longstanding-mystery/"/>
    <x v="2"/>
    <x v="2"/>
    <x v="2"/>
  </r>
  <r>
    <x v="211"/>
    <s v="Lindsey Byrne Awarded DOE Graduate Fellowship"/>
    <x v="188"/>
    <s v="https://ciera.northwestern.edu/2019/06/04/lindsey-byrne-awarded-doe-graduate-fellowship/"/>
    <x v="22"/>
    <x v="0"/>
    <x v="0"/>
  </r>
  <r>
    <x v="212"/>
    <s v="Prof. Claude-Andr√© Faucher-Gigu√®re Named 2019 Scialog Fellow"/>
    <x v="188"/>
    <s v="https://ciera.northwestern.edu/2019/06/04/prof-claude-andre-faucher-giguere-named-2019-scialog-fellow/"/>
    <x v="22"/>
    <x v="3"/>
    <x v="0"/>
  </r>
  <r>
    <x v="213"/>
    <s v="Database Celebrates the Presence of African American Women in Physics"/>
    <x v="188"/>
    <s v="https://ciera.northwestern.edu/2019/06/04/database-celebrates-the-presence-of-african-american-women-in-physics/"/>
    <x v="1"/>
    <x v="3"/>
    <x v="1"/>
  </r>
  <r>
    <x v="214"/>
    <s v="What Next for Gravitational Wave Detection?"/>
    <x v="188"/>
    <s v="https://ciera.northwestern.edu/2019/06/04/what-next-for-gravitational-wave-detection/"/>
    <x v="0"/>
    <x v="3"/>
    <x v="2"/>
  </r>
  <r>
    <x v="215"/>
    <s v="Announcing CIERA‚Äôs 2019 Summer Undergraduate Researchers"/>
    <x v="189"/>
    <s v="https://ciera.northwestern.edu/2019/06/01/announcing-cieras-2019-summer-undergraduate-researchers/"/>
    <x v="1"/>
    <x v="0"/>
    <x v="32"/>
  </r>
  <r>
    <x v="216"/>
    <s v="The Importance of Out-of-School STEM Learning: a CIERA Interdisciplinary Colloquium by Dennis Schatz"/>
    <x v="190"/>
    <s v="https://ciera.northwestern.edu/2019/05/29/the-importance-of-out-of-school-stem-learning-a-ciera-interdisciplinary-colloquium-by-dennis-schatz/"/>
    <x v="1"/>
    <x v="0"/>
    <x v="7"/>
  </r>
  <r>
    <x v="217"/>
    <s v="Lakota Stellar STEM Weekend"/>
    <x v="191"/>
    <s v="https://ciera.northwestern.edu/2019/05/28/lakota-stellar-stem-weekend/"/>
    <x v="1"/>
    <x v="0"/>
    <x v="41"/>
  </r>
  <r>
    <x v="218"/>
    <s v="The Challenges and Rewards of Studying Radio Pulsars: a CIERA Interdisciplinary Colloquium by Scott Ransom"/>
    <x v="192"/>
    <s v="https://ciera.northwestern.edu/2019/05/13/the-challenges-and-rewards-of-studying-radio-pulsars-a-ciera-interdisciplinary-colloquium-by-scott-ransom/"/>
    <x v="1"/>
    <x v="0"/>
    <x v="7"/>
  </r>
  <r>
    <x v="219"/>
    <s v="Erik Curiel on Inconsistent Definitions of a Black Hole"/>
    <x v="193"/>
    <s v="https://ciera.northwestern.edu/2019/05/09/erik-curiel-on-inconsistent-definitions-of-a-black-hole/"/>
    <x v="1"/>
    <x v="0"/>
    <x v="7"/>
  </r>
  <r>
    <x v="220"/>
    <s v="LIGO on Lookout for 8 Sources of Gravitational Waves"/>
    <x v="194"/>
    <s v="https://ciera.northwestern.edu/2019/05/06/ligo-on-lookout-for-8-sources-of-gravitational-waves/"/>
    <x v="0"/>
    <x v="3"/>
    <x v="2"/>
  </r>
  <r>
    <x v="221"/>
    <s v="First Gravitational Waves Detection from Neutron Star Colliding with a Black Hole"/>
    <x v="195"/>
    <s v="https://ciera.northwestern.edu/2019/05/02/first-gravitational-waves-detection-from-neutron-star-colliding-with-a-black-hole/"/>
    <x v="0"/>
    <x v="3"/>
    <x v="2"/>
  </r>
  <r>
    <x v="222"/>
    <s v="A New Infrared Camera for Exoplanet Imaging"/>
    <x v="196"/>
    <s v="https://ciera.northwestern.edu/2019/04/29/a-new-infrared-camera-for-exoplanet-imaging/"/>
    <x v="4"/>
    <x v="0"/>
    <x v="2"/>
  </r>
  <r>
    <x v="223"/>
    <s v="CIERA‚Äôs Paul Williams on Studying Star Formation in Antarctica"/>
    <x v="197"/>
    <s v="https://ciera.northwestern.edu/2019/04/19/cieras-paul-williams-on-studying-star-formation-in-antarctica/"/>
    <x v="6"/>
    <x v="0"/>
    <x v="2"/>
  </r>
  <r>
    <x v="224"/>
    <s v="CIERA‚Äôs Aaron Geller Awarded LSSTC Enabling Science Grant to Fund Undergraduate Research"/>
    <x v="198"/>
    <s v="https://ciera.northwestern.edu/2019/04/18/cieras-aaron-geller-awarded-lsstc-enabling-science-grant-to-fund-undergraduate-research/"/>
    <x v="1"/>
    <x v="0"/>
    <x v="12"/>
  </r>
  <r>
    <x v="225"/>
    <s v="CIERA Faculty Comment on World‚Äôs First Image of a Black Hole"/>
    <x v="199"/>
    <s v="https://ciera.northwestern.edu/2019/04/16/ciera-faculty-comment-on-worlds-first-image-of-a-black-hole/"/>
    <x v="2"/>
    <x v="0"/>
    <x v="2"/>
  </r>
  <r>
    <x v="226"/>
    <s v="Gravitational Wave Detectors Spot Two Potential Black Hole Collisions in a Week"/>
    <x v="200"/>
    <s v="https://ciera.northwestern.edu/2019/04/15/gravitational-wave-detectors-spot-two-potential-black-hole-collisions-in-a-week/"/>
    <x v="9"/>
    <x v="3"/>
    <x v="2"/>
  </r>
  <r>
    <x v="227"/>
    <s v="Reach for the Stars Teacher Mark Vondracek Wins Physics Teacher‚Äôs Award"/>
    <x v="200"/>
    <s v="https://ciera.northwestern.edu/2019/04/15/reach-for-the-stars-teacher-mark-vondracek-wins-physics-teachers-award/"/>
    <x v="1"/>
    <x v="0"/>
    <x v="12"/>
  </r>
  <r>
    <x v="228"/>
    <s v="Professor Margutti‚Äôs Paper Among Top Ten in 2018"/>
    <x v="201"/>
    <s v="https://ciera.northwestern.edu/2019/04/03/professor-marguttis-paper-among-top-ten-in-2018/"/>
    <x v="0"/>
    <x v="0"/>
    <x v="0"/>
  </r>
  <r>
    <x v="229"/>
    <s v="Vicky Kalogera Hosts Nobel Laureate Rainer Weiss for 2019 Heilborn Lecture Series"/>
    <x v="202"/>
    <s v="https://ciera.northwestern.edu/2019/04/02/vicky-kalogera-hosts-nobel-laureate-rainer-weiss-for-2019-heilborn-lecture-series/"/>
    <x v="1"/>
    <x v="1"/>
    <x v="18"/>
  </r>
  <r>
    <x v="230"/>
    <s v="Eight New Postdoctoral Researchers Join CIERA"/>
    <x v="203"/>
    <s v="https://ciera.northwestern.edu/2019/04/01/eight-new-postdoctoral-researchers-join-ciera/"/>
    <x v="1"/>
    <x v="0"/>
    <x v="0"/>
  </r>
  <r>
    <x v="231"/>
    <s v="CIERA's Researchers Featured in Gizmodo Ahead of LIGO and Virgo's Resumed Search for Gravitational Waves"/>
    <x v="203"/>
    <s v="https://ciera.northwestern.edu/2019/04/01/cieras-researchers-featured-in-gizmodo-ahead-of-ligo-and-virgos-resumed-search-for-gravitational-waves/"/>
    <x v="0"/>
    <x v="3"/>
    <x v="2"/>
  </r>
  <r>
    <x v="232"/>
    <s v="Sean Raymond on Solar System Formation at CIERA Interdisciplinary Colloquium"/>
    <x v="203"/>
    <s v="https://ciera.northwestern.edu/2019/04/01/sean-raymond-on-solar-system-formation-at-ciera-interdisciplinary-colloquium/"/>
    <x v="1"/>
    <x v="0"/>
    <x v="7"/>
  </r>
  <r>
    <x v="233"/>
    <s v="You‚Äôre Invited! Humans Needed to Help Find Star Clusters"/>
    <x v="204"/>
    <s v="https://ciera.northwestern.edu/2019/03/29/youre-invited-humans-needed-to-help-find-star-clusters/"/>
    <x v="5"/>
    <x v="4"/>
    <x v="42"/>
  </r>
  <r>
    <x v="234"/>
    <s v="CIERA Graduate Student Michael Zevin Research Featured in AAS Nova"/>
    <x v="205"/>
    <s v="https://ciera.northwestern.edu/2019/03/28/ciera-graduate-student-michael-zevin-research-featured-in-aas-nova/"/>
    <x v="9"/>
    <x v="3"/>
    <x v="0"/>
  </r>
  <r>
    <x v="235"/>
    <s v="Student-led Data Expeditions with &quot;Vault&quot;"/>
    <x v="206"/>
    <s v="https://ciera.northwestern.edu/2019/03/25/student-led-data-expeditions-with-vault/"/>
    <x v="1"/>
    <x v="0"/>
    <x v="13"/>
  </r>
  <r>
    <x v="236"/>
    <s v="Stefan Danilishin Discusses Enhancing Future Gravitational Wave Detectors at CIERA Interdisciplinary Colloquium"/>
    <x v="207"/>
    <s v="https://ciera.northwestern.edu/2019/03/15/stefan-danilishin-discusses-enhancing-future-gravitational-wave-detectors-at-ciera-interdisciplinary-colloquium/"/>
    <x v="0"/>
    <x v="0"/>
    <x v="7"/>
  </r>
  <r>
    <x v="237"/>
    <s v="IDEAS Fellows Contribute to New Seismology Citizen Science Project"/>
    <x v="208"/>
    <s v="https://ciera.northwestern.edu/2019/03/13/ideas-fellows-contribute-to-new-seismology-citizen-science-project/"/>
    <x v="1"/>
    <x v="2"/>
    <x v="43"/>
  </r>
  <r>
    <x v="238"/>
    <s v="Local Podcast ‚ÄúInside the Skev‚Äù Explores CIERA Research &amp; Outreach Programs"/>
    <x v="209"/>
    <s v="https://ciera.northwestern.edu/2019/03/10/local-podcast-inside-the-skev-explores-ciera-research-outreach-programs/"/>
    <x v="1"/>
    <x v="0"/>
    <x v="20"/>
  </r>
  <r>
    <x v="239"/>
    <s v="&quot;Astronomy Picture of the Day&quot; Features Results from SOFIA's HAWC+ Instrument, Developed by a Team including CIERA Astronomers"/>
    <x v="210"/>
    <s v="https://ciera.northwestern.edu/2019/02/27/astronomy-picture-of-the-day-features-results-from-sofias-hawc-instrument-developed-by-a-team-including-ciera-astronomers/"/>
    <x v="1"/>
    <x v="3"/>
    <x v="0"/>
  </r>
  <r>
    <x v="240"/>
    <s v="CIERA Professor Wen-Fai Fong Interviewed by Science News"/>
    <x v="211"/>
    <s v="https://ciera.northwestern.edu/2019/02/25/ciera-professor-wen-fai-fong-interviewed-by-science-news/"/>
    <x v="0"/>
    <x v="3"/>
    <x v="0"/>
  </r>
  <r>
    <x v="241"/>
    <s v="CIERA‚Äôs Erin Cox Wins NRAO Dissertation Award"/>
    <x v="212"/>
    <s v="https://ciera.northwestern.edu/2019/02/22/cieras-erin-cox-wins-nrao-dissertation-award/"/>
    <x v="28"/>
    <x v="3"/>
    <x v="0"/>
  </r>
  <r>
    <x v="242"/>
    <s v="New York Times Discusses Importance of ‚ÄòBehind the Scenes‚Äô Science"/>
    <x v="213"/>
    <s v="https://ciera.northwestern.edu/2019/02/20/new-york-times-discusses-importance-of-behind-the-scenes-science/"/>
    <x v="0"/>
    <x v="3"/>
    <x v="21"/>
  </r>
  <r>
    <x v="243"/>
    <s v="CIERA‚Äôs Raffaella Margutti Named Sloan Research Fellow"/>
    <x v="214"/>
    <s v="https://ciera.northwestern.edu/2019/02/19/cieras-raffaella-margutti-named-sloan-research-fellow/"/>
    <x v="1"/>
    <x v="2"/>
    <x v="0"/>
  </r>
  <r>
    <x v="244"/>
    <s v="CIERA Astronomers Use Machine Learning to Classify 1.5 Billion Astronomical Sources"/>
    <x v="215"/>
    <s v="https://ciera.northwestern.edu/2019/02/07/ciera-astronomers-use-machine-learning-to-classify-1-5-billion-astronomical-sources/"/>
    <x v="8"/>
    <x v="3"/>
    <x v="44"/>
  </r>
  <r>
    <x v="245"/>
    <s v="CIERA REU Students Present at 233rd Meeting of the AAS"/>
    <x v="216"/>
    <s v="https://ciera.northwestern.edu/2019/01/31/ciera-reu-students-present-at-233rd-meeting-of-the-aas/"/>
    <x v="1"/>
    <x v="0"/>
    <x v="16"/>
  </r>
  <r>
    <x v="246"/>
    <s v="Paper by CIERA Postdoc Emily Leiner Highlighted on AAS Nova Site"/>
    <x v="217"/>
    <s v="https://ciera.northwestern.edu/2019/01/28/paper-by-ciera-postdoc-emily-leiner-highlighted-on-aas-nova-site/"/>
    <x v="5"/>
    <x v="3"/>
    <x v="15"/>
  </r>
  <r>
    <x v="247"/>
    <s v="Y.O.U. Students Enjoy Astronomy Visit"/>
    <x v="218"/>
    <s v="https://ciera.northwestern.edu/2019/01/22/y-o-u-students-enjoy-astronomy-visit/"/>
    <x v="1"/>
    <x v="0"/>
    <x v="19"/>
  </r>
  <r>
    <x v="248"/>
    <s v="Northwestern Hosts Regional Conference for Women in Physics"/>
    <x v="219"/>
    <s v="https://ciera.northwestern.edu/2019/01/21/northwestern-hosts-regional-conference-for-women-in-physics/"/>
    <x v="1"/>
    <x v="0"/>
    <x v="7"/>
  </r>
  <r>
    <x v="249"/>
    <s v="Total Lunar Eclipse Captivates on Frigid Night"/>
    <x v="220"/>
    <s v="https://ciera.northwestern.edu/2019/01/20/total-lunar-eclipse-captivates-on-frigid-night/"/>
    <x v="1"/>
    <x v="0"/>
    <x v="18"/>
  </r>
  <r>
    <x v="250"/>
    <s v="Katrin Heitmann Explores the Dark Universe at CIERA Interdisciplinary Colloquium"/>
    <x v="221"/>
    <s v="https://ciera.northwestern.edu/2019/01/15/katrin-heitmann-explores-the-dark-universe-at-ciera-interdisciplinary-colloquium/"/>
    <x v="6"/>
    <x v="0"/>
    <x v="7"/>
  </r>
  <r>
    <x v="251"/>
    <s v="Birth of a Black Hole or Neutron Star Captured for First Time"/>
    <x v="222"/>
    <s v="https://ciera.northwestern.edu/2019/01/10/birth-of-a-black-hole-or-neutron-star-captured-for-first-time/"/>
    <x v="12"/>
    <x v="2"/>
    <x v="2"/>
  </r>
  <r>
    <x v="252"/>
    <s v="Sasha Tchekhovskoy Receives High-Performance Computing Award"/>
    <x v="223"/>
    <s v="https://ciera.northwestern.edu/2018/12/18/sasha-tchekhovskoy-receives-high-performance-computing-award/"/>
    <x v="2"/>
    <x v="0"/>
    <x v="34"/>
  </r>
  <r>
    <x v="253"/>
    <s v="Shane Larson Wins Grand Prize in Instructables Optics Contest"/>
    <x v="223"/>
    <s v="https://ciera.northwestern.edu/2018/12/18/shane-larson-wins-grand-prize-in-instructables-optics-contest/"/>
    <x v="1"/>
    <x v="4"/>
    <x v="45"/>
  </r>
  <r>
    <x v="254"/>
    <s v="‚ÄúGalactic Bloom‚Äù Takes 2nd Place &amp; Student Choice Award in ‚ÄòBeauty of Science‚Äô Contest"/>
    <x v="224"/>
    <s v="https://ciera.northwestern.edu/2018/12/13/galactic-bloom-takes-2nd-place-student-choice-award-in-beauty-of-science-contest/"/>
    <x v="6"/>
    <x v="1"/>
    <x v="1"/>
  </r>
  <r>
    <x v="255"/>
    <s v="Four New Gravitational-Wave Detections"/>
    <x v="225"/>
    <s v="https://ciera.northwestern.edu/2018/12/03/four-new-gravitational-wave-detections/"/>
    <x v="0"/>
    <x v="2"/>
    <x v="2"/>
  </r>
  <r>
    <x v="256"/>
    <s v="Fred Rasio Named AAAS Fellow, for Extraordinary Achievement in Advancing Science"/>
    <x v="226"/>
    <s v="https://ciera.northwestern.edu/2018/11/27/fred-rasio-named-aaas-fellow-for-extraordinary-achievement-in-advancing-science/"/>
    <x v="1"/>
    <x v="2"/>
    <x v="0"/>
  </r>
  <r>
    <x v="257"/>
    <s v="Honorable Mention to Scotty Coughlin: LIGO Laboratory Awards for Excellence"/>
    <x v="227"/>
    <s v="https://ciera.northwestern.edu/2018/11/26/honorable-mention-to-scotty-coughlin-ligo-laboratory-awards-for-excellence/"/>
    <x v="0"/>
    <x v="4"/>
    <x v="22"/>
  </r>
  <r>
    <x v="258"/>
    <s v="Lecture by CIERA Associate Director Shane Larson Featured in 'Astronomy' Magazine"/>
    <x v="228"/>
    <s v="https://ciera.northwestern.edu/2018/11/20/lecture-by-ciera-assistant-director-shane-larson-featured-in-astronomy-magazine/"/>
    <x v="1"/>
    <x v="3"/>
    <x v="22"/>
  </r>
  <r>
    <x v="259"/>
    <s v="CIERA Hosts Dr. Beth Willman as Interdisciplinary Colloquium Speaker"/>
    <x v="229"/>
    <s v="https://ciera.northwestern.edu/2018/11/12/ciera-hosts-dr-beth-willman-as-interdisciplinary-colloquium-speaker/"/>
    <x v="1"/>
    <x v="0"/>
    <x v="4"/>
  </r>
  <r>
    <x v="260"/>
    <s v="CIERA Professor Raffaella Margutti Group Research Featured in Nature Magazine"/>
    <x v="230"/>
    <s v="https://ciera.northwestern.edu/2018/11/02/ciera-professor-raffaella-margutti-group-research-featured-in-nature-magazine/"/>
    <x v="8"/>
    <x v="3"/>
    <x v="2"/>
  </r>
  <r>
    <x v="261"/>
    <s v="CIERA‚Äôs Shane Larson to Give Dome Lecture Streamed World-wide"/>
    <x v="231"/>
    <s v="https://ciera.northwestern.edu/2018/10/26/cieras-shane-larson-to-give-dome-lecture-streamed-world-wide/"/>
    <x v="1"/>
    <x v="0"/>
    <x v="17"/>
  </r>
  <r>
    <x v="262"/>
    <s v="Dearborn Observatory Welcomes 1500 Visitors During Open House Chicago"/>
    <x v="231"/>
    <s v="https://ciera.northwestern.edu/2018/10/26/dearborn-observatory-welcomes-1500-visitors-during-open-house-chicago/"/>
    <x v="1"/>
    <x v="0"/>
    <x v="18"/>
  </r>
  <r>
    <x v="263"/>
    <s v="CIERA Director Vicky Kalogera Presents Annual Public Lecture"/>
    <x v="232"/>
    <s v="https://ciera.northwestern.edu/2018/10/25/ciera-director-vicky-kalogera-presents-annual-public-lecture/"/>
    <x v="1"/>
    <x v="0"/>
    <x v="18"/>
  </r>
  <r>
    <x v="264"/>
    <s v="The Boulder Philharmonic Performs 'Celestial Suite' as Part of 2018-19 Season: Open Space"/>
    <x v="232"/>
    <s v="https://ciera.northwestern.edu/2018/10/25/the-boulder-philharmonic-performs-celestial-suite-as-part-of-2018-19-season-open-space/"/>
    <x v="1"/>
    <x v="4"/>
    <x v="5"/>
  </r>
  <r>
    <x v="265"/>
    <s v="Phil Nicholson Presents CIERA Interdisciplinary Colloquium, Joint with EPS"/>
    <x v="233"/>
    <s v="https://ciera.northwestern.edu/2018/09/27/phil-nicholson-presents-ciera-interdisciplinary-colloquium-joint-with-eps/"/>
    <x v="4"/>
    <x v="0"/>
    <x v="7"/>
  </r>
  <r>
    <x v="266"/>
    <s v="Astronomers Witness Birth of New Star from Stellar Explosion"/>
    <x v="234"/>
    <s v="https://ciera.northwestern.edu/2018/09/20/astronomers-witness-birth-of-new-star-from-stellar-explosion/"/>
    <x v="8"/>
    <x v="3"/>
    <x v="2"/>
  </r>
  <r>
    <x v="267"/>
    <s v="CIERA Researchers Featured in ‚ÄúHumans of LIGO‚Äù"/>
    <x v="234"/>
    <s v="https://ciera.northwestern.edu/2018/09/20/ciera-researchers-featured-in-humans-of-ligo/"/>
    <x v="0"/>
    <x v="3"/>
    <x v="0"/>
  </r>
  <r>
    <x v="268"/>
    <s v="CIERA Celebrates a Decade Of Discovery"/>
    <x v="235"/>
    <s v="https://ciera.northwestern.edu/2018/09/13/ciera-celebrates-aa-decade-of-discovery/"/>
    <x v="1"/>
    <x v="1"/>
    <x v="18"/>
  </r>
  <r>
    <x v="269"/>
    <s v="Welcome Christopher Berry, Inaugural CIERA Board of Visitors Research Professor"/>
    <x v="236"/>
    <s v="https://ciera.northwestern.edu/2018/09/01/welcome-christopher-berry-inaugural-ciera-board-of-visitors-research-professor/"/>
    <x v="1"/>
    <x v="0"/>
    <x v="0"/>
  </r>
  <r>
    <x v="270"/>
    <s v="2018 REU Students Present Their Research at Annual Poster Session"/>
    <x v="237"/>
    <s v="https://ciera.northwestern.edu/2018/08/24/2018-reu-students-present-their-research-at-annual-poster-session/"/>
    <x v="1"/>
    <x v="0"/>
    <x v="46"/>
  </r>
  <r>
    <x v="271"/>
    <s v="Prof. Mel Ulmer Featured in Sky at Night Magazine"/>
    <x v="237"/>
    <s v="https://ciera.northwestern.edu/2018/08/24/prof-mel-ulmer-featured-in-sky-at-night-magazine/"/>
    <x v="1"/>
    <x v="3"/>
    <x v="15"/>
  </r>
  <r>
    <x v="272"/>
    <s v="Another Way for Stellar-mass Black Holes to Grow Larger"/>
    <x v="238"/>
    <s v="https://ciera.northwestern.edu/2018/08/17/another-way-for-stellar-mass-black-holes-to-grow-larger/"/>
    <x v="2"/>
    <x v="3"/>
    <x v="2"/>
  </r>
  <r>
    <x v="273"/>
    <s v="CIERA‚Äôs Michelle Paulsen to Serve on National Education Leadership Committee"/>
    <x v="239"/>
    <s v="https://ciera.northwestern.edu/2018/08/13/cieras-michelle-paulsen-to-serve-on-national-education-leadership-committee/"/>
    <x v="1"/>
    <x v="0"/>
    <x v="12"/>
  </r>
  <r>
    <x v="274"/>
    <s v="CIERA REU Panel Discussion Explores Careers in Astrophysics"/>
    <x v="240"/>
    <s v="https://ciera.northwestern.edu/2018/08/06/ciera-reu-panel-discussion-explores-careers-in-astrophysics/"/>
    <x v="1"/>
    <x v="0"/>
    <x v="32"/>
  </r>
  <r>
    <x v="275"/>
    <s v="Experts Gather to Discuss the Circumgalactic Medium"/>
    <x v="241"/>
    <s v="https://ciera.northwestern.edu/2018/08/04/experts-gather-to-discuss-the-circumgalactic-medium/"/>
    <x v="6"/>
    <x v="0"/>
    <x v="6"/>
  </r>
  <r>
    <x v="276"/>
    <s v="Profs. Wen-fai Fong, Raffaella Margutti and Team Create First-ever Movie of Gamma-ray Burst"/>
    <x v="242"/>
    <s v="https://ciera.northwestern.edu/2018/07/26/profs-wen-fai-fong-raffaella-margutti-and-team-create-first-ever-movie-of-gamma-ray-burst/"/>
    <x v="8"/>
    <x v="1"/>
    <x v="2"/>
  </r>
  <r>
    <x v="277"/>
    <s v="12th International LISA Symposium Held in Chicago by CIERA &amp; AAS"/>
    <x v="243"/>
    <s v="https://ciera.northwestern.edu/2018/07/13/12th-international-lisa-symposium-held-in-chicago-by-ciera-aas/"/>
    <x v="0"/>
    <x v="0"/>
    <x v="6"/>
  </r>
  <r>
    <x v="278"/>
    <s v="CIERA Sponsors Meeting of Gravitational Wave International Committee"/>
    <x v="244"/>
    <s v="https://ciera.northwestern.edu/2018/07/08/ciera-sponsors-meeting-of-gravitational-wave-international-committee/"/>
    <x v="0"/>
    <x v="0"/>
    <x v="6"/>
  </r>
  <r>
    <x v="279"/>
    <s v="MODEST-18 Hosted by CIERA in Santorini, Greece"/>
    <x v="245"/>
    <s v="https://ciera.northwestern.edu/2018/06/29/modest-18-hosted-by-ciera-in-santorini-greece/"/>
    <x v="5"/>
    <x v="0"/>
    <x v="6"/>
  </r>
  <r>
    <x v="280"/>
    <s v="CIERA Helps Chicago-Area High School Students Host 2018 GirlCon"/>
    <x v="246"/>
    <s v="https://ciera.northwestern.edu/2018/06/16/ciera-helps-chicago-area-high-school-students-host-2018-girlcon/"/>
    <x v="1"/>
    <x v="0"/>
    <x v="5"/>
  </r>
  <r>
    <x v="281"/>
    <s v="CIERA Postdocs Advance to New Positions"/>
    <x v="247"/>
    <s v="https://ciera.northwestern.edu/2018/06/10/ciera-postdocs-advance-to-new-positions/"/>
    <x v="1"/>
    <x v="0"/>
    <x v="25"/>
  </r>
  <r>
    <x v="282"/>
    <s v="Brice M√©nard Presents CIERA Interdisciplinary Colloquium"/>
    <x v="248"/>
    <s v="https://ciera.northwestern.edu/2018/06/04/brice-menard-presents-ciera-interdisciplinary-colloquium/"/>
    <x v="1"/>
    <x v="0"/>
    <x v="4"/>
  </r>
  <r>
    <x v="283"/>
    <s v="Announcing CIERA's 2018 Summer Undergraduate Researchers"/>
    <x v="249"/>
    <s v="https://ciera.northwestern.edu/2018/06/01/announcing-cieras-2018-summer-undergraduate-researchers/"/>
    <x v="1"/>
    <x v="0"/>
    <x v="47"/>
  </r>
  <r>
    <x v="284"/>
    <s v="CIERA Contributes to World Science Festival"/>
    <x v="250"/>
    <s v="https://ciera.northwestern.edu/2018/05/30/ciera-contributes-to-world-science-festival/"/>
    <x v="9"/>
    <x v="0"/>
    <x v="18"/>
  </r>
  <r>
    <x v="285"/>
    <s v="CIERA Partners with The Chicago Network on STEM Event"/>
    <x v="251"/>
    <s v="https://ciera.northwestern.edu/2018/05/17/ciera-partners-with-the-chicago-network-on-stem-event/"/>
    <x v="9"/>
    <x v="0"/>
    <x v="18"/>
  </r>
  <r>
    <x v="286"/>
    <s v="New Study: LISA Observatory to Detect Globular Cluster Binaries in the Milky Way"/>
    <x v="252"/>
    <s v="https://ciera.northwestern.edu/2018/05/11/new-study-lisa-observatory-to-detect-globular-cluster-binaries-in-the-milky-way/"/>
    <x v="13"/>
    <x v="1"/>
    <x v="2"/>
  </r>
  <r>
    <x v="287"/>
    <s v="PhD Student Alex Gurvich Awarded Two Prestigious Fellowships"/>
    <x v="253"/>
    <s v="https://ciera.northwestern.edu/2018/05/10/phd-student-alex-gurvich-awarded-two-prestigious-fellowships/"/>
    <x v="6"/>
    <x v="4"/>
    <x v="0"/>
  </r>
  <r>
    <x v="288"/>
    <s v="Seven New Postdoctoral Researchers Join CIERA"/>
    <x v="254"/>
    <s v="https://ciera.northwestern.edu/2018/05/09/seven-new-postdoctoral-researchers-join-ciera/"/>
    <x v="29"/>
    <x v="0"/>
    <x v="0"/>
  </r>
  <r>
    <x v="289"/>
    <s v="Professor Vicky Kalogera Elected to National Academy of Sciences"/>
    <x v="255"/>
    <s v="https://ciera.northwestern.edu/2018/05/02/professor-vicky-kalogera-elected-to-national-academy-of-sciences/"/>
    <x v="1"/>
    <x v="2"/>
    <x v="0"/>
  </r>
  <r>
    <x v="290"/>
    <s v="Reach for the Stars Teacher, John Kretsos, Honored with Distinguished Secondary Teacher Award"/>
    <x v="255"/>
    <s v="https://ciera.northwestern.edu/2018/05/02/reach-for-the-stars-teacher-john-kretsos-honored-with-distinguished-secondary-teacher-award/"/>
    <x v="1"/>
    <x v="1"/>
    <x v="12"/>
  </r>
  <r>
    <x v="291"/>
    <s v="REU Student Jos√© Flores Velazquez Presents Research on Capitol Hill"/>
    <x v="256"/>
    <s v="https://ciera.northwestern.edu/2018/04/20/reu-student-jose-flores-velazquez-presents-research-on-capitol-hill/"/>
    <x v="6"/>
    <x v="0"/>
    <x v="0"/>
  </r>
  <r>
    <x v="292"/>
    <s v="Computational Research Day: April 10, 2018"/>
    <x v="257"/>
    <s v="https://ciera.northwestern.edu/2018/04/10/computational-research-day-april-10-2018/"/>
    <x v="18"/>
    <x v="0"/>
    <x v="48"/>
  </r>
  <r>
    <x v="293"/>
    <s v="Nature Astronomy Perspective: Professor Faucher-Gigu√®re on Progress &amp; Challenges in Galaxy Formation Simulation Field"/>
    <x v="258"/>
    <s v="https://ciera.northwestern.edu/2018/04/05/nature-astronomy-perspective-professor-faucher-giguere-on-progress-challenges-in-galaxy-formation-simulation-field/"/>
    <x v="6"/>
    <x v="3"/>
    <x v="15"/>
  </r>
  <r>
    <x v="294"/>
    <s v="CIERA Hosts Workshop on Radio Astronomy"/>
    <x v="259"/>
    <s v="https://ciera.northwestern.edu/2018/03/29/ciera-hosts-workshop-on-radio-astronomy/"/>
    <x v="1"/>
    <x v="0"/>
    <x v="26"/>
  </r>
  <r>
    <x v="295"/>
    <s v="Embassy of Greece Interviews CIERA Director Vicky Kalogera"/>
    <x v="260"/>
    <s v="https://ciera.northwestern.edu/2018/03/27/embassy-of-greece-interviews-ciera-director-vicky-kalogera/"/>
    <x v="1"/>
    <x v="3"/>
    <x v="0"/>
  </r>
  <r>
    <x v="296"/>
    <s v="Chandra Director Belinda Wilkes Presents CIERA Interdisciplinary Colloquium"/>
    <x v="261"/>
    <s v="https://ciera.northwestern.edu/2018/03/22/chandra-director-belinda-wilkes-presents-ciera-interdisciplinary-colloquium/"/>
    <x v="1"/>
    <x v="0"/>
    <x v="7"/>
  </r>
  <r>
    <x v="297"/>
    <s v="Shaping Globular Clusters with Black Holes"/>
    <x v="262"/>
    <s v="https://ciera.northwestern.edu/2018/03/21/shaping-globular-clusters-with-black-holes/"/>
    <x v="20"/>
    <x v="3"/>
    <x v="2"/>
  </r>
  <r>
    <x v="298"/>
    <s v="Professor Claude-Andr√© Faucher-Gigu√®re Named Cottrell Scholar"/>
    <x v="263"/>
    <s v="https://ciera.northwestern.edu/2018/02/12/professor-claude-andre-faucher-giguere-named-cottrell-scholar/"/>
    <x v="1"/>
    <x v="2"/>
    <x v="0"/>
  </r>
  <r>
    <x v="299"/>
    <s v="CIERA Director Vicky Kalogera Meets with U.S. Congressman"/>
    <x v="264"/>
    <s v="https://ciera.northwestern.edu/2018/02/05/ciera-director-vicky-kalogera-meets-with-u-s-congressman/"/>
    <x v="1"/>
    <x v="0"/>
    <x v="22"/>
  </r>
  <r>
    <x v="300"/>
    <s v="CIERA Graduate Students Host Field Trip for Girls 4 Science"/>
    <x v="265"/>
    <s v="https://ciera.northwestern.edu/2018/02/03/ciera-graduate-students-host-field-trip-for-girls-4-science/"/>
    <x v="1"/>
    <x v="0"/>
    <x v="18"/>
  </r>
  <r>
    <x v="301"/>
    <s v="CIERA Director Vicky Kalogera Named Daniel I. Linzer Distinguished University Professor"/>
    <x v="266"/>
    <s v="https://ciera.northwestern.edu/2018/01/31/ciera-director-vicky-kalogera-named-daniel-i-linzer-distinguished-university-professor/"/>
    <x v="1"/>
    <x v="0"/>
    <x v="0"/>
  </r>
  <r>
    <x v="302"/>
    <s v="CIERA REU Students Present at 231st Meeting of the AAS"/>
    <x v="266"/>
    <s v="https://ciera.northwestern.edu/2018/01/31/ciera-reu-students-present-at-231st-meeting-of-the-aas/"/>
    <x v="1"/>
    <x v="0"/>
    <x v="49"/>
  </r>
  <r>
    <x v="303"/>
    <s v="New Theory by CIERA Lindheimer Post-doctoral Fellow Alex Richings Predicts that Molecules are Born in Black Hole Winds"/>
    <x v="267"/>
    <s v="https://ciera.northwestern.edu/2018/01/30/new-theory-by-ciera-lindheimer-post-doctoral-fellow-alex-richings-predicts-that-molecules-are-born-in-black-hole-winds/"/>
    <x v="16"/>
    <x v="1"/>
    <x v="2"/>
  </r>
  <r>
    <x v="304"/>
    <s v="CIERA Director Vicky Kalogera Wins 2018 Dannie Heineman Prize for Astrophysics"/>
    <x v="268"/>
    <s v="https://ciera.northwestern.edu/2018/01/10/ciera-director-vicky-kalogera-wins-2018-dannie-heineman-prize-for-astrophysics/"/>
    <x v="1"/>
    <x v="1"/>
    <x v="0"/>
  </r>
  <r>
    <x v="305"/>
    <s v="Black Hole Breakthrough: New Insight into Mysterious Jets by CIERA Professor Sasha Tchekhovskoy"/>
    <x v="269"/>
    <s v="https://ciera.northwestern.edu/2018/01/09/black-hole-breakthrough-new-insight-into-mysterious-jets-by-ciera-professor-sasha-tchekhovskoy/"/>
    <x v="2"/>
    <x v="2"/>
    <x v="2"/>
  </r>
  <r>
    <x v="306"/>
    <s v="Astronomy from the Stratosphere: New Research by CIERA Postdoc Fabio Santos"/>
    <x v="269"/>
    <s v="https://ciera.northwestern.edu/2018/01/09/astronomy-from-the-stratosphere-new-research-by-ciera-postdoc-fabio-santos/"/>
    <x v="8"/>
    <x v="3"/>
    <x v="2"/>
  </r>
  <r>
    <x v="307"/>
    <s v="CIERA Researchers Highlight Their Expertise in Seven Minutes or Less"/>
    <x v="270"/>
    <s v="https://ciera.northwestern.edu/2017/12/06/ciera-researchers-highlight-their-expertise-in-seven-minutes-or-less/"/>
    <x v="30"/>
    <x v="0"/>
    <x v="41"/>
  </r>
  <r>
    <x v="308"/>
    <s v="Greg Laughlin and Dan Tamayo Present CIERA Interdisciplinary Colloquia"/>
    <x v="271"/>
    <s v="https://ciera.northwestern.edu/2017/12/01/greg-lauglin-and-dan-tamayo-present-ciera-interdisciplinary-colloquia/"/>
    <x v="4"/>
    <x v="0"/>
    <x v="7"/>
  </r>
  <r>
    <x v="309"/>
    <s v="Professor Yusef-Zadeh: Infant Stars Surprisingly Near Galaxy‚Äôs Supermassive Black Hole"/>
    <x v="271"/>
    <s v="https://ciera.northwestern.edu/2017/12/01/professor-yusef-zadeh-infant-stars-surprisingly-near-galaxys-supermassive-black-hole/"/>
    <x v="12"/>
    <x v="2"/>
    <x v="2"/>
  </r>
  <r>
    <x v="310"/>
    <s v="CIERA Astronomers Share Stories of Scientific Discovery at Neutron Star Merger Event"/>
    <x v="272"/>
    <s v="https://ciera.northwestern.edu/2017/11/28/ciera-astronomers-share-stories-of-scientific-discovery-at-neutron-star-merger-event/"/>
    <x v="9"/>
    <x v="0"/>
    <x v="18"/>
  </r>
  <r>
    <x v="311"/>
    <s v="Cosmos in Concert: Celestial Suite"/>
    <x v="273"/>
    <s v="https://ciera.northwestern.edu/2017/11/18/cosmos-in-concert-celestial-suite/"/>
    <x v="1"/>
    <x v="0"/>
    <x v="5"/>
  </r>
  <r>
    <x v="312"/>
    <s v="Graduate Student Eve Chase Leads Data Analysis of New Gravitational Wave Detection"/>
    <x v="274"/>
    <s v="https://ciera.northwestern.edu/2017/11/10/graduate-student-eve-chase-leads-data-analysis-of-new-gravitational-wave-detection/"/>
    <x v="0"/>
    <x v="4"/>
    <x v="15"/>
  </r>
  <r>
    <x v="313"/>
    <s v="‚ÄúBlack Hole Encounter‚Äù by CIERA Postdoc Aaron Geller Sweeps 2017 Scientific Images Contest"/>
    <x v="275"/>
    <s v="https://ciera.northwestern.edu/2017/11/02/black-hole-encounter-by-ciera-postdoc-aaron-geller-sweeps-2017-scientific-images-contest/"/>
    <x v="20"/>
    <x v="1"/>
    <x v="50"/>
  </r>
  <r>
    <x v="314"/>
    <s v="Top Telescope Access for CIERA Researchers"/>
    <x v="276"/>
    <s v="https://ciera.northwestern.edu/2017/11/01/top-telescope-access-for-ciera-researchers/"/>
    <x v="1"/>
    <x v="0"/>
    <x v="2"/>
  </r>
  <r>
    <x v="315"/>
    <s v="CIERA Affiliate Member Magdalena Osburn Named Packard Fellow"/>
    <x v="277"/>
    <s v="https://ciera.northwestern.edu/2017/10/26/ciera-affiliate-member-magdalena-osburn-named-packard-fellow/"/>
    <x v="1"/>
    <x v="1"/>
    <x v="1"/>
  </r>
  <r>
    <x v="316"/>
    <s v="CIERA REU Student Jos√© Flores Wins Best Poster Presentation at 2017 SACNAS Conference"/>
    <x v="278"/>
    <s v="https://ciera.northwestern.edu/2017/10/21/ciera-reu-student-jose-flores-wins-best-poster-presentation-at-2017-sacnas-conference/"/>
    <x v="6"/>
    <x v="0"/>
    <x v="12"/>
  </r>
  <r>
    <x v="317"/>
    <s v="CIERA Astronomers Help Detect Colliding Neutron Stars for the First Time"/>
    <x v="279"/>
    <s v="https://ciera.northwestern.edu/2017/10/16/ciera-astronomers-help-detect-colliding-neutron-stars-for-the-first-time/"/>
    <x v="9"/>
    <x v="6"/>
    <x v="2"/>
  </r>
  <r>
    <x v="318"/>
    <s v="CIERA‚Äôs Shane Larson Joins U.S. NASA LISA Study Team"/>
    <x v="280"/>
    <s v="https://ciera.northwestern.edu/2017/10/15/cieras-shane-larson-joins-u-s-nasa-lisa-study-team/"/>
    <x v="0"/>
    <x v="0"/>
    <x v="0"/>
  </r>
  <r>
    <x v="319"/>
    <s v="Graduate Student Katie Breivik Wins Blue Apple Prize at MRM"/>
    <x v="281"/>
    <s v="https://ciera.northwestern.edu/2017/10/14/graduate-student-katie-breivik-wins-blue-apple-prize-at-mrm/"/>
    <x v="20"/>
    <x v="0"/>
    <x v="0"/>
  </r>
  <r>
    <x v="320"/>
    <s v="Cosmologist Prof. Wendy Freedman Presents CIERA Annual Public Lecture"/>
    <x v="282"/>
    <s v="https://ciera.northwestern.edu/2017/10/05/cosmologist-prof-wendy-freedman-presents-ciera-annual-public-lecture/"/>
    <x v="1"/>
    <x v="7"/>
    <x v="18"/>
  </r>
  <r>
    <x v="321"/>
    <s v="2017 Nobel Prize in Physics Awarded to Gravitational-wave Scientists Barish, Thorne, and Weiss"/>
    <x v="283"/>
    <s v="https://ciera.northwestern.edu/2017/10/03/2017-nobel-prize-in-physics-awarded-to-gravitational-wave-scientists-barish-thorne-and-weiss/"/>
    <x v="0"/>
    <x v="3"/>
    <x v="1"/>
  </r>
  <r>
    <x v="322"/>
    <s v="CIERA Researchers Contribute to Record-setting Gravitational Wave Detection"/>
    <x v="284"/>
    <s v="https://ciera.northwestern.edu/2017/09/27/ciera-researchers-contribute-to-record-setting-gravitational-wave-detection/"/>
    <x v="0"/>
    <x v="3"/>
    <x v="2"/>
  </r>
  <r>
    <x v="323"/>
    <s v="Unique Supernova Revealed by CIERA Postdoc Giacomo Terreran"/>
    <x v="285"/>
    <s v="https://ciera.northwestern.edu/2017/09/18/unique-supernova-revealed-by-ciera-postdoc-giacomo-terreran/"/>
    <x v="8"/>
    <x v="3"/>
    <x v="2"/>
  </r>
  <r>
    <x v="324"/>
    <s v="Sky &amp; Telescope Features ‚ÄúThree Cosmic Chirps and Counting‚Äù by CIERA Director Vicky Kalogera"/>
    <x v="286"/>
    <s v="https://ciera.northwestern.edu/2017/09/15/three-cosmic-chirps-and-counting/"/>
    <x v="0"/>
    <x v="3"/>
    <x v="22"/>
  </r>
  <r>
    <x v="325"/>
    <s v="CIERA Postdoc Fabio Antonini Finds that Many LIGO Sources Arise from Mergers at the Centers of Galaxies"/>
    <x v="286"/>
    <s v="https://ciera.northwestern.edu/2017/09/15/ciera-postdoc-fabio-antonini-finds-that-many-ligo-sources-arise-from-mergers-at-the-centers-of-galaxies/"/>
    <x v="21"/>
    <x v="0"/>
    <x v="2"/>
  </r>
  <r>
    <x v="326"/>
    <s v="Announcing CIERA Director of Operations Kari Frank &amp; Associate Director Shane Larson"/>
    <x v="287"/>
    <s v="https://ciera.northwestern.edu/2017/09/01/announcing-ciera-director-of-operations-kari-frank-associate-director-shane-larson/"/>
    <x v="1"/>
    <x v="0"/>
    <x v="0"/>
  </r>
  <r>
    <x v="327"/>
    <s v="CIERA Welcomes New Faculty Members: Wen-Fai Fong &amp; Sasha Tchekhovskoy"/>
    <x v="287"/>
    <s v="https://ciera.northwestern.edu/2017/09/01/ciera-welcomes-new-faculty-members-wen-fai-fong-sasha-tchekhovskoy/"/>
    <x v="14"/>
    <x v="0"/>
    <x v="0"/>
  </r>
  <r>
    <x v="328"/>
    <s v="Graduate Student Eve Chase Wins Best Poster Award at LSC-Virgo Meeting"/>
    <x v="287"/>
    <s v="https://ciera.northwestern.edu/2017/09/01/graduate-student-eve-chase-wins-best-poster-award-at-lsc-virgo-meeting/"/>
    <x v="0"/>
    <x v="0"/>
    <x v="0"/>
  </r>
  <r>
    <x v="329"/>
    <s v="CIERA Director Vicky Kalogera Appointed CIFAR Senior Fellow"/>
    <x v="288"/>
    <s v="https://ciera.northwestern.edu/2017/08/31/ciera-director-vicky-kalogera-appointed-cifar-senior-fellow/"/>
    <x v="1"/>
    <x v="0"/>
    <x v="0"/>
  </r>
  <r>
    <x v="330"/>
    <s v="CIERA Postdoc Alum Carl Rodriguez Featured in Northwestern Magazine"/>
    <x v="288"/>
    <s v="https://ciera.northwestern.edu/2017/08/31/ciera-postdoc-alum-carl-rodriguez-featured-in-northwestern-magazine/"/>
    <x v="2"/>
    <x v="0"/>
    <x v="0"/>
  </r>
  <r>
    <x v="331"/>
    <s v="New Issue of ‚ÄúLIGO Magazine‚Äù Available"/>
    <x v="288"/>
    <s v="https://ciera.northwestern.edu/2017/08/31/new-issue-of-ligo-magazine-available/"/>
    <x v="0"/>
    <x v="3"/>
    <x v="2"/>
  </r>
  <r>
    <x v="332"/>
    <s v="CIERA Pop-up Eclipse Viewing at Tech Allows Hundreds to Enjoy Rare Sky Event"/>
    <x v="289"/>
    <s v="https://ciera.northwestern.edu/2017/08/22/ciera-pop-up-eclipse-viewing-at-tech-allows-hundreds-to-enjoy-rare-sky-event/"/>
    <x v="1"/>
    <x v="6"/>
    <x v="18"/>
  </r>
  <r>
    <x v="333"/>
    <s v="2017 REU Students Present Their Research at Annual Poster Session"/>
    <x v="290"/>
    <s v="https://ciera.northwestern.edu/2017/08/18/2017-reu-students-present-their-research-at-annual-poster-session/"/>
    <x v="1"/>
    <x v="0"/>
    <x v="51"/>
  </r>
  <r>
    <x v="334"/>
    <s v="Astronomy on Tap Hosts Eclipse-themed Event at Begyle Brewing"/>
    <x v="291"/>
    <s v="https://ciera.northwestern.edu/2017/08/15/astronomy-on-tap-hosts-eclipse-themed-event-at-begyle-brewing/"/>
    <x v="1"/>
    <x v="0"/>
    <x v="18"/>
  </r>
  <r>
    <x v="335"/>
    <s v="CIERA REU Students Discover Careers in Astronomy"/>
    <x v="292"/>
    <s v="https://ciera.northwestern.edu/2017/07/31/ciera-reu-students-discover-careers-in-astronomy/"/>
    <x v="1"/>
    <x v="0"/>
    <x v="16"/>
  </r>
  <r>
    <x v="336"/>
    <s v="CIERA Prof. Raffaella Margutti Helps Discover ‚ÄòHeavy Metal‚Äô Supernova Rocking Out"/>
    <x v="292"/>
    <s v="https://ciera.northwestern.edu/2017/07/31/2084/"/>
    <x v="8"/>
    <x v="2"/>
    <x v="2"/>
  </r>
  <r>
    <x v="337"/>
    <s v="Intergalactic Transfer: A New Study on How Matter Moves Across the Universe, Led by CIERA Postdoc Daniel Angl√©s-Alc√°zar"/>
    <x v="292"/>
    <s v="https://ciera.northwestern.edu/2017/07/31/intergalactic-transfer-a-new-study-on-how-matter-moves-across-the-universe-led-by-ciera-postdoc-daniel-angles-alcazar/"/>
    <x v="6"/>
    <x v="2"/>
    <x v="2"/>
  </r>
  <r>
    <x v="338"/>
    <s v="CIERA's 2017 Summer Student Researchers"/>
    <x v="293"/>
    <s v="https://ciera.northwestern.edu/2017/07/30/cieras-2017-summer-student-researchers/"/>
    <x v="1"/>
    <x v="0"/>
    <x v="24"/>
  </r>
  <r>
    <x v="339"/>
    <s v="The Computing Power Behind CIERA‚Äôs Galaxy Formation Research"/>
    <x v="294"/>
    <s v="https://ciera.northwestern.edu/2017/07/20/the-computing-power-behind-cieras-galaxy-formation-research/"/>
    <x v="6"/>
    <x v="1"/>
    <x v="0"/>
  </r>
  <r>
    <x v="340"/>
    <s v="Graduate Students Engage with 7th/8th Grade Students &amp; Families"/>
    <x v="295"/>
    <s v="https://ciera.northwestern.edu/2017/07/01/graduate-students-engage-with-7th-8th-grade-students-families/"/>
    <x v="1"/>
    <x v="0"/>
    <x v="18"/>
  </r>
  <r>
    <x v="341"/>
    <s v="CIERA Director Vicky Kalogera Featured in Northwestern Global Impact Video"/>
    <x v="296"/>
    <s v="https://ciera.northwestern.edu/2017/06/12/ciera-director-vicky-kalogera-featured-in-northwestern-global-impact-video/"/>
    <x v="1"/>
    <x v="1"/>
    <x v="0"/>
  </r>
  <r>
    <x v="342"/>
    <s v="Graduate Student Fani Dosopoulou Receives Holt Award"/>
    <x v="297"/>
    <s v="https://ciera.northwestern.edu/2017/06/10/graduate-student-fani-dosopoulou-receives-holt-award/"/>
    <x v="31"/>
    <x v="0"/>
    <x v="0"/>
  </r>
  <r>
    <x v="343"/>
    <s v="CIERA Hosts Supernovae: The LSST Revolution Workshop"/>
    <x v="298"/>
    <s v="https://ciera.northwestern.edu/2017/06/03/ciera-hosts-supernovae-the-lsst-revolution-workshop/"/>
    <x v="8"/>
    <x v="0"/>
    <x v="4"/>
  </r>
  <r>
    <x v="344"/>
    <s v="LIGO Detects Gravitational Waves for Third Time"/>
    <x v="299"/>
    <s v="https://ciera.northwestern.edu/2017/06/02/ligo-detects-gravitational-waves-for-third-time/"/>
    <x v="0"/>
    <x v="2"/>
    <x v="2"/>
  </r>
  <r>
    <x v="345"/>
    <s v="Astronomy Students Awarded Best Senior Thesis"/>
    <x v="300"/>
    <s v="https://ciera.northwestern.edu/2017/05/30/astronomy-students-awarded-best-senior-thesis/"/>
    <x v="2"/>
    <x v="0"/>
    <x v="0"/>
  </r>
  <r>
    <x v="346"/>
    <s v="&quot;Science Sonification&quot; Brings Together Composers &amp; STEM Researchers"/>
    <x v="301"/>
    <s v="https://ciera.northwestern.edu/2017/05/23/science-sonification-brings-together-composers-stem-researchers/"/>
    <x v="1"/>
    <x v="0"/>
    <x v="5"/>
  </r>
  <r>
    <x v="347"/>
    <s v="CIERA Postdocs Advance to New Positions"/>
    <x v="302"/>
    <s v="https://ciera.northwestern.edu/2017/05/19/ciera-postdocs-advance-to-new-positions-2/"/>
    <x v="1"/>
    <x v="0"/>
    <x v="1"/>
  </r>
  <r>
    <x v="348"/>
    <s v="Postdoctoral Fellow Dan Foreman-Mackey Presents CIERA Spring Interdisciplinary Colloquium"/>
    <x v="303"/>
    <s v="https://ciera.northwestern.edu/2017/05/18/postdoctoral-fellow-dan-foreman-mackey-presents-ciera-spring-interdisciplinary-colloquium/"/>
    <x v="4"/>
    <x v="0"/>
    <x v="4"/>
  </r>
  <r>
    <x v="349"/>
    <s v="Physics Makes Music in A Shout Across Time"/>
    <x v="304"/>
    <s v="https://ciera.northwestern.edu/2017/05/16/physics-makes-music-in-a-shout-across-time/"/>
    <x v="1"/>
    <x v="6"/>
    <x v="5"/>
  </r>
  <r>
    <x v="350"/>
    <s v="Chicago Woman Magazine Features CIERA Director Prof. Kalogera"/>
    <x v="305"/>
    <s v="https://ciera.northwestern.edu/2017/05/06/chicago-woman-magazine-features-ciera-director-prof-kalogera/"/>
    <x v="1"/>
    <x v="3"/>
    <x v="0"/>
  </r>
  <r>
    <x v="351"/>
    <s v="LIGO Co-founder Rainer Weiss Presents CIERA Annual Public Lecture"/>
    <x v="306"/>
    <s v="https://ciera.northwestern.edu/2017/05/03/ligo-co-founder-rainer-weiss-presents-ciera-annual-public-lecture/"/>
    <x v="0"/>
    <x v="0"/>
    <x v="18"/>
  </r>
  <r>
    <x v="352"/>
    <s v="CIERA Director Prof. Kalogera Receives Walder Award for Research Excellence"/>
    <x v="307"/>
    <s v="https://ciera.northwestern.edu/2017/05/01/ciera-director-prof-kalogera-receives-walder-award-for-research-excellence/"/>
    <x v="0"/>
    <x v="1"/>
    <x v="0"/>
  </r>
  <r>
    <x v="353"/>
    <s v="CIERA Contributes to Northwestern‚Äôs Computational Research Day"/>
    <x v="308"/>
    <s v="https://ciera.northwestern.edu/2017/04/30/ciera-contributes-to-northwesterns-computational-research-day/"/>
    <x v="32"/>
    <x v="7"/>
    <x v="52"/>
  </r>
  <r>
    <x v="354"/>
    <s v="Prof. Faucher-Gigu√®re Receives NSF Honor for Young Faculty"/>
    <x v="309"/>
    <s v="https://ciera.northwestern.edu/2017/04/29/prof-faucher-giguere-receives-nsf-honor-for-young-faculty/"/>
    <x v="6"/>
    <x v="1"/>
    <x v="0"/>
  </r>
  <r>
    <x v="355"/>
    <s v="CIERA to Welcome New Postdocs in Fall 2017"/>
    <x v="310"/>
    <s v="https://ciera.northwestern.edu/2017/04/28/ciera-to-welcome-new-postdocs-in-fall-2017/"/>
    <x v="33"/>
    <x v="0"/>
    <x v="25"/>
  </r>
  <r>
    <x v="356"/>
    <s v="Rocco Coppejans Joins CIERA‚Äôs Mel Ulmer to Work on Mirrors in Space"/>
    <x v="311"/>
    <s v="https://ciera.northwestern.edu/2017/04/27/rocco-coppejans-joins-cieras-mel-ulmer-to-work-on-mirrors-in-space/"/>
    <x v="1"/>
    <x v="0"/>
    <x v="0"/>
  </r>
  <r>
    <x v="357"/>
    <s v="CIERA Researchers Highlight Their Expertise in Seven Minutes or Less"/>
    <x v="312"/>
    <s v="https://ciera.northwestern.edu/2017/03/17/ciera-researchers-highlight-their-expertise-in-seven-minutes-or-less-2/"/>
    <x v="11"/>
    <x v="0"/>
    <x v="41"/>
  </r>
  <r>
    <x v="358"/>
    <s v="New Issue of ‚ÄúLIGO Magazine‚Äù Features Gravity Spy Article by Mike Zevin"/>
    <x v="313"/>
    <s v="https://ciera.northwestern.edu/2017/03/15/new-issue-of-ligo-magazine-features-gravity-spy-article-by-mike-zevin/"/>
    <x v="0"/>
    <x v="3"/>
    <x v="53"/>
  </r>
  <r>
    <x v="359"/>
    <s v="CIERA Pilot Program Exposes Students to Astronomy Research"/>
    <x v="314"/>
    <s v="https://ciera.northwestern.edu/2017/03/13/ciera-pilot-program-exposes-students-to-astronomy-research/"/>
    <x v="1"/>
    <x v="0"/>
    <x v="32"/>
  </r>
  <r>
    <x v="360"/>
    <s v="CIERA Professor Giles Novak Joins ALMA Science Advisory Committee"/>
    <x v="315"/>
    <s v="https://ciera.northwestern.edu/2017/03/12/ciera-professor-giles-novak-joins-alma-science-advisory-committee/"/>
    <x v="1"/>
    <x v="0"/>
    <x v="0"/>
  </r>
  <r>
    <x v="361"/>
    <s v="Professor Jeremy Kasdin Presents CIERA Winter Interdisciplinary Colloquium"/>
    <x v="316"/>
    <s v="https://ciera.northwestern.edu/2017/03/02/professor-jeremy-kasdin-presents-ciera-winter-interdisciplinary-colloquium/"/>
    <x v="4"/>
    <x v="0"/>
    <x v="7"/>
  </r>
  <r>
    <x v="362"/>
    <s v="Media Seek Expertise on New Planets in TRAPPIST-1 System"/>
    <x v="317"/>
    <s v="https://ciera.northwestern.edu/2017/02/28/media-seek-expertise-on-new-planets-in-trappist-1-system/"/>
    <x v="4"/>
    <x v="3"/>
    <x v="31"/>
  </r>
  <r>
    <x v="363"/>
    <s v="CIERA Hosts Astronomy Day for Middle School Teachers"/>
    <x v="318"/>
    <s v="https://ciera.northwestern.edu/2017/02/24/ciera-hosts-astronomy-day-for-middle-school-teachers/"/>
    <x v="1"/>
    <x v="0"/>
    <x v="16"/>
  </r>
  <r>
    <x v="364"/>
    <s v="News from CIERA Professor Farhad Yusef-Zadeh on Star, Planet Formation in Milky Way"/>
    <x v="319"/>
    <s v="https://ciera.northwestern.edu/2017/01/31/news-from-ciera-professor-farhad-yusef-zadeh-on-star-planet-formation-in-milky-way/"/>
    <x v="8"/>
    <x v="3"/>
    <x v="2"/>
  </r>
  <r>
    <x v="365"/>
    <s v="Graduate Student Katie Breivik Wins Chambliss Honorable Mention for Research Poster at AAS"/>
    <x v="320"/>
    <s v="https://ciera.northwestern.edu/2017/01/30/graduate-student-katie-breivik-wins-chambliss-honorable-mention-for-research-poster-at-aas/"/>
    <x v="21"/>
    <x v="0"/>
    <x v="0"/>
  </r>
  <r>
    <x v="366"/>
    <s v="Supernova News from CIERA Professor Raffaella Margutti"/>
    <x v="321"/>
    <s v="https://ciera.northwestern.edu/2017/01/29/supernova-news-from-ciera-professor-raffaella-margutti/"/>
    <x v="8"/>
    <x v="3"/>
    <x v="2"/>
  </r>
  <r>
    <x v="367"/>
    <s v="CIERA REU Students Present at 229th Meeting of the AAS"/>
    <x v="322"/>
    <s v="https://ciera.northwestern.edu/2017/01/28/ciera-reu-students-present-at-229th-meeting-of-the-aas/"/>
    <x v="34"/>
    <x v="0"/>
    <x v="54"/>
  </r>
  <r>
    <x v="368"/>
    <s v="CIERA Postdoctoral Alum Laura Fissel Presents Plenary Talk at AAS229"/>
    <x v="323"/>
    <s v="https://ciera.northwestern.edu/2017/01/27/ciera-postdoctoral-alum-laura-fissel-presents-plenary-talk-at-aas229/"/>
    <x v="1"/>
    <x v="0"/>
    <x v="0"/>
  </r>
  <r>
    <x v="369"/>
    <s v="Professor Mel Ulmer Discusses Geoengineering at AAS229"/>
    <x v="324"/>
    <s v="https://ciera.northwestern.edu/2017/01/20/professor-mel-ulmer-discusses-geoengineering-at-aas229/"/>
    <x v="1"/>
    <x v="4"/>
    <x v="1"/>
  </r>
  <r>
    <x v="370"/>
    <s v="Four New Postdoctoral Researchers Join CIERA"/>
    <x v="325"/>
    <s v="https://ciera.northwestern.edu/2017/01/01/four-new-postdoctoral-researchers-join-ciera/"/>
    <x v="35"/>
    <x v="0"/>
    <x v="36"/>
  </r>
  <r>
    <x v="371"/>
    <s v="Graduate Student Zachary Hafen Wins Award in the 2016 Northwestern Scientific Images Contest"/>
    <x v="326"/>
    <s v="https://ciera.northwestern.edu/2016/12/31/graduate-student-zachary-hafen-wins-award-in-the-2016-northwestern-scientific-images-contest/"/>
    <x v="6"/>
    <x v="1"/>
    <x v="0"/>
  </r>
  <r>
    <x v="372"/>
    <s v="Year-in-Review Honors for the LIGO Scientific Collaboration"/>
    <x v="327"/>
    <s v="https://ciera.northwestern.edu/2016/12/30/year-in-review-honors-for-the-ligo-scientific-collaboration/"/>
    <x v="0"/>
    <x v="3"/>
    <x v="0"/>
  </r>
  <r>
    <x v="373"/>
    <s v="Prospect High School Hosts Panel of Women Astrophysicists from Northwestern"/>
    <x v="328"/>
    <s v="https://ciera.northwestern.edu/2016/12/29/prospect-high-school-hosts-panel-of-women-astrophysicists-from-northwestern/"/>
    <x v="1"/>
    <x v="0"/>
    <x v="18"/>
  </r>
  <r>
    <x v="374"/>
    <s v="Gravitational Waves Detection Featured in Holiday Greeting to Northwestern Alumni"/>
    <x v="329"/>
    <s v="https://ciera.northwestern.edu/2016/12/28/gravitational-waves-detection-featured-in-holiday-greeting-to-northwestern-alumni/"/>
    <x v="0"/>
    <x v="1"/>
    <x v="0"/>
  </r>
  <r>
    <x v="375"/>
    <s v="Postdocs &amp; Graduate Students Present at Annual CIERA Research Jamboree"/>
    <x v="330"/>
    <s v="https://ciera.northwestern.edu/2016/12/15/postdocs-graduate-students-present-at-annual-ciera-research-jamboree/"/>
    <x v="1"/>
    <x v="0"/>
    <x v="6"/>
  </r>
  <r>
    <x v="376"/>
    <s v="Executive Director of LIGO Laboratory Presents CIERA Fall Interdisciplinary Colloquium"/>
    <x v="331"/>
    <s v="https://ciera.northwestern.edu/2016/12/01/executive-director-of-ligo-laboratory-presents-ciera-fall-interdisciplinary-colloquium/"/>
    <x v="0"/>
    <x v="7"/>
    <x v="7"/>
  </r>
  <r>
    <x v="377"/>
    <s v="Audio Series on Northwestern Couples Features Vicky Kalogera and Fred Rasio"/>
    <x v="332"/>
    <s v="https://ciera.northwestern.edu/2016/11/30/audio-series-on-northwestern-couples-features-vicky-kalogera-and-fred-rasio/"/>
    <x v="1"/>
    <x v="1"/>
    <x v="0"/>
  </r>
  <r>
    <x v="378"/>
    <s v="Graduate Student Matthew Rickert Wins Reber Fellowship"/>
    <x v="333"/>
    <s v="https://ciera.northwestern.edu/2016/11/29/graduate-student-matthew-rickert-wins-reber-fellowship/"/>
    <x v="8"/>
    <x v="0"/>
    <x v="0"/>
  </r>
  <r>
    <x v="379"/>
    <s v="CIERA‚Äôs Mel Ulmer Leading Audacious Project to Unfurl World‚Äôs Largest Space Telescope"/>
    <x v="334"/>
    <s v="https://ciera.northwestern.edu/2016/11/28/cieras-mel-ulmer-leading-audacious-project-to-unfurl-worlds-largest-space-telescope/"/>
    <x v="1"/>
    <x v="1"/>
    <x v="21"/>
  </r>
  <r>
    <x v="380"/>
    <s v="CIERA REU Students Present at PhysCon"/>
    <x v="335"/>
    <s v="https://ciera.northwestern.edu/2016/11/27/ciera-reu-students-present-at-physcon/"/>
    <x v="28"/>
    <x v="0"/>
    <x v="12"/>
  </r>
  <r>
    <x v="381"/>
    <s v="Graduate Student Katie Breivik‚Äôs Paper Featured on AAS Nova"/>
    <x v="336"/>
    <s v="https://ciera.northwestern.edu/2016/11/26/graduate-student-katie-breiviks-paper-featured-on-aas-nova/"/>
    <x v="21"/>
    <x v="3"/>
    <x v="15"/>
  </r>
  <r>
    <x v="382"/>
    <s v="Rapid Fire Research Kicks Off"/>
    <x v="337"/>
    <s v="https://ciera.northwestern.edu/2016/11/01/rapid-fire-research-kicks-off/"/>
    <x v="1"/>
    <x v="0"/>
    <x v="55"/>
  </r>
  <r>
    <x v="383"/>
    <s v="CIERA REU Student Beverly Lowell Presents Research at Symposium"/>
    <x v="338"/>
    <s v="https://ciera.northwestern.edu/2016/10/31/ciera-reu-student-beverly-lowell-presents-research-at-symposium/"/>
    <x v="4"/>
    <x v="0"/>
    <x v="54"/>
  </r>
  <r>
    <x v="384"/>
    <s v="CIERA‚Äôs Board of Visitors Meets with Top University Officials"/>
    <x v="339"/>
    <s v="https://ciera.northwestern.edu/2016/10/30/cieras-board-of-visitors-meets-with-top-university-officials/"/>
    <x v="1"/>
    <x v="0"/>
    <x v="6"/>
  </r>
  <r>
    <x v="385"/>
    <s v="Dearborn Observatory Welcomes 1,500 During Architecture Festival"/>
    <x v="340"/>
    <s v="https://ciera.northwestern.edu/2016/10/17/dearborn-observatory-welcomes-1500-during-architecture-festival/"/>
    <x v="1"/>
    <x v="7"/>
    <x v="18"/>
  </r>
  <r>
    <x v="386"/>
    <s v="Gravity Spy: The New Gravitational-Wave Project Using Citizen Science"/>
    <x v="341"/>
    <s v="https://ciera.northwestern.edu/2016/10/14/gravity-spy-the-new-gravitational-wave-project-using-citizen-science/"/>
    <x v="0"/>
    <x v="4"/>
    <x v="56"/>
  </r>
  <r>
    <x v="387"/>
    <s v="Graduate Student Kyle Kremer Recognized for Exceptional Work at NSF Event"/>
    <x v="342"/>
    <s v="https://ciera.northwestern.edu/2016/10/03/graduate-student-kyle-kremer-recognized-for-exceptional-work-at-nsf-event/"/>
    <x v="1"/>
    <x v="0"/>
    <x v="1"/>
  </r>
  <r>
    <x v="388"/>
    <s v="Undergraduate Rebecca Diesing Honored with Oliver Marcy Scholarship"/>
    <x v="343"/>
    <s v="https://ciera.northwestern.edu/2016/10/01/undergraduate-rebecca-diesing-honored-with-oliver-marcy-scholarship/"/>
    <x v="1"/>
    <x v="0"/>
    <x v="12"/>
  </r>
  <r>
    <x v="389"/>
    <s v="Carl Rodriguez Awarded MIT Pappalardo Postdoctoral Fellowship in Physics"/>
    <x v="344"/>
    <s v="https://ciera.northwestern.edu/2016/09/30/carl-rodriguez-awarded-mit-pappalardo-postdoctoral-fellowship-in-physics/"/>
    <x v="1"/>
    <x v="0"/>
    <x v="0"/>
  </r>
  <r>
    <x v="390"/>
    <s v="CIERA‚Äôs Laura Sampson Wins L'Or√©al USA 2016 For Women in Science Fellowship"/>
    <x v="345"/>
    <s v="https://ciera.northwestern.edu/2016/09/27/cieras-laura-sampson-wins-loreal-usa-2016-for-women-in-science-fellowship/"/>
    <x v="0"/>
    <x v="3"/>
    <x v="0"/>
  </r>
  <r>
    <x v="391"/>
    <s v="CIERA Graduate Students Demonstrate Their Expertise in Seven Minutes or Less"/>
    <x v="346"/>
    <s v="https://ciera.northwestern.edu/2016/09/14/ciera-graduate-students-demonstrate-their-expertise-in-seven-minutes-or-less/"/>
    <x v="19"/>
    <x v="0"/>
    <x v="41"/>
  </r>
  <r>
    <x v="392"/>
    <s v="Dearborn Observatory and CIERA Contribute to NU STEM &amp; Sports Outreach Event"/>
    <x v="347"/>
    <s v="https://ciera.northwestern.edu/2016/09/13/dearborn-observatory-and-ciera-contribute-to-nu-stem-sports-outreach-event/"/>
    <x v="4"/>
    <x v="0"/>
    <x v="18"/>
  </r>
  <r>
    <x v="393"/>
    <s v="CIERA‚Äôs Fellows at the Frontiers 2016: Astronomy Research on the Cutting-edge"/>
    <x v="348"/>
    <s v="https://ciera.northwestern.edu/2016/09/02/cieras-fellows-at-the-frontiers-2016-astronomy-research-on-the-cutting-edge/"/>
    <x v="1"/>
    <x v="0"/>
    <x v="6"/>
  </r>
  <r>
    <x v="394"/>
    <s v="Raffaella Margutti Joins CIERA to Investigate the Biggest Explosions in Our Universe"/>
    <x v="349"/>
    <s v="https://ciera.northwestern.edu/2016/09/01/raffaella-margutti-joins-ciera-to-investigate-the-biggest-explosions-in-our-universe/"/>
    <x v="8"/>
    <x v="7"/>
    <x v="0"/>
  </r>
  <r>
    <x v="395"/>
    <s v="CIERA Hosts GNOME Data Analysis Bootcamp"/>
    <x v="350"/>
    <s v="https://ciera.northwestern.edu/2016/08/31/ciera-hosts-gnome-data-analysis-bootcamp/"/>
    <x v="1"/>
    <x v="0"/>
    <x v="57"/>
  </r>
  <r>
    <x v="396"/>
    <s v="REU Poster Session Celebrates Hard Work with Sweet Rewards"/>
    <x v="351"/>
    <s v="https://ciera.northwestern.edu/2016/08/30/reu-poster-session-celebrates-hard-work-with-sweet-rewards/"/>
    <x v="1"/>
    <x v="0"/>
    <x v="11"/>
  </r>
  <r>
    <x v="397"/>
    <s v="NASA Illinois Space Grant Recipients Present Their Summer Research Projects"/>
    <x v="352"/>
    <s v="https://ciera.northwestern.edu/2016/08/29/nasa-illinois-space-grant-recipients-present-their-summer-research-projects/"/>
    <x v="36"/>
    <x v="0"/>
    <x v="11"/>
  </r>
  <r>
    <x v="398"/>
    <s v="CIERA's 2016 Summer Student Researchers"/>
    <x v="353"/>
    <s v="https://ciera.northwestern.edu/2016/08/28/cieras-2016-summer-student-researchers/"/>
    <x v="1"/>
    <x v="0"/>
    <x v="32"/>
  </r>
  <r>
    <x v="399"/>
    <s v="CIERA Hosts Inaugural Cohort of New LSSTC Data Science Fellowship Program"/>
    <x v="354"/>
    <s v="https://ciera.northwestern.edu/2016/08/27/ciera-hosts-inaugural-cohort-of-new-lsstc-data-science-fellowship-program/"/>
    <x v="1"/>
    <x v="0"/>
    <x v="13"/>
  </r>
  <r>
    <x v="400"/>
    <s v="Physics and Astronomy Department Rising in Impact and Visibility"/>
    <x v="355"/>
    <s v="https://ciera.northwestern.edu/2016/07/30/physics-and-astronomy-department-rising-in-impact-and-visibility/"/>
    <x v="1"/>
    <x v="1"/>
    <x v="0"/>
  </r>
  <r>
    <x v="401"/>
    <s v="The Legacy of Scientific Discovery - by Mike Zevin, LIGO Graduate Student"/>
    <x v="356"/>
    <s v="https://ciera.northwestern.edu/2016/07/29/the-legacy-of-scientific-discovery-by-mike-zevin-ligo-graduate-student/"/>
    <x v="0"/>
    <x v="3"/>
    <x v="58"/>
  </r>
  <r>
    <x v="402"/>
    <s v="CIERA Students Awarded Funding for Summer Research and Illinois Space Grant Projects"/>
    <x v="357"/>
    <s v="https://ciera.northwestern.edu/2016/07/14/ciera-students-awarded-funding-for-summer-research-and-illinois-space-grant-projects/"/>
    <x v="1"/>
    <x v="0"/>
    <x v="54"/>
  </r>
  <r>
    <x v="403"/>
    <s v="Experts Share with CIERA REU Students at Career Panel Discussion"/>
    <x v="358"/>
    <s v="https://ciera.northwestern.edu/2016/07/13/experts-share-with-ciera-reu-students-at-career-panel-discussion/"/>
    <x v="5"/>
    <x v="0"/>
    <x v="59"/>
  </r>
  <r>
    <x v="404"/>
    <s v="CIERA Graduate Students Dazzle the Public at Ravinia‚Äôs Astronomy Night"/>
    <x v="358"/>
    <s v="https://ciera.northwestern.edu/2016/07/13/ciera-graduate-students-dazzle-the-public-at-ravinias-astronomy-night/"/>
    <x v="1"/>
    <x v="0"/>
    <x v="40"/>
  </r>
  <r>
    <x v="405"/>
    <s v="Data Science is Transforming Research at Northwestern-CIERA"/>
    <x v="359"/>
    <s v="https://ciera.northwestern.edu/2016/07/12/data-science-is-transforming-research-at-northwestern-ciera/"/>
    <x v="1"/>
    <x v="7"/>
    <x v="60"/>
  </r>
  <r>
    <x v="406"/>
    <s v="LIGO Team Announces Second Gravitational-Wave Event"/>
    <x v="360"/>
    <s v="https://ciera.northwestern.edu/2016/06/30/ligo-team-announces-second-gravitational-wave-event/"/>
    <x v="0"/>
    <x v="6"/>
    <x v="23"/>
  </r>
  <r>
    <x v="407"/>
    <s v="‚ÄòMosh Pits‚Äô in Star Clusters a Likely Source of LIGO‚Äôs First Black Holes"/>
    <x v="361"/>
    <s v="https://ciera.northwestern.edu/2016/06/29/mosh-pits-in-star-clusters-a-likely-source-of-ligos-first-black-holes/"/>
    <x v="9"/>
    <x v="6"/>
    <x v="2"/>
  </r>
  <r>
    <x v="408"/>
    <s v="Jian Cao Receives Manufacturing Medal"/>
    <x v="362"/>
    <s v="https://ciera.northwestern.edu/2016/06/27/jian-cao-receives-manufacturing-medal/"/>
    <x v="1"/>
    <x v="7"/>
    <x v="0"/>
  </r>
  <r>
    <x v="409"/>
    <s v="Graduate Students Participate in High School Research Project Showcase"/>
    <x v="363"/>
    <s v="https://ciera.northwestern.edu/2016/06/24/graduate-students-participate-in-high-school-research-project-showcase/"/>
    <x v="1"/>
    <x v="0"/>
    <x v="40"/>
  </r>
  <r>
    <x v="410"/>
    <s v="CIERA‚Äôs Farhad Yusef-Zadeh Leads Discussion of Milky Way Core at Science Caf√©"/>
    <x v="364"/>
    <s v="https://ciera.northwestern.edu/2016/06/01/cieras-farhad-yusef-zadeh-leads-discussion-of-milky-way-core-at-science-cafe/"/>
    <x v="6"/>
    <x v="0"/>
    <x v="16"/>
  </r>
  <r>
    <x v="411"/>
    <s v="CIERA Researchers Help Build a Far-Infrared Camera for SOFIA"/>
    <x v="365"/>
    <s v="https://ciera.northwestern.edu/2016/05/29/ciera-researchers-help-build-a-far-infrared-camera-for-sofia/"/>
    <x v="28"/>
    <x v="0"/>
    <x v="15"/>
  </r>
  <r>
    <x v="412"/>
    <s v="Graduate Student Makes Cosmic Music"/>
    <x v="366"/>
    <s v="https://ciera.northwestern.edu/2016/05/25/graduate-student-makes-cosmic-music/"/>
    <x v="1"/>
    <x v="0"/>
    <x v="5"/>
  </r>
  <r>
    <x v="413"/>
    <s v="Solar System Symphony Melds Music with Astronomy"/>
    <x v="367"/>
    <s v="https://ciera.northwestern.edu/2016/05/23/solar-system-symphony-melds-music-with-astronomy/"/>
    <x v="4"/>
    <x v="3"/>
    <x v="5"/>
  </r>
  <r>
    <x v="414"/>
    <s v="CIERA Director Vicky Kalogera Speaks at (En)Lightning Talks Chicago"/>
    <x v="368"/>
    <s v="https://ciera.northwestern.edu/2016/05/20/ciera-director-vicky-kalogera-speaks-at-enlightning-talks-chicago/"/>
    <x v="1"/>
    <x v="4"/>
    <x v="18"/>
  </r>
  <r>
    <x v="415"/>
    <s v="IDEAS Visits Capitol Hill: Attends Future STEM Leaders Conference"/>
    <x v="368"/>
    <s v="https://ciera.northwestern.edu/2016/05/20/ideas-visits-capitol-hill-attends-future-stem-leaders-conference/"/>
    <x v="1"/>
    <x v="0"/>
    <x v="59"/>
  </r>
  <r>
    <x v="416"/>
    <s v="Enthusiasm for Mercury Transit Despite Cloudy Skies"/>
    <x v="369"/>
    <s v="https://ciera.northwestern.edu/2016/05/19/enthusiasm-for-mercury-transit-despite-cloudy-skies/"/>
    <x v="1"/>
    <x v="0"/>
    <x v="40"/>
  </r>
  <r>
    <x v="417"/>
    <s v="See The Planets Of Our Solar System While Listening To 'The Planets'"/>
    <x v="370"/>
    <s v="https://ciera.northwestern.edu/2016/05/18/see-the-planets-of-our-solar-system-while-listening-to-the-planets/"/>
    <x v="4"/>
    <x v="3"/>
    <x v="5"/>
  </r>
  <r>
    <x v="418"/>
    <s v="CIERA Demonstrates the Beauty of Art and Science at the First Annual STEM-CON"/>
    <x v="371"/>
    <s v="https://ciera.northwestern.edu/2016/05/10/ciera-demonstrates-the-beauty-of-art-and-science-at-the-first-annual-stem-con/"/>
    <x v="1"/>
    <x v="0"/>
    <x v="11"/>
  </r>
  <r>
    <x v="419"/>
    <s v="CIERA Researcher Brings The Galaxy to the Classroom"/>
    <x v="372"/>
    <s v="https://ciera.northwestern.edu/2016/05/06/ciera-researcher-brings-the-galaxy-to-the-classroom/"/>
    <x v="1"/>
    <x v="0"/>
    <x v="40"/>
  </r>
  <r>
    <x v="420"/>
    <s v="Major Prizes for LIGO Founders and 1,012 Contributors to Gravitational-Wave Discovery"/>
    <x v="373"/>
    <s v="https://ciera.northwestern.edu/2016/05/01/major-prizes-for-ligo-founders-and-1012-contributors-to-gravitational-wave-discovery/"/>
    <x v="0"/>
    <x v="0"/>
    <x v="2"/>
  </r>
  <r>
    <x v="421"/>
    <s v="Ripples in Spacetime at Take Our Daughters &amp; Sons to Work Day"/>
    <x v="374"/>
    <s v="https://ciera.northwestern.edu/2016/04/30/ripples-in-spacetime-at-take-our-daughters-sons-to-work-day/"/>
    <x v="1"/>
    <x v="0"/>
    <x v="40"/>
  </r>
  <r>
    <x v="422"/>
    <s v="CIERA Presentations at National Science Foundation Site Visit"/>
    <x v="375"/>
    <s v="https://ciera.northwestern.edu/2016/04/29/ciera-presentations-at-national-science-foundation-site-visit/"/>
    <x v="1"/>
    <x v="7"/>
    <x v="6"/>
  </r>
  <r>
    <x v="423"/>
    <s v="CIERA Contributes to Northwestern‚Äôs Computational Research Day"/>
    <x v="376"/>
    <s v="https://ciera.northwestern.edu/2016/04/28/ciera-contributes-to-northwesterns-computational-research-day-2/"/>
    <x v="1"/>
    <x v="7"/>
    <x v="4"/>
  </r>
  <r>
    <x v="424"/>
    <s v="CIERA‚Äôs Carl Rodriguez Gives TEDx Talk"/>
    <x v="377"/>
    <s v="https://ciera.northwestern.edu/2016/04/25/cieras-carl-rodriguez-gives-tedx-talk/"/>
    <x v="0"/>
    <x v="7"/>
    <x v="55"/>
  </r>
  <r>
    <x v="425"/>
    <s v="CIERA Postdoctoral Fellow Laura Fissel Wins Prestigious Jansky Fellowship"/>
    <x v="378"/>
    <s v="https://ciera.northwestern.edu/2016/04/22/ciera-postdoctoral-fellow-laura-fissel-wins-prestigious-jansky-fellowship/"/>
    <x v="10"/>
    <x v="0"/>
    <x v="15"/>
  </r>
  <r>
    <x v="426"/>
    <s v="Roger Malina Discusses Hybrid Art-Sciences Practices at CIERA Spring Interdisciplinary Colloquium"/>
    <x v="379"/>
    <s v="https://ciera.northwestern.edu/2016/04/03/roger-malina-discusses-hybrid-art-sciences-practices-at-ciera-spring-interdisciplinary-colloquium/"/>
    <x v="1"/>
    <x v="0"/>
    <x v="7"/>
  </r>
  <r>
    <x v="427"/>
    <s v="CIERA‚Äôs Vicky Kalogera Named a &quot;Top Ten Northwestern Professor&quot; by College Magazine"/>
    <x v="380"/>
    <s v="https://ciera.northwestern.edu/2016/03/31/cieras-vicky-kalogera-named-a-top-ten-northwestern-professor-by-college-magazine/"/>
    <x v="1"/>
    <x v="3"/>
    <x v="0"/>
  </r>
  <r>
    <x v="428"/>
    <s v="CIERA‚Äôs Shane Larson Leads Gravitational Waves Discussion at Science Caf√©"/>
    <x v="381"/>
    <s v="https://ciera.northwestern.edu/2016/03/29/cieras-shane-larson-leads-gravitational-waves-discussion-at-science-cafe/"/>
    <x v="0"/>
    <x v="0"/>
    <x v="16"/>
  </r>
  <r>
    <x v="429"/>
    <s v="Kick-off of New Outreach Event Series: Astronomy on Tap Chicago"/>
    <x v="382"/>
    <s v="https://ciera.northwestern.edu/2016/03/01/kick-off-of-new-outreach-event-series-astronomy-on-tap-chicago/"/>
    <x v="1"/>
    <x v="0"/>
    <x v="18"/>
  </r>
  <r>
    <x v="430"/>
    <s v="The Chicago Network‚Äôs Panel on Space Encourages Girls to Pursue Careers in Science &amp; Technology"/>
    <x v="383"/>
    <s v="https://ciera.northwestern.edu/2016/02/28/the-chicago-networks-panel-on-space-encourages-girls-to-pursue-careers-in-science-technology/"/>
    <x v="1"/>
    <x v="0"/>
    <x v="6"/>
  </r>
  <r>
    <x v="431"/>
    <s v="&quot;Chicago Tonight&quot; Features CIERA's Vicky Kalogera and Shane Larson Discussing Major Research Discovery"/>
    <x v="384"/>
    <s v="https://ciera.northwestern.edu/2016/02/20/chicago-tonight-features-cieras-vicky-kalogera-and-shane-larson-discussing-major-research-discovery/"/>
    <x v="0"/>
    <x v="0"/>
    <x v="18"/>
  </r>
  <r>
    <x v="432"/>
    <s v="CIERA Contributes to the Historic First Detection of Gravitational Waves"/>
    <x v="385"/>
    <s v="https://ciera.northwestern.edu/2016/02/15/ciera-contributes-to-the-historic-first-detection-of-gravitational-waves/"/>
    <x v="0"/>
    <x v="6"/>
    <x v="2"/>
  </r>
  <r>
    <x v="433"/>
    <s v="Largest Ever Event for Graduate Student Speaker Series"/>
    <x v="386"/>
    <s v="https://ciera.northwestern.edu/2016/02/11/largest-ever-event-for-graduate-student-speaker-series/"/>
    <x v="1"/>
    <x v="0"/>
    <x v="40"/>
  </r>
  <r>
    <x v="434"/>
    <s v="Olivier Guyon Looks to Characterize Habitable Exoplanets: CIERA Winter Interdisciplinary Colloquium"/>
    <x v="387"/>
    <s v="https://ciera.northwestern.edu/2016/02/04/olivier-guyon-looks-to-characterize-habitable-exoplanets-ciera-winter-interdisciplinary-colloquium/"/>
    <x v="1"/>
    <x v="0"/>
    <x v="7"/>
  </r>
  <r>
    <x v="435"/>
    <s v="CIERA REU Student Eryn Cangi Wins Chambliss Medal for Research Poster at AAS"/>
    <x v="388"/>
    <s v="https://ciera.northwestern.edu/2016/01/30/ciera-reu-student-eryn-cangi-wins-chambliss-medal-for-research-poster-at-aas/"/>
    <x v="1"/>
    <x v="0"/>
    <x v="26"/>
  </r>
  <r>
    <x v="436"/>
    <s v="CIERA's Geller and Faucher-Gigu√®re Contribute to New Study in &quot;Nature&quot;"/>
    <x v="389"/>
    <s v="https://ciera.northwestern.edu/2016/01/29/cieras-geller-and-faucher-giguere-contribute-to-new-study-in-nature/"/>
    <x v="5"/>
    <x v="0"/>
    <x v="15"/>
  </r>
  <r>
    <x v="437"/>
    <s v="New Monthly Night at Dearborn Observatory with CIERA Astronomers"/>
    <x v="390"/>
    <s v="https://ciera.northwestern.edu/2016/01/27/new-monthly-night-at-dearborn-observatory-with-ciera-astronomers/"/>
    <x v="1"/>
    <x v="0"/>
    <x v="6"/>
  </r>
  <r>
    <x v="438"/>
    <s v="American Astronomical Society to Lead WorldWide Telescope"/>
    <x v="391"/>
    <s v="https://ciera.northwestern.edu/2016/01/10/american-astronomical-society-to-lead-worldwide-telescope/"/>
    <x v="1"/>
    <x v="4"/>
    <x v="14"/>
  </r>
  <r>
    <x v="439"/>
    <s v="CIERA Grad Student Brings the Stars to Her Hometown"/>
    <x v="392"/>
    <s v="https://ciera.northwestern.edu/2016/01/05/ciera-grad-student-brings-the-stars-to-her-hometown/"/>
    <x v="1"/>
    <x v="0"/>
    <x v="27"/>
  </r>
  <r>
    <x v="440"/>
    <s v="Integrated Data Science Certificate in Development at CIERA"/>
    <x v="393"/>
    <s v="https://ciera.northwestern.edu/2016/01/01/integrated-data-science-certificate-in-development-at-ciera/"/>
    <x v="1"/>
    <x v="0"/>
    <x v="61"/>
  </r>
  <r>
    <x v="441"/>
    <s v="AAAS Fellow Jeremy Ward Visits CIERA"/>
    <x v="394"/>
    <s v="https://ciera.northwestern.edu/2015/12/06/aaas-fellow-jeremy-ward-visits-ciera/"/>
    <x v="1"/>
    <x v="0"/>
    <x v="6"/>
  </r>
  <r>
    <x v="442"/>
    <s v="Professors Novak &amp; Sageman Named to 2015 Faculty Honor Roll"/>
    <x v="395"/>
    <s v="https://ciera.northwestern.edu/2015/11/30/professors-novak-sageman-named-to-2015-faculty-honor-roll/"/>
    <x v="1"/>
    <x v="0"/>
    <x v="0"/>
  </r>
  <r>
    <x v="443"/>
    <s v="CIERA's Shane Larson Participates in Gravitational Wave Google Hangout"/>
    <x v="396"/>
    <s v="https://ciera.northwestern.edu/2015/11/25/cieras-shane-larson-participates-in-gravitational-wave-google-hangout/"/>
    <x v="0"/>
    <x v="0"/>
    <x v="40"/>
  </r>
  <r>
    <x v="444"/>
    <s v="CIERA Graduate Students Speak at Local High School‚Äôs Women in STEM Event"/>
    <x v="396"/>
    <s v="https://ciera.northwestern.edu/2015/11/25/ciera-graduate-students-speak-at-local-high-schools-women-in-stem-event/"/>
    <x v="1"/>
    <x v="0"/>
    <x v="40"/>
  </r>
  <r>
    <x v="445"/>
    <s v="CIERA's Shane Larson Joins 2015-2016 WCAS Seminar Series for Staff"/>
    <x v="397"/>
    <s v="https://ciera.northwestern.edu/2015/11/22/cieras-shane-larson-joins-2015-2016-wcas-seminar-series-for-staff/"/>
    <x v="0"/>
    <x v="1"/>
    <x v="16"/>
  </r>
  <r>
    <x v="446"/>
    <s v="CIERA Director Vicky Kalogera to Join National Committee on Astronomy and Astrophysics"/>
    <x v="397"/>
    <s v="https://ciera.northwestern.edu/2015/11/22/ciera-director-vicky-kalogera-to-join-national-committee-on-astronomy-and-astrophysics/"/>
    <x v="5"/>
    <x v="0"/>
    <x v="0"/>
  </r>
  <r>
    <x v="447"/>
    <s v="CIERA Researchers Geller, Hwang and Rasio Win Award for &quot;Capturing the Beauty of Science&quot;, in the 2015 Northwestern Scientific Images Contest"/>
    <x v="398"/>
    <s v="https://ciera.northwestern.edu/2015/11/19/ciera-researchers-geller-hwang-and-rasio-win-award-for-capturing-the-beauty-of-science-in-the-2015-northwestern-scientific-images-contest/"/>
    <x v="1"/>
    <x v="1"/>
    <x v="1"/>
  </r>
  <r>
    <x v="448"/>
    <s v="Dennis Lehmkuhl Shares the History of Einstein's Discoveries at CIERA Fall Interdisciplinary Colloquium"/>
    <x v="399"/>
    <s v="https://ciera.northwestern.edu/2015/11/13/dennis-lehmkuhl-shares-the-history-of-einsteins-discoveries-at-ciera-fall-interdisciplinary-colloquium/"/>
    <x v="0"/>
    <x v="0"/>
    <x v="7"/>
  </r>
  <r>
    <x v="449"/>
    <s v="Stargazing with Local Dads and Daughters Outdoors Group"/>
    <x v="400"/>
    <s v="https://ciera.northwestern.edu/2015/11/11/stargazing-with-local-dads-and-daughters-outdoors-group/"/>
    <x v="1"/>
    <x v="0"/>
    <x v="40"/>
  </r>
  <r>
    <x v="450"/>
    <s v="CIERA's Michelle Paulsen and Katie Breivik Meet U.S. Congressman Bob Dold"/>
    <x v="401"/>
    <s v="https://ciera.northwestern.edu/2015/11/10/cieras-michelle-paulsen-and-katie-breivik-meet-u-s-congressman-bob-dold/"/>
    <x v="1"/>
    <x v="0"/>
    <x v="6"/>
  </r>
  <r>
    <x v="451"/>
    <s v="CIERA Seventh Annual Public Lecture: New Horizons Leader Alan Stern"/>
    <x v="402"/>
    <s v="https://ciera.northwestern.edu/2015/11/03/ciera-seventh-annual-public-lecture-new-horizons-leader-alan-stern/"/>
    <x v="4"/>
    <x v="0"/>
    <x v="40"/>
  </r>
  <r>
    <x v="452"/>
    <s v="CIERA Director Elected to LSSTC ExecBoard"/>
    <x v="403"/>
    <s v="https://ciera.northwestern.edu/2015/11/01/ciera-director-elected-to-lsstc-execboard/"/>
    <x v="1"/>
    <x v="0"/>
    <x v="0"/>
  </r>
  <r>
    <x v="453"/>
    <s v="CIERA Summer Research Student Continues to Communicate Work"/>
    <x v="404"/>
    <s v="https://ciera.northwestern.edu/2015/10/31/ciera-summer-research-student-continues-to-communicate-work/"/>
    <x v="6"/>
    <x v="0"/>
    <x v="16"/>
  </r>
  <r>
    <x v="454"/>
    <s v="Dearborn Observatory Featured in Open House Chicago 2015"/>
    <x v="405"/>
    <s v="https://ciera.northwestern.edu/2015/10/25/dearborn-observatory-featured-in-open-house-chicago-2015/"/>
    <x v="1"/>
    <x v="3"/>
    <x v="6"/>
  </r>
  <r>
    <x v="455"/>
    <s v="CIERA Director Awarded Prestigious APS 2016 Bethe Prize"/>
    <x v="406"/>
    <s v="https://ciera.northwestern.edu/2015/10/20/ciera-director-awarded-prestigious-aps-2016-bethe-prize/"/>
    <x v="0"/>
    <x v="6"/>
    <x v="0"/>
  </r>
  <r>
    <x v="456"/>
    <s v="CIERA‚Äôs Shane Larson Elected APS Fellow"/>
    <x v="407"/>
    <s v="https://ciera.northwestern.edu/2015/10/15/cieras-shane-larson-elected-aps-fellow/"/>
    <x v="1"/>
    <x v="0"/>
    <x v="0"/>
  </r>
  <r>
    <x v="457"/>
    <s v="2015 Midwest Relativity Meeting Hosted by CIERA"/>
    <x v="408"/>
    <s v="https://ciera.northwestern.edu/2015/10/05/2015-midwest-relativity-meeting-hosted-by-ciera/"/>
    <x v="0"/>
    <x v="0"/>
    <x v="16"/>
  </r>
  <r>
    <x v="458"/>
    <s v="CIERA Total Lunar Eclipse Party Helped Hundreds to Experience, Understand Rare Event"/>
    <x v="409"/>
    <s v="https://ciera.northwestern.edu/2015/09/30/ciera-total-lunar-eclipse-party-helped-hundreds-to-experience-understand-rare-event/"/>
    <x v="1"/>
    <x v="0"/>
    <x v="40"/>
  </r>
  <r>
    <x v="459"/>
    <s v="Boy Scouts and their Families visit Dearborn Observatory as part of NU Athletics STEM &amp; Sports Day"/>
    <x v="410"/>
    <s v="https://ciera.northwestern.edu/2015/09/13/boy-scouts-and-their-families-visit-dearborn-observatory-as-part-of-nu-athletics-stem-sports-day/"/>
    <x v="1"/>
    <x v="0"/>
    <x v="40"/>
  </r>
  <r>
    <x v="460"/>
    <s v="CIERA Presentations at RSG Seven Minutes of Science: An Interdisciplinary Symposium"/>
    <x v="411"/>
    <s v="https://ciera.northwestern.edu/2015/09/12/ciera-presentations-at-rsg-seven-minutes-of-science-an-interdisciplinary-symposium/"/>
    <x v="1"/>
    <x v="0"/>
    <x v="16"/>
  </r>
  <r>
    <x v="461"/>
    <s v="CIERA's 2015 Summer Student Researchers"/>
    <x v="412"/>
    <s v="https://ciera.northwestern.edu/2015/08/31/cieras-2015-summer-student-researchers/"/>
    <x v="1"/>
    <x v="0"/>
    <x v="32"/>
  </r>
  <r>
    <x v="462"/>
    <s v="CIERA Director Vicky Kalogera Speaks to Office for Research Staff"/>
    <x v="413"/>
    <s v="https://ciera.northwestern.edu/2015/08/30/ciera-director-vicky-kalogera-speaks-to-office-for-research-staff/"/>
    <x v="1"/>
    <x v="0"/>
    <x v="6"/>
  </r>
  <r>
    <x v="463"/>
    <s v="CIERA Study Predicts Detection of More Merging Black Holes Than Previously Thought"/>
    <x v="414"/>
    <s v="https://ciera.northwestern.edu/2015/07/30/ciera-study-predicts-detection-of-more-merging-black-holes-than-previously-thought/"/>
    <x v="2"/>
    <x v="6"/>
    <x v="2"/>
  </r>
  <r>
    <x v="464"/>
    <s v="Immediate Opening for Graduate Student: CIERA Keck Foundation Grant"/>
    <x v="415"/>
    <s v="https://ciera.northwestern.edu/2015/07/27/immediate-opening-for-graduate-student-ciera-keck-foundation-grant/"/>
    <x v="4"/>
    <x v="0"/>
    <x v="2"/>
  </r>
  <r>
    <x v="465"/>
    <s v="CIERA Undergraduate Researcher Accepted to Ph.D. Programs"/>
    <x v="416"/>
    <s v="https://ciera.northwestern.edu/2015/07/22/ciera-undergraduate-researcher-accepted-to-ph-d-programs/"/>
    <x v="1"/>
    <x v="0"/>
    <x v="0"/>
  </r>
  <r>
    <x v="466"/>
    <s v="CIERA Research Group Receives Time with Hubble Space Telescope"/>
    <x v="417"/>
    <s v="https://ciera.northwestern.edu/2015/07/20/ciera-research-group-receives-time-with-hubble-space-telescope/"/>
    <x v="6"/>
    <x v="4"/>
    <x v="15"/>
  </r>
  <r>
    <x v="467"/>
    <s v="Astronomy Club of the College of DuPage Visits CIERA"/>
    <x v="418"/>
    <s v="https://ciera.northwestern.edu/2015/07/12/astronomy-club-of-the-college-of-dupage-visits-ciera/"/>
    <x v="1"/>
    <x v="0"/>
    <x v="16"/>
  </r>
  <r>
    <x v="468"/>
    <s v="W.M. Keck Foundation Grant to NU Team Led by CIERA's Hooman Mohseni and Melville P. Ulmer"/>
    <x v="419"/>
    <s v="https://ciera.northwestern.edu/2015/07/04/w-m-keck-foundation-grant-to-nu-team-led-by-cieras-hooman-mohseni-and-melville-p-ulmer/"/>
    <x v="4"/>
    <x v="4"/>
    <x v="15"/>
  </r>
  <r>
    <x v="469"/>
    <s v="CIERA Shares with Local Children: Solar Observing and Careers in Astrophysics"/>
    <x v="420"/>
    <s v="https://ciera.northwestern.edu/2015/06/30/ciera-shares-with-local-children-solar-observing-and-careers-in-astrophysics/"/>
    <x v="1"/>
    <x v="0"/>
    <x v="40"/>
  </r>
  <r>
    <x v="470"/>
    <s v="Illinois Congressman Visits CIERA"/>
    <x v="421"/>
    <s v="https://ciera.northwestern.edu/2015/06/27/illinois-congressman-visits-ciera/"/>
    <x v="1"/>
    <x v="0"/>
    <x v="31"/>
  </r>
  <r>
    <x v="471"/>
    <s v="CIERA Helps the Adler Planetarium Celebrate the Summer of Science!"/>
    <x v="422"/>
    <s v="https://ciera.northwestern.edu/2015/06/15/ciera-helps-the-adler-planetarium-celebrate-the-summer-of-science/"/>
    <x v="1"/>
    <x v="0"/>
    <x v="40"/>
  </r>
  <r>
    <x v="472"/>
    <s v="NASA Fellowship Awarded to CIERA Graduate Student Sam Hadden"/>
    <x v="423"/>
    <s v="https://ciera.northwestern.edu/2015/06/10/nasa-fellowship-awarded-to-ciera-graduate-student-sam-hadden/"/>
    <x v="4"/>
    <x v="0"/>
    <x v="0"/>
  </r>
  <r>
    <x v="473"/>
    <s v="CIERA‚Äôs Doug Roberts Creates First Video Abstract for an Astrophysical Journal Letters Article"/>
    <x v="424"/>
    <s v="https://ciera.northwestern.edu/2015/06/05/cieras-doug-roberts-creates-first-video-abstract-for-an-astrophysical-journal-letters-article/"/>
    <x v="6"/>
    <x v="0"/>
    <x v="15"/>
  </r>
  <r>
    <x v="474"/>
    <s v="CIERA‚Äôs Melville P. Ulmer Receives Funding from NASA Innovative Advanced Concepts (NIAC)"/>
    <x v="425"/>
    <s v="https://ciera.northwestern.edu/2015/06/01/cieras-melville-p-ulmer-receives-funding-from-nasa-innovative-advanced-concepts-niac/"/>
    <x v="1"/>
    <x v="0"/>
    <x v="62"/>
  </r>
  <r>
    <x v="475"/>
    <m/>
    <x v="426"/>
    <s v="https://ciera.northwestern.edu/2015/05/31/3897/"/>
    <x v="1"/>
    <x v="0"/>
    <x v="12"/>
  </r>
  <r>
    <x v="476"/>
    <s v="Neil deGrasse Tyson Ignites CIERA Annual Public Lecture"/>
    <x v="427"/>
    <s v="https://ciera.northwestern.edu/2015/05/15/neil-degrasse-tyson-ignites-ciera-annual-public-lecture/"/>
    <x v="1"/>
    <x v="0"/>
    <x v="40"/>
  </r>
  <r>
    <x v="477"/>
    <s v="Professor Meyer Highlights Hubble's Contributions to Astronomy Education in CIERA Spring Interdisciplinary Colloquium"/>
    <x v="428"/>
    <s v="https://ciera.northwestern.edu/2015/04/30/professor-meyer-highlights-hubbles-contributions-to-astronomy-education-in-ciera-spring-interdisciplinary-colloquium/"/>
    <x v="1"/>
    <x v="0"/>
    <x v="16"/>
  </r>
  <r>
    <x v="478"/>
    <s v="CIERA Fellow Geller Wins First Prize in Data Visualization Challenge"/>
    <x v="429"/>
    <s v="https://ciera.northwestern.edu/2015/04/29/ciera-fellow-geller-wins-first-prize-in-data-visualization-challenge/"/>
    <x v="8"/>
    <x v="0"/>
    <x v="0"/>
  </r>
  <r>
    <x v="479"/>
    <s v="CIERA Co-Sponsors Computational Research Day Poster Session"/>
    <x v="430"/>
    <s v="https://ciera.northwestern.edu/2015/04/25/ciera-co-sponsors-computational-research-day-poster-session/"/>
    <x v="1"/>
    <x v="7"/>
    <x v="63"/>
  </r>
  <r>
    <x v="480"/>
    <s v="Professor Yusef-Zadeh and Colleagues See Evidence of Star Formation Near Galaxy's Supermassive Black Hole"/>
    <x v="431"/>
    <s v="https://ciera.northwestern.edu/2015/04/24/professor-yusef-zadeh-and-colleagues-see-evidence-of-star-formation-near-galaxys-supermassive-black-hole/"/>
    <x v="8"/>
    <x v="0"/>
    <x v="15"/>
  </r>
  <r>
    <x v="481"/>
    <s v="Two NSF Graduate Fellowships Awarded to NU Astronomy Students"/>
    <x v="432"/>
    <s v="https://ciera.northwestern.edu/2015/04/18/two-nsf-graduate-fellowships-awarded-to-nu-astronomy-students/"/>
    <x v="4"/>
    <x v="0"/>
    <x v="0"/>
  </r>
  <r>
    <x v="482"/>
    <s v="CIERA-based Team Awarded 5-year NSF &quot;Research Traineeship&quot; Grant"/>
    <x v="433"/>
    <s v="https://ciera.northwestern.edu/2015/04/10/ciera-based-team-awarded-5-year-nsf-research-traineeship-grant/"/>
    <x v="1"/>
    <x v="4"/>
    <x v="36"/>
  </r>
  <r>
    <x v="483"/>
    <s v="Middle School Girls on a Mission to Space!"/>
    <x v="434"/>
    <s v="https://ciera.northwestern.edu/2015/03/31/middle-school-girls-on-a-mission-to-space/"/>
    <x v="1"/>
    <x v="0"/>
    <x v="40"/>
  </r>
  <r>
    <x v="484"/>
    <s v="Dave Meyer to speak at &quot;A Day With Northwestern 2015&quot;"/>
    <x v="435"/>
    <s v="https://ciera.northwestern.edu/2015/03/29/dave-meyer-to-speak-at-a-day-with-northwestern-2015/"/>
    <x v="1"/>
    <x v="7"/>
    <x v="17"/>
  </r>
  <r>
    <x v="485"/>
    <s v="CIERA to Welcome Four New Postdocs in Fall 2015"/>
    <x v="436"/>
    <s v="https://ciera.northwestern.edu/2015/03/19/ciera-to-welcome-four-new-postdocs-in-fall-2015/"/>
    <x v="1"/>
    <x v="0"/>
    <x v="0"/>
  </r>
  <r>
    <x v="486"/>
    <s v="Summer Undergraduate Student Success Stories: CIERA Alumni"/>
    <x v="437"/>
    <s v="https://ciera.northwestern.edu/2015/03/01/summer-undergraduate-student-success-stories-ciera-alumni/"/>
    <x v="1"/>
    <x v="0"/>
    <x v="32"/>
  </r>
  <r>
    <x v="487"/>
    <s v="CIERA Professors Lithwick and Motter Recognized in NU Research Annual Report"/>
    <x v="438"/>
    <s v="https://ciera.northwestern.edu/2015/02/28/ciera-professors-lithwick-and-motter-recognized-in-nu-research-annual-report/"/>
    <x v="4"/>
    <x v="1"/>
    <x v="64"/>
  </r>
  <r>
    <x v="488"/>
    <s v="LSST Project Accepts New Mirror Surfaces"/>
    <x v="439"/>
    <s v="https://ciera.northwestern.edu/2015/02/27/lsst-project-accepts-new-mirror-surfaces/"/>
    <x v="1"/>
    <x v="4"/>
    <x v="2"/>
  </r>
  <r>
    <x v="489"/>
    <s v="From Chemistry Labs to Star Forming Regions in the Galaxy: Astrochemistry at the CIERA Winter Interdisciplinary Colloquium"/>
    <x v="440"/>
    <s v="https://ciera.northwestern.edu/2015/02/26/from-chemistry-labs-to-star-forming-regions-in-the-galaxy-astrochemistry-at-the-ciera-winter-interdisciplinary-colloquium/"/>
    <x v="1"/>
    <x v="0"/>
    <x v="7"/>
  </r>
  <r>
    <x v="490"/>
    <s v="Don Geci, CIERA High-School Summer Student, Accepted to Princeton"/>
    <x v="441"/>
    <s v="https://ciera.northwestern.edu/2015/02/20/don-geci-ciera-high-school-summer-student-accepted-to-princeton/"/>
    <x v="4"/>
    <x v="0"/>
    <x v="0"/>
  </r>
  <r>
    <x v="491"/>
    <s v="CIERA Fellow Chatterjee helps show `Vulcan‚Äô planets follow predictions of new theory"/>
    <x v="442"/>
    <s v="https://ciera.northwestern.edu/2015/02/17/ciera-fellow-chatterjee-helps-show-vulcan-planets-follow-predictions-of-new-theory/"/>
    <x v="4"/>
    <x v="6"/>
    <x v="2"/>
  </r>
  <r>
    <x v="492"/>
    <s v="LIGO Generations: New Documentary on Gravitational Wave Astronomy"/>
    <x v="443"/>
    <s v="https://ciera.northwestern.edu/2015/02/10/ligo-generations-new-documentary-on-gravitational-wave-astronomy/"/>
    <x v="0"/>
    <x v="5"/>
    <x v="16"/>
  </r>
  <r>
    <x v="493"/>
    <s v="CIERA Graduate Student Meagan Morscher Wins Martin and Beate Block Award"/>
    <x v="444"/>
    <s v="https://ciera.northwestern.edu/2015/02/05/ciera-graduate-student-meagan-morscher-wins-martin-and-beate-block-award/"/>
    <x v="2"/>
    <x v="0"/>
    <x v="26"/>
  </r>
  <r>
    <x v="494"/>
    <s v="Join Einstein Evenings throughout 2015"/>
    <x v="445"/>
    <s v="https://ciera.northwestern.edu/2015/01/25/join-einstein-evenings-throughout-2015/"/>
    <x v="1"/>
    <x v="0"/>
    <x v="40"/>
  </r>
  <r>
    <x v="495"/>
    <s v="Large Synoptic Survey Telescope Project Celebrates Successful Completion of its Unique Mirror"/>
    <x v="446"/>
    <s v="https://ciera.northwestern.edu/2015/01/11/large-synoptic-survey-telescope-project-celebrates-successful-completion-of-its-unique-mirror/"/>
    <x v="1"/>
    <x v="4"/>
    <x v="65"/>
  </r>
  <r>
    <x v="496"/>
    <s v="Annual Jamboree Summarizes CIERA's Diverse Research with Postdoc &amp; Graduate Student Talks"/>
    <x v="447"/>
    <s v="https://ciera.northwestern.edu/2014/12/15/annual-jamboree-summarizes-cieras-diverse-research-with-postdoc-graduate-student-talks/"/>
    <x v="6"/>
    <x v="0"/>
    <x v="6"/>
  </r>
  <r>
    <x v="497"/>
    <s v="CIERA Astronomers Provide Strong Support for The Adler Planetarium Girls do Hack Event Saturday, November 15th"/>
    <x v="448"/>
    <s v="https://ciera.northwestern.edu/2014/11/16/ciera-astronomers-provide-strong-support-for-the-adler-planetarium-girls-do-hack-event-saturday-november-15th/"/>
    <x v="1"/>
    <x v="0"/>
    <x v="41"/>
  </r>
  <r>
    <x v="498"/>
    <s v="CIERA Staff, Faculty, and Students Speak at 6th Annual Statewide OSEP STEM Summit"/>
    <x v="449"/>
    <s v="https://ciera.northwestern.edu/2014/11/06/ciera-staff-faculty-and-students-speak-at-6th-annual-statewide-osep-stem-summit/"/>
    <x v="1"/>
    <x v="7"/>
    <x v="58"/>
  </r>
  <r>
    <x v="499"/>
    <s v="`Kits and Cats' Celebrates Community Connections; &quot;Reach for the Stars&quot; Plays Key Role"/>
    <x v="450"/>
    <s v="https://ciera.northwestern.edu/2014/11/02/kits-and-cats-celebrates-community-connections-reach-for-the-stars-plays-key-role/"/>
    <x v="1"/>
    <x v="7"/>
    <x v="66"/>
  </r>
  <r>
    <x v="500"/>
    <s v="CIERA Fall Interdisciplinary Talk Highlights Computation in Plasma Astrophysics"/>
    <x v="451"/>
    <s v="https://ciera.northwestern.edu/2014/10/31/ciera-fall-interdisciplinary-talk-highlights-computation-in-plasma-astrophysics/"/>
    <x v="2"/>
    <x v="0"/>
    <x v="63"/>
  </r>
  <r>
    <x v="501"/>
    <s v="Attendees Cheer at Partial Solar Eclipse Event on October 23rd, 2014"/>
    <x v="452"/>
    <s v="https://ciera.northwestern.edu/2014/10/27/attendees-cheer-at-partial-solar-eclipse-event-on-october-23rd-2014/"/>
    <x v="1"/>
    <x v="6"/>
    <x v="67"/>
  </r>
  <r>
    <x v="502"/>
    <s v="Prof. Dave Meyer Delivers New Video Course on Space Astronomy"/>
    <x v="453"/>
    <s v="https://ciera.northwestern.edu/2014/10/20/prof-dave-meyer-delivers-new-video-course-on-space-astronomy/"/>
    <x v="1"/>
    <x v="4"/>
    <x v="55"/>
  </r>
  <r>
    <x v="503"/>
    <s v="CIERA Professor Fred Rasio Appointed to KITP Advisory Board"/>
    <x v="454"/>
    <s v="https://ciera.northwestern.edu/2014/10/03/ciera-professor-fred-rasio-appointed-to-kitp-advisory-board/"/>
    <x v="1"/>
    <x v="0"/>
    <x v="1"/>
  </r>
  <r>
    <x v="504"/>
    <s v="CIERA Postdoctoral Fellows Geller &amp; Hicks Win Awards for ‚ÄúCapturing the Beauty of Science‚Äù"/>
    <x v="455"/>
    <s v="https://ciera.northwestern.edu/2014/09/30/ciera-postdoctoral-fellows-geller-hicks-win-awards-for-capturing-the-beauty-of-science/"/>
    <x v="17"/>
    <x v="7"/>
    <x v="62"/>
  </r>
  <r>
    <x v="505"/>
    <s v="CIERA Helps Host Boy Scouts and Families for &quot;NU STEM &amp; Sports&quot; Event"/>
    <x v="455"/>
    <s v="https://ciera.northwestern.edu/2014/09/30/ciera-helps-host-boy-scouts-and-families-for-nu-stem-sports-event/"/>
    <x v="1"/>
    <x v="7"/>
    <x v="40"/>
  </r>
  <r>
    <x v="506"/>
    <s v="CIERA Postdoc Francesca Valsecchi and Colleagues Link Hot Super-Earths to Hot Jupiters"/>
    <x v="456"/>
    <s v="https://ciera.northwestern.edu/2014/09/25/ciera-postdoc-francesca-valsecchi-and-colleagues-link-hot-super-earths-to-hot-jupiters/"/>
    <x v="4"/>
    <x v="0"/>
    <x v="15"/>
  </r>
  <r>
    <x v="507"/>
    <s v="Professor Meyer Named to 2014 Faculty Honor Roll"/>
    <x v="457"/>
    <s v="https://ciera.northwestern.edu/2014/09/09/professor-meyer-named-to-2014-faculty-honor-roll/"/>
    <x v="1"/>
    <x v="0"/>
    <x v="0"/>
  </r>
  <r>
    <x v="508"/>
    <s v="New Issue of ‚ÄúLIGO Magazine‚Äù Celebrates Major Instrument Milestone"/>
    <x v="458"/>
    <s v="https://ciera.northwestern.edu/2014/08/31/new-issue-of-ligo-magazine-celebrates-major-instrument-milestone/"/>
    <x v="0"/>
    <x v="4"/>
    <x v="15"/>
  </r>
  <r>
    <x v="509"/>
    <s v="Experts on X-Ray Optics Meet at Northwestern, Discuss Next-Generation Space Telescopes"/>
    <x v="459"/>
    <s v="https://ciera.northwestern.edu/2014/08/27/experts-on-x-ray-optics-meet-at-northwestern-discuss-next-generation-space-telescopes/"/>
    <x v="1"/>
    <x v="0"/>
    <x v="23"/>
  </r>
  <r>
    <x v="510"/>
    <s v="National Science Foundation Agrees to Fund LSST Project"/>
    <x v="460"/>
    <s v="https://ciera.northwestern.edu/2014/08/22/national-science-foundation-agrees-to-fund-lsst-project/"/>
    <x v="1"/>
    <x v="4"/>
    <x v="15"/>
  </r>
  <r>
    <x v="511"/>
    <s v="CIERA's 2014 Summer Student Researchers"/>
    <x v="461"/>
    <s v="https://ciera.northwestern.edu/2014/08/17/cieras-2014-summer-student-researchers/"/>
    <x v="1"/>
    <x v="0"/>
    <x v="19"/>
  </r>
  <r>
    <x v="512"/>
    <s v="CIERA Hosts Galaxy Formation Workshop"/>
    <x v="462"/>
    <s v="https://ciera.northwestern.edu/2014/08/01/ciera-hosts-galaxy-formation-workshop/"/>
    <x v="6"/>
    <x v="0"/>
    <x v="68"/>
  </r>
  <r>
    <x v="513"/>
    <s v="Graduate Student Inspires Students Through Art"/>
    <x v="463"/>
    <s v="https://ciera.northwestern.edu/2014/07/29/graduate-student-inspires-students-through-art/"/>
    <x v="1"/>
    <x v="5"/>
    <x v="40"/>
  </r>
  <r>
    <x v="514"/>
    <s v="The Science that Shared Buzz Aldrin‚Äôs Space Selfie"/>
    <x v="464"/>
    <s v="https://ciera.northwestern.edu/2014/07/27/the-science-that-shared-buzz-aldrins-space-selfie/"/>
    <x v="1"/>
    <x v="3"/>
    <x v="2"/>
  </r>
  <r>
    <x v="515"/>
    <s v="CIERA Director Elected Trustee of Aspen Center for Physics"/>
    <x v="465"/>
    <s v="https://ciera.northwestern.edu/2014/07/15/ciera-director-elected-trustee-of-aspen-center-for-physics/"/>
    <x v="1"/>
    <x v="0"/>
    <x v="0"/>
  </r>
  <r>
    <x v="516"/>
    <s v="CIERA‚Äôs Shane Larson Called In As Expert On ‚ÄúCityhenge‚Äù"/>
    <x v="466"/>
    <s v="https://ciera.northwestern.edu/2014/07/10/cieras-shane-larson-called-in-as-expert-on-cityhenge/"/>
    <x v="1"/>
    <x v="4"/>
    <x v="69"/>
  </r>
  <r>
    <x v="517"/>
    <s v="Six CIERA Students Awarded Illinois Space Grant Consortium Scholarships to Advance their Research"/>
    <x v="467"/>
    <s v="https://ciera.northwestern.edu/2014/07/06/six-ciera-students-awarded-illinois-space-grant-consortium-scholarships-to-advance-their-research/"/>
    <x v="1"/>
    <x v="0"/>
    <x v="54"/>
  </r>
  <r>
    <x v="518"/>
    <s v="CIERA Postdoc Explores Black Holes in BBC Magazine Feature"/>
    <x v="468"/>
    <s v="https://ciera.northwestern.edu/2014/07/01/ciera-postdoc-explores-black-holes-in-bbc-magazine-feature/"/>
    <x v="2"/>
    <x v="4"/>
    <x v="15"/>
  </r>
  <r>
    <x v="519"/>
    <s v="CIERA Graduate Student Carl Rodriguez Produces Astronomy Film for Jackson Hole Science Media Film Festival"/>
    <x v="469"/>
    <s v="https://ciera.northwestern.edu/2014/06/30/ciera-graduate-student-carl-rodriguez-produces-astronomy-film-for-jackson-hole-science-media-film-festival/"/>
    <x v="2"/>
    <x v="4"/>
    <x v="1"/>
  </r>
  <r>
    <x v="520"/>
    <s v="Paper Co-Authored by Ben Farr and Former CIERA Members Reviewed on Astrobites"/>
    <x v="470"/>
    <s v="https://ciera.northwestern.edu/2014/06/15/paper-co-authored-by-ben-farr-and-former-ciera-members-reviewed-on-astrobites/"/>
    <x v="0"/>
    <x v="4"/>
    <x v="15"/>
  </r>
  <r>
    <x v="521"/>
    <s v="CIERA Research Students and Judges Featured at Northwestern University High School Project Showcase"/>
    <x v="471"/>
    <s v="https://ciera.northwestern.edu/2014/06/03/ciera-research-students-and-judges-featured-at-northwestern-university-high-school-project-showcase/"/>
    <x v="1"/>
    <x v="4"/>
    <x v="51"/>
  </r>
  <r>
    <x v="522"/>
    <s v="CIERA Research Students and Judges Featured at Northwestern University High School Project Showcase"/>
    <x v="471"/>
    <s v="https://ciera.northwestern.edu/2014/06/03/ciera-research-students-and-judges-featured-at-northwestern-university-high-school-project-showcase-2/"/>
    <x v="1"/>
    <x v="0"/>
    <x v="40"/>
  </r>
  <r>
    <x v="523"/>
    <s v="Nine Students Awarded Funding from Weinberg College and Illinois Space Grant"/>
    <x v="472"/>
    <s v="https://ciera.northwestern.edu/2014/06/01/nine-students-awarded-funding-from-weinberg-college-and-illinois-space-grant/"/>
    <x v="1"/>
    <x v="0"/>
    <x v="27"/>
  </r>
  <r>
    <x v="524"/>
    <s v="CIERA Graduate Students Morscher and Schwartz Meet with Over 100 2nd Grade Students"/>
    <x v="473"/>
    <s v="https://ciera.northwestern.edu/2014/05/31/ciera-graduate-students-morscher-and-schwartz-meet-with-over-100-2nd-grade-students/"/>
    <x v="1"/>
    <x v="0"/>
    <x v="40"/>
  </r>
  <r>
    <x v="525"/>
    <s v="CIERA Postdoctoral Fellow Daryl Haggard Participates in a Role Model Panel at &quot;Futures Unlimited&quot; Event"/>
    <x v="474"/>
    <s v="https://ciera.northwestern.edu/2014/05/29/ciera-postdoctoral-fellow-daryl-haggard-participates-in-a-role-model-panel-at-futures-unlimited-event/"/>
    <x v="1"/>
    <x v="0"/>
    <x v="17"/>
  </r>
  <r>
    <x v="526"/>
    <s v="Giles Novak Appointed as the New Faculty Director of the Tech Instrument Shop"/>
    <x v="475"/>
    <s v="https://ciera.northwestern.edu/2014/05/27/giles-novak-appointed-as-the-new-faculty-director-of-the-tech-instrument-shop/"/>
    <x v="1"/>
    <x v="0"/>
    <x v="1"/>
  </r>
  <r>
    <x v="527"/>
    <s v="CIERA Postdoctoral Fellow Daryl Haggard Featured in Physics Central Podcast"/>
    <x v="476"/>
    <s v="https://ciera.northwestern.edu/2014/05/25/ciera-postdoctoral-fellow-daryl-haggard-featured-in-physics-central-podcast/"/>
    <x v="2"/>
    <x v="4"/>
    <x v="68"/>
  </r>
  <r>
    <x v="528"/>
    <s v="Josh Bloom Presents CIERA Spring Interdisciplinary Colloquium on Machine Learning in Astronomy"/>
    <x v="477"/>
    <s v="https://ciera.northwestern.edu/2014/05/08/josh-bloom-presents-ciera-spring-interdisciplinary-colloquium-on-machine-learning-in-astronomy/"/>
    <x v="1"/>
    <x v="0"/>
    <x v="4"/>
  </r>
  <r>
    <x v="529"/>
    <s v="Ben Farr Successfully Defends Thesis"/>
    <x v="478"/>
    <s v="https://ciera.northwestern.edu/2014/05/05/ben-farr-successfully-defends-thesis/"/>
    <x v="0"/>
    <x v="5"/>
    <x v="15"/>
  </r>
  <r>
    <x v="530"/>
    <s v="CIERA Director Vicky Kalogera Featured in Weinberg Magazine Article Encouraging Women in STEM Fields"/>
    <x v="479"/>
    <s v="https://ciera.northwestern.edu/2014/05/04/ciera-director-vicky-kalogera-featured-in-weinberg-magazine-article-encouraging-women-in-stem-fields/"/>
    <x v="1"/>
    <x v="7"/>
    <x v="22"/>
  </r>
  <r>
    <x v="531"/>
    <s v="Postdoctoral Fellow Haggard talks with Representatives on Capitol Hill as part of HEAD Executive Committee"/>
    <x v="480"/>
    <s v="https://ciera.northwestern.edu/2014/05/02/postdoctoral-fellow-haggard-talks-with-representatives-on-capitol-hill-as-part-of-head-executive-committee/"/>
    <x v="1"/>
    <x v="0"/>
    <x v="22"/>
  </r>
  <r>
    <x v="532"/>
    <s v="Undergraduate Student Scotty Coughlin Awarded Fulbright Scholarship"/>
    <x v="481"/>
    <s v="https://ciera.northwestern.edu/2014/05/01/undergraduate-student-scotty-coughlin-awarded-fulbright-scholarship/"/>
    <x v="1"/>
    <x v="0"/>
    <x v="0"/>
  </r>
  <r>
    <x v="533"/>
    <s v="CIERA Sponsors Poster Session at Northwestern's Computational Research Day"/>
    <x v="482"/>
    <s v="https://ciera.northwestern.edu/2014/04/30/ciera-sponsors-poster-session-at-northwesterns-computational-research-day/"/>
    <x v="1"/>
    <x v="0"/>
    <x v="7"/>
  </r>
  <r>
    <x v="534"/>
    <s v="CIERA Mentored High-School Student wins First Place in Space Science at the Northeastern Science and Engineering Fair"/>
    <x v="483"/>
    <s v="https://ciera.northwestern.edu/2014/04/27/ciera-mentored-high-school-student-wins-first-place-in-space-science-at-the-northeastern-science-and-engineering-fair/"/>
    <x v="2"/>
    <x v="0"/>
    <x v="26"/>
  </r>
  <r>
    <x v="535"/>
    <s v="&quot;LIGO -- A Passion for Understanding&quot; Documentary Released April 15th"/>
    <x v="484"/>
    <s v="https://ciera.northwestern.edu/2014/04/25/ligo-a-passion-for-understanding-documentary-released-april-15th/"/>
    <x v="0"/>
    <x v="4"/>
    <x v="33"/>
  </r>
  <r>
    <x v="536"/>
    <s v="CIERA Fifth Annual Public Lecture: Prof. Maria Zuber Introduces the &quot;New Moon&quot;"/>
    <x v="485"/>
    <s v="https://ciera.northwestern.edu/2014/04/04/ciera-fifth-annual-public-lecture-prof-maria-zuber-introduces-the-new-moon/"/>
    <x v="4"/>
    <x v="0"/>
    <x v="18"/>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r>
    <x v="537"/>
    <m/>
    <x v="486"/>
    <m/>
    <x v="1"/>
    <x v="5"/>
    <x v="7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n v="8271"/>
    <s v="Postdoc Caitlin Witt named finalist of Cecilia Payne-Gaposchkin Thesis Award"/>
    <d v="2023-04-28T00:00:00"/>
    <s v="https://ciera.northwestern.edu/2023/04/28/postdoc-caitlin-witt-named-finalist-of-cecilia-payne-gaposchkin-thesis-award/"/>
    <s v="Gravitational Waves &amp; Multi-Messenger Astronomy"/>
    <s v="CIERA Stories"/>
    <s v="Achievement"/>
    <x v="0"/>
  </r>
  <r>
    <n v="8247"/>
    <s v="CIERA Associate Faculty Jian Cao Elected to American Academy of Arts and Sciences"/>
    <d v="2023-04-25T00:00:00"/>
    <s v="https://ciera.northwestern.edu/2023/04/25/ciera-associate-faculty-jian-cao-elected-to-american-academy-of-arts-and-sciences/"/>
    <m/>
    <s v="Northwestern Press"/>
    <s v="Achievement|Interdisciplinary"/>
    <x v="0"/>
  </r>
  <r>
    <n v="8250"/>
    <s v="Medium-sized black holes eat stars like messy toddlers"/>
    <d v="2023-04-25T00:00:00"/>
    <s v="https://ciera.northwestern.edu/2023/04/25/medium-sized-black-holes-eat-stars-like-messy-toddlers/"/>
    <s v="Black Holes &amp; Dead Stars"/>
    <s v="Northwestern Press"/>
    <s v="Science"/>
    <x v="0"/>
  </r>
  <r>
    <n v="8223"/>
    <s v="CIERA Connections: Ben Nelson on careers in data science"/>
    <d v="2023-04-20T00:00:00"/>
    <s v="https://ciera.northwestern.edu/2023/04/20/ciera-connections-ben-nelson-on-careers-in-data-science/"/>
    <m/>
    <s v="CIERA Stories"/>
    <s v="Education|Event|Interdisciplinary|Data Science &amp; Computing"/>
    <x v="0"/>
  </r>
  <r>
    <n v="8226"/>
    <s v="Data Science Challenges in Gravitational Wave Surveys: a CIERA Interdisciplinary Colloquium by Tyson Littenburg"/>
    <d v="2023-04-20T00:00:00"/>
    <s v="https://ciera.northwestern.edu/2023/04/20/data-science-challenges-in-gravitational-wave-surveys-a-ciera-interdisciplinary-colloquium-by-tyson-littenburg/"/>
    <s v="Gravitational Waves &amp; Multi-Messenger Astronomy"/>
    <s v="CIERA Stories"/>
    <s v="Event|Interdisciplinary|Data Science &amp; Computing"/>
    <x v="0"/>
  </r>
  <r>
    <n v="8204"/>
    <s v="Introducing CIERA's Eleven New Postdocs!"/>
    <d v="2023-04-18T00:00:00"/>
    <s v="https://ciera.northwestern.edu/2023/04/18/introducing-cieras-eleven-new-postdocs/"/>
    <s v="Black Holes &amp; Dead Stars|Exoplanets &amp; The Solar System|Galaxies &amp; Cosmology|Gravitational Waves &amp; Multi-Messenger Astronomy|Life &amp; Death of Stars|Stellar Dynamics &amp; Stellar Populations"/>
    <s v="CIERA Stories"/>
    <s v="Achievement"/>
    <x v="0"/>
  </r>
  <r>
    <n v="8173"/>
    <s v="Star Eyes outreach initiative communicates new science through new music"/>
    <d v="2023-04-17T00:00:00"/>
    <s v="https://ciera.northwestern.edu/2023/04/17/star-eyes-outreach-initiative-communicates-new-science-through-new-music/"/>
    <s v="Gravitational Waves &amp; Multi-Messenger Astronomy"/>
    <s v="CIERA Stories"/>
    <s v="Event|Outreach|Interdisciplinary"/>
    <x v="0"/>
  </r>
  <r>
    <n v="8166"/>
    <s v="International LIGO-Virgo-KAGRA Collaboration Meeting hosted by CIERA"/>
    <d v="2023-04-14T00:00:00"/>
    <s v="https://ciera.northwestern.edu/2023/04/14/international-ligo-virgo-kagra-collaboration-meeting-hosted-by-ciera/"/>
    <s v="Gravitational Waves &amp; Multi-Messenger Astronomy"/>
    <s v="CIERA Stories"/>
    <s v="Event"/>
    <x v="0"/>
  </r>
  <r>
    <n v="8153"/>
    <s v="Origin, Evolution and Habitability of Planet Earth: a CIERA Interdisciplinary Colloquium by David Bercovici"/>
    <d v="2023-04-04T00:00:00"/>
    <s v="https://ciera.northwestern.edu/2023/04/04/origin-evolution-and-habitability-of-planet-earth-a-ciera-interdisciplinary-colloquium-by-david-bercovici/"/>
    <s v="Exoplanets &amp; The Solar System"/>
    <s v="CIERA Stories"/>
    <s v="Event|Interdisciplinary"/>
    <x v="0"/>
  </r>
  <r>
    <n v="8085"/>
    <s v="Climate of Mars, past and future: a CIERA Interdisciplinary Colloquium by Edwin Kite"/>
    <d v="2023-03-28T00:00:00"/>
    <s v="https://ciera.northwestern.edu/2023/03/28/climate-of-mars-past-and-future-a-ciera-interdisciplinary-colloquium-by-edwin-kite/"/>
    <s v="Exoplanets &amp; The Solar System"/>
    <s v="CIERA Stories"/>
    <s v="Event|Interdisciplinary"/>
    <x v="0"/>
  </r>
  <r>
    <n v="8125"/>
    <s v="REU Student Claire Zwicker Wins Chambliss Honorable Mention for Research Poster at AAS"/>
    <d v="2023-03-28T00:00:00"/>
    <s v="https://ciera.northwestern.edu/2023/03/28/reu-student-claire-zwicker-wins-chambliss-honorable-mention-for-research-poster-at-aas/"/>
    <s v="Stellar Dynamics &amp; Stellar Populations"/>
    <s v="CIERA Stories"/>
    <s v="Education|Achievement|Interdisciplinary|Data Science &amp; Computing"/>
    <x v="0"/>
  </r>
  <r>
    <n v="8131"/>
    <s v="Northwestern to host gravitational-wave researchers from around the globe"/>
    <d v="2023-03-08T00:00:00"/>
    <s v="https://ciera.northwestern.edu/2023/03/08/northwestern-to-host-gravitational-wave-researchers-from-around-the-globe/"/>
    <s v="Gravitational Waves &amp; Multi-Messenger Astronomy"/>
    <s v="Northwestern Press"/>
    <s v="Event"/>
    <x v="0"/>
  </r>
  <r>
    <n v="8054"/>
    <s v="Postdoc Anna Childs discusses M-dwarfs on SETI Live Broadcast"/>
    <d v="2023-02-16T00:00:00"/>
    <s v="https://ciera.northwestern.edu/2023/02/16/postdoc-anna-childs-discusses-m-dwarfs-on-seti-live-broadcast/"/>
    <s v="Exoplanets &amp; The Solar System"/>
    <s v="CIERA Stories"/>
    <s v="Event|Science|Outreach"/>
    <x v="0"/>
  </r>
  <r>
    <n v="8056"/>
    <s v="CIERA Alum Daniel Angl√©s-Alc√°zar wins Cottrell Scholar Award"/>
    <d v="2023-02-16T00:00:00"/>
    <s v="https://ciera.northwestern.edu/2023/02/16/ciera-alum-daniel-angles-alcazar-wins-cottrell-scholar-award/"/>
    <s v="Galaxies &amp; Cosmology"/>
    <s v="CIERA Stories"/>
    <s v="Achievement"/>
    <x v="0"/>
  </r>
  <r>
    <n v="8061"/>
    <s v="Wen-fai Fong named ‚ÄòRising Star‚Äô by Astronomy Magazine"/>
    <d v="2023-02-16T00:00:00"/>
    <s v="https://ciera.northwestern.edu/2023/02/16/wen-fai-fong-named-rising-star-by-astronomy-magazine/"/>
    <s v="Black Holes &amp; Dead Stars"/>
    <s v="Northwestern Press|External Press"/>
    <s v="Achievement"/>
    <x v="0"/>
  </r>
  <r>
    <n v="8015"/>
    <s v="Graduate student's photos of green comet featured in major media outlets"/>
    <d v="2023-02-03T00:00:00"/>
    <s v="https://ciera.northwestern.edu/2023/02/03/green-comet-visible-in-the-night-sky-for-first-time-since-stone-age-makes-its-closest-pass-by-earth/"/>
    <s v="Galaxies &amp; Cosmology"/>
    <s v="External Press"/>
    <s v="Science"/>
    <x v="0"/>
  </r>
  <r>
    <n v="7996"/>
    <s v="Watch distant worlds dance around their sun"/>
    <d v="2023-01-31T00:00:00"/>
    <s v="https://ciera.northwestern.edu/2023/01/31/watch-distant-worlds-dance-around-their-sun/"/>
    <s v="Exoplanets &amp; The Solar System"/>
    <s v="Northwestern Press"/>
    <s v="Science|Outreach"/>
    <x v="0"/>
  </r>
  <r>
    <n v="7954"/>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x v="0"/>
  </r>
  <r>
    <n v="7916"/>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x v="0"/>
  </r>
  <r>
    <n v="7918"/>
    <s v="Ultracool dwarf binary stars break records"/>
    <d v="2023-01-17T00:00:00"/>
    <s v="https://ciera.northwestern.edu/2023/01/17/ultracool-dwarf-binary-stars-break-records/"/>
    <s v="Life &amp; Death of Stars"/>
    <s v="Northwestern Press"/>
    <s v="Science"/>
    <x v="0"/>
  </r>
  <r>
    <n v="7914"/>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x v="0"/>
  </r>
  <r>
    <n v="7894"/>
    <s v="Professor Dave Meyer retires after 35 years at Northwestern"/>
    <d v="2023-01-11T00:00:00"/>
    <s v="https://ciera.northwestern.edu/2023/01/11/professor-dave-meyer-retires-after-35-years-at-northwestern/"/>
    <m/>
    <s v="CIERA Stories"/>
    <s v="Achievement"/>
    <x v="0"/>
  </r>
  <r>
    <n v="7881"/>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x v="0"/>
  </r>
  <r>
    <n v="7797"/>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x v="0"/>
  </r>
  <r>
    <n v="7845"/>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x v="0"/>
  </r>
  <r>
    <n v="7765"/>
    <s v="CIERA Interdisciplinary Colloquium: Enectal√≠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x v="0"/>
  </r>
  <r>
    <n v="7757"/>
    <s v="REU Site Directors Meeting Led by CIERA's Aaron Geller"/>
    <d v="2022-12-08T00:00:00"/>
    <s v="https://ciera.northwestern.edu/2022/12/08/reu-site-directors-meeting-led-by-ciera-member/"/>
    <m/>
    <s v="CIERA Stories"/>
    <s v="Education|Event|Interdisciplinary"/>
    <x v="0"/>
  </r>
  <r>
    <n v="7768"/>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x v="0"/>
  </r>
  <r>
    <n v="7744"/>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x v="0"/>
  </r>
  <r>
    <n v="7735"/>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x v="0"/>
  </r>
  <r>
    <n v="7705"/>
    <s v="ALMA Data Reduction Workshop"/>
    <d v="2022-11-14T00:00:00"/>
    <s v="https://ciera.northwestern.edu/2022/11/14/alma-data-reduction-workshop/"/>
    <m/>
    <s v="CIERA Stories"/>
    <s v="Education|Event"/>
    <x v="0"/>
  </r>
  <r>
    <n v="7706"/>
    <s v="Explore the Cosmos with CIERA"/>
    <d v="2022-11-11T00:00:00"/>
    <s v="https://ciera.northwestern.edu/2022/11/11/explore-the-cosmos-with-ciera/"/>
    <m/>
    <s v="CIERA Stories"/>
    <s v="Achievement|Event|Outreach"/>
    <x v="0"/>
  </r>
  <r>
    <n v="7711"/>
    <s v="What makes gamma-ray bursts blink on and off?"/>
    <d v="2022-11-08T00:00:00"/>
    <s v="https://ciera.northwestern.edu/2022/11/08/what-makes-gamma-ray-bursts-blink-on-and-off/"/>
    <m/>
    <s v="External Press"/>
    <s v="Science"/>
    <x v="0"/>
  </r>
  <r>
    <n v="7634"/>
    <s v="Carolyn Porco Presents 13th Annual CIERA Public Lecture"/>
    <d v="2022-11-07T00:00:00"/>
    <s v="https://ciera.northwestern.edu/2022/11/07/carolyn-porco-presents-13th-annual-ciera-public-lecture/"/>
    <s v="Exoplanets &amp; The Solar System"/>
    <s v="CIERA Stories"/>
    <s v="Event|Outreach"/>
    <x v="0"/>
  </r>
  <r>
    <n v="7698"/>
    <s v="CIERA Hosts SEDM &amp; ZTF"/>
    <d v="2022-11-04T00:00:00"/>
    <s v="https://ciera.northwestern.edu/2022/11/04/ciera-hosts-sedm-ztf/"/>
    <s v="Life &amp; Death of Stars"/>
    <s v="CIERA Stories"/>
    <s v="Event"/>
    <x v="0"/>
  </r>
  <r>
    <n v="7657"/>
    <s v="CIERA Alum Carl Rodriguez wins Packard Fellowship"/>
    <d v="2022-10-20T00:00:00"/>
    <s v="https://ciera.northwestern.edu/2022/10/20/ciera-alum-carl-rodriguez-wins-packard-fellowship/"/>
    <s v="Gravitational Waves &amp; Multi-Messenger Astronomy|Stellar Dynamics &amp; Stellar Populations"/>
    <s v="CIERA Stories"/>
    <s v="Achievement"/>
    <x v="0"/>
  </r>
  <r>
    <n v="7643"/>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x v="0"/>
  </r>
  <r>
    <n v="7631"/>
    <s v="The 2023 APS Francis M. Pipkin Award Has Been Given to Andrew Geraci"/>
    <d v="2022-10-13T00:00:00"/>
    <s v="https://ciera.northwestern.edu/2022/10/13/the-2023-aps-francis-m-pipkin-award-has-been-given-to-andrew-geraci/"/>
    <m/>
    <s v="CIERA Stories"/>
    <s v="Achievement"/>
    <x v="0"/>
  </r>
  <r>
    <n v="7610"/>
    <s v="CIERA welcomes DSFP back to Northwestern"/>
    <d v="2022-10-12T00:00:00"/>
    <s v="https://ciera.northwestern.edu/2022/10/12/ciera-welcomes-dsfp-back-to-northwestern/"/>
    <m/>
    <s v="CIERA Stories"/>
    <s v="Education|Event|Interdisciplinary|Data Science &amp; Computing"/>
    <x v="0"/>
  </r>
  <r>
    <n v="7355"/>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x v="0"/>
  </r>
  <r>
    <n v="7350"/>
    <s v="CIERA Postdocs Advance to New Positions"/>
    <d v="2022-09-14T00:00:00"/>
    <s v="https://ciera.northwestern.edu/2022/09/14/ciera-postdocs-advance-to-new-positions-4/"/>
    <m/>
    <s v="CIERA Stories"/>
    <s v="Achievement"/>
    <x v="0"/>
  </r>
  <r>
    <n v="7358"/>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x v="0"/>
  </r>
  <r>
    <n v="7400"/>
    <s v="CIERA Welcomes New Faculty Members: Allison Strom and Jason Wang"/>
    <d v="2022-09-06T00:00:00"/>
    <s v="https://ciera.northwestern.edu/2022/09/06/ciera-welcomes-new-faculty-members-allison-strom-and-jason-wang/"/>
    <s v="Exoplanets &amp; The Solar System|Galaxies &amp; Cosmology"/>
    <s v="CIERA Stories"/>
    <s v="Achievement"/>
    <x v="0"/>
  </r>
  <r>
    <n v="7357"/>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x v="0"/>
  </r>
  <r>
    <n v="7385"/>
    <s v="Northwestern astrophysicist contributes to Webb‚Äôs first exoplanet image"/>
    <d v="2022-09-01T00:00:00"/>
    <s v="https://ciera.northwestern.edu/2022/09/01/northwestern-astrophysicist-contributes-to-webbs-first-exoplanet-image/"/>
    <s v="Exoplanets &amp; The Solar System"/>
    <s v="Northwestern Press|External Press"/>
    <s v="Science"/>
    <x v="0"/>
  </r>
  <r>
    <n v="7376"/>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x v="0"/>
  </r>
  <r>
    <n v="7359"/>
    <s v="X-shaped radio galaxies might form more simply than expected"/>
    <d v="2022-08-29T00:00:00"/>
    <s v="https://ciera.northwestern.edu/2022/08/29/x-shaped-radio-galaxies-might-form-more-simply-than-expected/"/>
    <s v="Black Holes &amp; Dead Stars|Galaxies &amp; Cosmology"/>
    <s v="Northwestern Press"/>
    <s v="Science"/>
    <x v="0"/>
  </r>
  <r>
    <n v="7449"/>
    <s v="A quick jump into space ‚Äî and back ‚Äî for pictures of ‚Äòstar stuff‚Äô"/>
    <d v="2022-08-29T00:00:00"/>
    <s v="https://ciera.northwestern.edu/2022/08/29/a-quick-jump-into-space-and-back-for-pictures-of-star-stuff/"/>
    <s v="Black Holes &amp; Dead Stars|Life &amp; Death of Stars"/>
    <s v="Northwestern Press"/>
    <s v="Science|Interdisciplinary"/>
    <x v="0"/>
  </r>
  <r>
    <n v="7305"/>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x v="0"/>
  </r>
  <r>
    <n v="7306"/>
    <s v="Women astronomers leading the revolution"/>
    <d v="2022-08-11T00:00:00"/>
    <s v="https://ciera.northwestern.edu/2022/08/11/women-astronomers-leading-the-revolution/"/>
    <s v="Gravitational Waves &amp; Multi-Messenger Astronomy"/>
    <s v="CIERA Stories"/>
    <s v="Achievement|Outreach"/>
    <x v="0"/>
  </r>
  <r>
    <n v="7325"/>
    <s v="Northwestern rocket to image supernova remnant"/>
    <d v="2022-08-11T00:00:00"/>
    <s v="https://ciera.northwestern.edu/2022/08/11/northwestern-rocket-to-image-supernova-remnant/"/>
    <s v="Black Holes &amp; Dead Stars|Life &amp; Death of Stars"/>
    <s v="Northwestern Press"/>
    <s v="Event|Science"/>
    <x v="0"/>
  </r>
  <r>
    <n v="7296"/>
    <s v="Stars determine their own masses"/>
    <d v="2022-08-08T00:00:00"/>
    <s v="https://ciera.northwestern.edu/2022/08/08/stars-determine-their-own-masses/"/>
    <s v="Life &amp; Death of Stars"/>
    <s v="Northwestern Press|External Press"/>
    <s v="Science"/>
    <x v="0"/>
  </r>
  <r>
    <n v="7285"/>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x v="0"/>
  </r>
  <r>
    <n v="7265"/>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x v="0"/>
  </r>
  <r>
    <n v="7243"/>
    <s v="CIERA student's paper highlighted by NASA's SOFIA Science Center"/>
    <d v="2022-07-08T00:00:00"/>
    <s v="https://ciera.northwestern.edu/2022/07/08/ciera-students-paper-highlighted-by-nasas-sofia-science-center/"/>
    <s v="Life &amp; Death of Stars"/>
    <s v="External Press"/>
    <s v="Science"/>
    <x v="0"/>
  </r>
  <r>
    <n v="7223"/>
    <s v="Falling stardust, wobbly jets explain blinking gamma ray bursts"/>
    <d v="2022-06-29T00:00:00"/>
    <s v="https://ciera.northwestern.edu/2022/06/29/falling-stardust-wobbly-jets-explain-blinking-gamma-ray-bursts/"/>
    <s v="Black Holes &amp; Dead Stars"/>
    <s v="Northwestern Press"/>
    <s v="Science"/>
    <x v="0"/>
  </r>
  <r>
    <n v="7196"/>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x v="0"/>
  </r>
  <r>
    <n v="7205"/>
    <s v="SCOPE Program rising in numbers and influence"/>
    <d v="2022-06-21T00:00:00"/>
    <s v="https://ciera.northwestern.edu/2022/06/21/scope-program-rising-in-numbers-and-influence/"/>
    <m/>
    <s v="CIERA Stories"/>
    <s v="Education|Interdisciplinary"/>
    <x v="0"/>
  </r>
  <r>
    <n v="7177"/>
    <s v="Wandering star disrupts stellar nursery"/>
    <d v="2022-06-13T00:00:00"/>
    <s v="https://ciera.northwestern.edu/2022/06/13/wandering-star-disrupts-stellar-nursery/"/>
    <s v="Life &amp; Death of Stars"/>
    <s v="Northwestern Press|External Press"/>
    <s v="Science"/>
    <x v="0"/>
  </r>
  <r>
    <n v="7157"/>
    <s v="May 15 Lunar Eclipse Public Viewing"/>
    <d v="2022-06-08T00:00:00"/>
    <s v="https://ciera.northwestern.edu/2022/06/08/may-15-lunar-eclipse-public-viewing/"/>
    <m/>
    <s v="CIERA Stories|External Press"/>
    <s v="Event|Outreach"/>
    <x v="0"/>
  </r>
  <r>
    <n v="7155"/>
    <s v="Alex Gurvich Wins Northwestern's Data Visualization Contest"/>
    <d v="2022-06-07T00:00:00"/>
    <s v="https://ciera.northwestern.edu/2022/06/07/alex-gurvich-wins-northwesterns-data-visualization-contest/"/>
    <s v="Galaxies &amp; Cosmology"/>
    <s v="CIERA Stories"/>
    <s v="Achievement|Data Science &amp; Computing"/>
    <x v="0"/>
  </r>
  <r>
    <n v="7162"/>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x v="0"/>
  </r>
  <r>
    <n v="7146"/>
    <s v="CIERA'S Inaugural Astronomy Night Out"/>
    <d v="2022-05-20T00:00:00"/>
    <s v="https://ciera.northwestern.edu/2022/05/20/cieras-inaugural-astronomy-night-out/"/>
    <s v="Life &amp; Death of Stars"/>
    <s v="CIERA Stories"/>
    <s v="Event|Outreach"/>
    <x v="0"/>
  </r>
  <r>
    <n v="7104"/>
    <s v="Tarraneh Eftekhari Named NASA Einstein Fellow"/>
    <d v="2022-05-03T00:00:00"/>
    <s v="https://ciera.northwestern.edu/2022/05/03/tarraneh-eftekhari-named-nasa-einstein-fellow/"/>
    <s v="Life &amp; Death of Stars"/>
    <s v="CIERA Stories"/>
    <s v="Achievement"/>
    <x v="0"/>
  </r>
  <r>
    <n v="7084"/>
    <s v="Erin Cox Awarded NSF MPS-Ascend Fellowship"/>
    <d v="2022-04-29T00:00:00"/>
    <s v="https://ciera.northwestern.edu/2022/04/29/erin-cox-awarded-nsf-mps-ascend-fellowship/"/>
    <s v="Life &amp; Death of Stars"/>
    <s v="CIERA Stories"/>
    <s v="Achievement"/>
    <x v="0"/>
  </r>
  <r>
    <n v="7066"/>
    <s v="Dying Stars‚Äô Cocoons Might Explain Fast Blue Optical Transients"/>
    <d v="2022-04-20T00:00:00"/>
    <s v="https://ciera.northwestern.edu/2022/04/20/dying-stars-cocoons-might-explain-fast-blue-optical-transients/"/>
    <s v="Life &amp; Death of Stars"/>
    <s v="Northwestern Press|External Press"/>
    <s v="Science"/>
    <x v="0"/>
  </r>
  <r>
    <n v="7060"/>
    <s v="ALMA Community Day"/>
    <d v="2022-04-18T00:00:00"/>
    <s v="https://ciera.northwestern.edu/2022/04/18/alma-community-day/"/>
    <s v="Black Holes &amp; Dead Stars|Exoplanets &amp; The Solar System"/>
    <s v="CIERA Stories"/>
    <s v="Achievement|Event"/>
    <x v="0"/>
  </r>
  <r>
    <n v="7040"/>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x v="0"/>
  </r>
  <r>
    <n v="7031"/>
    <s v="Monica Gallegos Garcia Selected for 2022 Bouchet Honor Society"/>
    <d v="2022-04-06T00:00:00"/>
    <s v="https://ciera.northwestern.edu/2022/04/06/monica-gallegos-garcia-selected-for-2022-bouchet-honor-society/"/>
    <m/>
    <s v="CIERA Stories"/>
    <s v="Achievement"/>
    <x v="0"/>
  </r>
  <r>
    <n v="7033"/>
    <s v="CIERA Astronomers Travel to Mexico to Install TolTEC Camera"/>
    <d v="2022-04-06T00:00:00"/>
    <s v="https://ciera.northwestern.edu/2022/04/06/ciera-astronomers-travel-to-mexico-to-install-toltec-camera/"/>
    <s v="Life &amp; Death of Stars"/>
    <s v="CIERA Stories"/>
    <s v="Science"/>
    <x v="0"/>
  </r>
  <r>
    <n v="7024"/>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x v="0"/>
  </r>
  <r>
    <n v="6999"/>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x v="0"/>
  </r>
  <r>
    <n v="6944"/>
    <s v="Kilonova afterglow potentially spotted for first time"/>
    <d v="2022-02-28T00:00:00"/>
    <s v="https://ciera.northwestern.edu/2022/02/28/kilonova-afterglow-potentially-spotted-for-first-time/"/>
    <s v="Gravitational Waves &amp; Multi-Messenger Astronomy|Life &amp; Death of Stars"/>
    <s v="Northwestern Press"/>
    <s v="Science"/>
    <x v="0"/>
  </r>
  <r>
    <n v="6926"/>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x v="0"/>
  </r>
  <r>
    <n v="6919"/>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x v="0"/>
  </r>
  <r>
    <n v="6885"/>
    <s v="Wen-fai Fong named Sloan Research Fellow"/>
    <d v="2022-02-15T00:00:00"/>
    <s v="https://ciera.northwestern.edu/2022/02/15/six-northwestern-professors-named-sloan-research-fellows/"/>
    <s v="Life &amp; Death of Stars"/>
    <s v="Northwestern Press"/>
    <s v="Achievement"/>
    <x v="0"/>
  </r>
  <r>
    <n v="6871"/>
    <s v="Wen-fai Fong receives Cottrell Scholar Award"/>
    <d v="2022-02-09T00:00:00"/>
    <s v="https://ciera.northwestern.edu/2022/02/09/wen-fai-fong-receives-cottrell-scholar-award/"/>
    <s v="Life &amp; Death of Stars"/>
    <s v="Northwestern Press"/>
    <s v="Education|Achievement"/>
    <x v="0"/>
  </r>
  <r>
    <n v="6828"/>
    <s v="Nearly 1,000 mysterious strands revealed in Milky Way‚Äôs center"/>
    <d v="2022-01-26T00:00:00"/>
    <s v="https://ciera.northwestern.edu/2022/01/26/nearly-1000-mysterious-strands-revealed-in-milky-ways-center/"/>
    <s v="Galaxies &amp; Cosmology"/>
    <s v="Northwestern Press"/>
    <s v="Science"/>
    <x v="0"/>
  </r>
  <r>
    <n v="6776"/>
    <s v="Astronomers capture red supergiant‚Äôs death throes"/>
    <d v="2022-01-06T00:00:00"/>
    <s v="https://ciera.northwestern.edu/2022/01/06/astronomers-capture-red-supergiants-death-throes/"/>
    <s v="Life &amp; Death of Stars"/>
    <s v="Northwestern Press"/>
    <s v="Science"/>
    <x v="0"/>
  </r>
  <r>
    <n v="6747"/>
    <s v="Looking forward to a huge leap in space exploration"/>
    <d v="2021-12-17T00:00:00"/>
    <s v="https://ciera.northwestern.edu/2021/12/17/looking-forward-to-a-huge-leap-in-space-exploration/"/>
    <s v="Black Holes &amp; Dead Stars|Galaxies &amp; Cosmology"/>
    <s v="Northwestern Press"/>
    <s v="Achievement|Science"/>
    <x v="0"/>
  </r>
  <r>
    <n v="6642"/>
    <s v="Black holes of ‚Äòall shapes and sizes‚Äô in new gravitational-wave catalog"/>
    <d v="2021-11-08T00:00:00"/>
    <s v="https://ciera.northwestern.edu/2021/11/08/black-holes-of-all-shapes-and-sizes-in-new-gravitational-wave-catalog/"/>
    <s v="Gravitational Waves &amp; Multi-Messenger Astronomy"/>
    <s v="Northwestern Press|External Press"/>
    <s v="Science"/>
    <x v="0"/>
  </r>
  <r>
    <n v="6606"/>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x v="0"/>
  </r>
  <r>
    <n v="6664"/>
    <s v="Phil Plait Presents 12th Annual CIERA Public Lecture"/>
    <d v="2021-10-21T00:00:00"/>
    <s v="https://ciera.northwestern.edu/2021/10/21/phil-plait-presents-12th-annual-ciera-public-lecture/"/>
    <s v="Exoplanets &amp; The Solar System"/>
    <s v="CIERA Stories"/>
    <s v="Event|Outreach"/>
    <x v="0"/>
  </r>
  <r>
    <n v="6435"/>
    <s v="Another Successful CIERA REU Program in the Books!"/>
    <d v="2021-10-20T00:00:00"/>
    <s v="https://ciera.northwestern.edu/2021/10/20/another-successful-ciera-reu-program-in-the-books/"/>
    <m/>
    <s v="CIERA Stories"/>
    <s v="Education|Interdisciplinary"/>
    <x v="0"/>
  </r>
  <r>
    <n v="6436"/>
    <s v="REACH Continues to Grow!"/>
    <d v="2021-10-20T00:00:00"/>
    <s v="https://ciera.northwestern.edu/2021/10/20/reach-continues-to-grow/"/>
    <m/>
    <s v="CIERA Stories"/>
    <s v="Education|Outreach"/>
    <x v="0"/>
  </r>
  <r>
    <n v="6556"/>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x v="0"/>
  </r>
  <r>
    <n v="6553"/>
    <s v="Professor Wen-fai Fong Receives Prestigious Packard Fellowship"/>
    <d v="2021-10-14T00:00:00"/>
    <s v="https://ciera.northwestern.edu/2021/10/14/professor-wen-fai-fong-receives-prestigious-packard-fellowship/"/>
    <s v="Galaxies &amp; Cosmology|Life &amp; Death of Stars"/>
    <s v="Northwestern Press"/>
    <s v="Achievement"/>
    <x v="0"/>
  </r>
  <r>
    <n v="6358"/>
    <s v="Luke Kelley Awarded Cottrell Fellowship"/>
    <d v="2021-09-08T00:00:00"/>
    <s v="https://ciera.northwestern.edu/2021/09/08/luke-kelley-awarded-cottrell-fellowship/"/>
    <s v="Black Holes &amp; Dead Stars|Gravitational Waves &amp; Multi-Messenger Astronomy"/>
    <s v="CIERA Stories"/>
    <s v="Achievement"/>
    <x v="0"/>
  </r>
  <r>
    <n v="6662"/>
    <s v="CIERA Welcomes New Faculty Member Adam Miller"/>
    <d v="2021-09-01T00:00:00"/>
    <s v="https://ciera.northwestern.edu/2021/09/01/ciera-welcomes-new-faculty-member-adam-miller/"/>
    <s v="Life &amp; Death of Stars"/>
    <s v="CIERA Stories"/>
    <s v="Achievement"/>
    <x v="0"/>
  </r>
  <r>
    <n v="6326"/>
    <s v="CIERA Members Win 2nd Place for JSPG Policy Position Paper"/>
    <d v="2021-08-30T00:00:00"/>
    <s v="https://ciera.northwestern.edu/2021/08/30/ciera-members-win-2nd-place-for-jspg-policy-position-paper/"/>
    <m/>
    <s v="Northwestern Press"/>
    <s v="Achievement|Interdisciplinary"/>
    <x v="0"/>
  </r>
  <r>
    <n v="6267"/>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x v="0"/>
  </r>
  <r>
    <n v="6264"/>
    <s v="Social scientists, astrophysicists to probe the Universe‚Äôs deepest mysteries"/>
    <d v="2021-08-16T00:00:00"/>
    <s v="https://ciera.northwestern.edu/2021/08/16/social-scientists-astrophysicists-to-probe-the-universes-deepest-mysteries/"/>
    <m/>
    <s v="Northwestern Press"/>
    <s v="Interdisciplinary|Data Science &amp; Computing"/>
    <x v="0"/>
  </r>
  <r>
    <n v="6180"/>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x v="0"/>
  </r>
  <r>
    <n v="6094"/>
    <s v="Intense radio blasts traced to galaxies‚Äô spiral arms"/>
    <d v="2021-05-20T00:00:00"/>
    <s v="https://ciera.northwestern.edu/2021/05/20/intense-radio-blasts-traced-to-galaxies-spiral-arms/"/>
    <s v="Life &amp; Death of Stars"/>
    <s v="Northwestern Press|External Press"/>
    <s v="Science"/>
    <x v="0"/>
  </r>
  <r>
    <n v="6083"/>
    <s v="Postdoctoral Fellow Mike Grudiƒá Awarded NASA Hubble Fellowship"/>
    <d v="2021-05-18T00:00:00"/>
    <s v="https://ciera.northwestern.edu/2021/05/18/postdoctoral-fellow-mike-grudic-awarded-nasa-hubble-fellowship/"/>
    <s v="Galaxies &amp; Cosmology|Stellar Dynamics &amp; Stellar Populations"/>
    <s v="CIERA Stories"/>
    <s v="Achievement"/>
    <x v="0"/>
  </r>
  <r>
    <n v="6073"/>
    <s v="Alumnus Dr. K. Chris Oh Integrates Physics Education in his Career"/>
    <d v="2021-05-17T00:00:00"/>
    <s v="https://ciera.northwestern.edu/2021/05/17/alumnus-dr-k-chris-oh-integrates-physics-education-in-his-career/"/>
    <m/>
    <s v="Northwestern Press"/>
    <s v="Education|Outreach|Interdisciplinary"/>
    <x v="0"/>
  </r>
  <r>
    <n v="6078"/>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x v="0"/>
  </r>
  <r>
    <n v="6033"/>
    <s v="‚ÄòOddball supernova‚Äô appears strangely cool before exploding"/>
    <d v="2021-05-05T00:00:00"/>
    <s v="https://ciera.northwestern.edu/2021/05/05/oddball-supernova-appears-strangely-cool-before-exploding/"/>
    <s v="Life &amp; Death of Stars"/>
    <s v="Northwestern Press|External Press"/>
    <s v="Science"/>
    <x v="0"/>
  </r>
  <r>
    <n v="6028"/>
    <s v="James Kasting Presents Joint Interdisciplinary Colloquium"/>
    <d v="2021-05-03T00:00:00"/>
    <s v="https://ciera.northwestern.edu/2021/05/03/james-kasting-presents-joint-interdisciplinary-colloquium/"/>
    <s v="Exoplanets &amp; The Solar System"/>
    <s v="CIERA Stories"/>
    <s v="Event|Interdisciplinary"/>
    <x v="0"/>
  </r>
  <r>
    <n v="6008"/>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x v="0"/>
  </r>
  <r>
    <n v="5979"/>
    <s v="Vicky Kalogera Elected to American Academy of Arts and Sciences"/>
    <d v="2021-04-23T00:00:00"/>
    <s v="https://ciera.northwestern.edu/2021/04/23/vicky-kalogera-elected-to-american-academy-of-arts-and-sciences/"/>
    <s v="Gravitational Waves &amp; Multi-Messenger Astronomy"/>
    <s v="Northwestern Press"/>
    <s v="Achievement"/>
    <x v="0"/>
  </r>
  <r>
    <n v="5958"/>
    <s v="NSF Graduate Fellowships Awarded to Astronomy Students"/>
    <d v="2021-04-19T00:00:00"/>
    <s v="https://ciera.northwestern.edu/2021/04/19/nsf-graduate-research-fellowships-2021/"/>
    <m/>
    <s v="CIERA Stories"/>
    <s v="Education|Achievement"/>
    <x v="0"/>
  </r>
  <r>
    <n v="6010"/>
    <s v="American Physical Society Elects Professors Margutti and Larson to Committees"/>
    <d v="2021-04-17T00:00:00"/>
    <s v="https://ciera.northwestern.edu/2021/04/17/american-physical-society-elects-professors-margutti-and-larson-to-committees/"/>
    <m/>
    <s v="CIERA Stories"/>
    <s v="Achievement"/>
    <x v="0"/>
  </r>
  <r>
    <n v="5939"/>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x v="0"/>
  </r>
  <r>
    <n v="5920"/>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x v="0"/>
  </r>
  <r>
    <n v="5906"/>
    <s v="New Issue of ‚ÄúLIGO Magazine‚Äù Features Gravitational Wave Article by Eve Chase"/>
    <d v="2021-03-25T00:00:00"/>
    <s v="https://ciera.northwestern.edu/2021/03/25/new-issue-of-ligo-magazine-features-gravitational-wave-article-by-eve-chase/"/>
    <s v="Gravitational Waves &amp; Multi-Messenger Astronomy"/>
    <s v="CIERA Stories"/>
    <s v="Achievement|Outreach"/>
    <x v="0"/>
  </r>
  <r>
    <n v="5904"/>
    <s v="Prof. Fong Receives NSF Honor for Young Faculty"/>
    <d v="2021-03-24T00:00:00"/>
    <s v="https://ciera.northwestern.edu/2021/03/24/prof-fong-receives-nsf-honor-for-young-faculty/"/>
    <s v="Life &amp; Death of Stars"/>
    <s v="Northwestern Press"/>
    <s v="Achievement"/>
    <x v="0"/>
  </r>
  <r>
    <n v="5883"/>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x v="0"/>
  </r>
  <r>
    <n v="5863"/>
    <s v="Major Award for Gravitational Wave Researcher Christopher Berry"/>
    <d v="2021-03-15T00:00:00"/>
    <s v="https://ciera.northwestern.edu/2021/03/15/major-award-for-gravitational-wave-researcher-christopher-berry/"/>
    <s v="Gravitational Waves &amp; Multi-Messenger Astronomy"/>
    <s v="CIERA Stories"/>
    <s v="Achievement"/>
    <x v="0"/>
  </r>
  <r>
    <n v="5864"/>
    <s v="New Kind of Space Explosion Reveals the Birth of a Black Hole"/>
    <d v="2021-03-12T00:00:00"/>
    <s v="https://ciera.northwestern.edu/2021/03/12/new-kind-of-space-explosion-reveals-the-birth-of-a-black-hole/"/>
    <s v="Black Holes &amp; Dead Stars|Life &amp; Death of Stars"/>
    <s v="External Press"/>
    <s v="Science"/>
    <x v="0"/>
  </r>
  <r>
    <n v="5842"/>
    <s v="Growing Inventory of Black Holes Offers a Radical Probe of the Cosmos"/>
    <d v="2021-02-18T00:00:00"/>
    <s v="https://ciera.northwestern.edu/2021/02/18/growing-inventory-of-black-holes-offers-a-radical-probe-of-the-cosmos/"/>
    <s v="Gravitational Waves &amp; Multi-Messenger Astronomy"/>
    <s v="External Press"/>
    <s v="Science"/>
    <x v="0"/>
  </r>
  <r>
    <n v="5806"/>
    <s v="CIERA Astronomy LIVE Debuts on YouTube"/>
    <d v="2021-02-01T00:00:00"/>
    <s v="https://ciera.northwestern.edu/2021/02/01/ciera-astronomy-live-debuts-on-youtube/"/>
    <s v="Black Holes &amp; Dead Stars|Exoplanets &amp; The Solar System|Life &amp; Death of Stars"/>
    <s v="CIERA Stories"/>
    <s v="Event|Outreach"/>
    <x v="0"/>
  </r>
  <r>
    <n v="5795"/>
    <s v="‚ÄòUnicorn‚Äô Discovery Points to a New Population of Black Holes"/>
    <d v="2021-01-28T00:00:00"/>
    <s v="https://ciera.northwestern.edu/2021/01/28/unicorn-discovery-points-to-a-new-population-of-black-holes/"/>
    <s v="Black Holes &amp; Dead Stars|Gravitational Waves &amp; Multi-Messenger Astronomy"/>
    <s v="External Press"/>
    <s v="Science"/>
    <x v="0"/>
  </r>
  <r>
    <n v="5761"/>
    <s v="String of Stars in Milky Way are Related"/>
    <d v="2021-01-15T00:00:00"/>
    <s v="https://ciera.northwestern.edu/2021/01/15/string-of-stars-in-milky-way-are-related/"/>
    <s v="Stellar Dynamics &amp; Stellar Populations"/>
    <s v="Northwestern Press"/>
    <s v="Science"/>
    <x v="0"/>
  </r>
  <r>
    <n v="5726"/>
    <s v="Faucher-Gigu√®re Named Highly Cited Researcher for Second Year"/>
    <d v="2020-12-21T00:00:00"/>
    <s v="https://ciera.northwestern.edu/2020/12/21/faucher-giguere-named-highly-cited-researcher-for-second-year/"/>
    <s v="Galaxies &amp; Cosmology"/>
    <s v="External Press"/>
    <s v="Achievement"/>
    <x v="0"/>
  </r>
  <r>
    <n v="5732"/>
    <s v="The Upside of Volatile Space Weather"/>
    <d v="2020-12-21T00:00:00"/>
    <s v="https://ciera.northwestern.edu/2020/12/21/the-upside-of-volatile-space-weather/"/>
    <s v="Exoplanets &amp; The Solar System"/>
    <s v="Northwestern Press"/>
    <s v="Science|Interdisciplinary"/>
    <x v="0"/>
  </r>
  <r>
    <n v="5678"/>
    <s v="Planets to appear nearly aligned creating ‚ÄòChristmas star‚Äô last widely visible 800 years ago"/>
    <d v="2020-12-14T00:00:00"/>
    <s v="https://ciera.northwestern.edu/2020/12/14/christmas-star/"/>
    <s v="Exoplanets &amp; The Solar System"/>
    <s v="External Press"/>
    <s v="Outreach"/>
    <x v="0"/>
  </r>
  <r>
    <n v="5624"/>
    <s v="Andr√© de Gouv√™a Selected as 2020 AAAS Fellow"/>
    <d v="2020-11-30T00:00:00"/>
    <s v="https://ciera.northwestern.edu/2020/11/30/de-gouvea-2020-aaas-fellow/"/>
    <m/>
    <s v="CIERA Stories"/>
    <s v="Achievement"/>
    <x v="0"/>
  </r>
  <r>
    <n v="5606"/>
    <s v="Rare Short Gamma-ray Burst Discovered in Galaxy Cluster"/>
    <d v="2020-11-23T00:00:00"/>
    <s v="https://ciera.northwestern.edu/2020/11/23/rare-short-gamma-ray-burst-discovered-in-galaxy-cluster/"/>
    <s v="Galaxies &amp; Cosmology|Life &amp; Death of Stars|Stellar Dynamics &amp; Stellar Populations"/>
    <s v="CIERA Stories"/>
    <s v="Science"/>
    <x v="0"/>
  </r>
  <r>
    <n v="5641"/>
    <s v="Supercomputing Time Awarded for Third Year to Sasha Tchekhovskoy"/>
    <d v="2020-11-16T00:00:00"/>
    <s v="https://ciera.northwestern.edu/2020/11/16/supercomputing-time-awarded-for-third-year-to-sasha-tchekhovskoy/"/>
    <s v="Black Holes &amp; Dead Stars"/>
    <s v="CIERA Stories"/>
    <s v="Achievement|Data Science &amp; Computing"/>
    <x v="0"/>
  </r>
  <r>
    <n v="5578"/>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x v="0"/>
  </r>
  <r>
    <n v="5537"/>
    <s v="Shane Larson Presents Virtual Public Lecture on the Milky Way"/>
    <d v="2020-11-03T00:00:00"/>
    <s v="https://ciera.northwestern.edu/2020/11/03/shane-larson-presents-virtual-public-lecture-on-the-milky-way/"/>
    <m/>
    <s v="CIERA Stories"/>
    <s v="Event|Outreach"/>
    <x v="0"/>
  </r>
  <r>
    <n v="5535"/>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x v="0"/>
  </r>
  <r>
    <n v="5523"/>
    <s v="Black hole ‚Äòfamily portrait‚Äô is most detailed to date"/>
    <d v="2020-10-29T00:00:00"/>
    <s v="https://ciera.northwestern.edu/2020/10/28/black-hole-family-portrait-is-most-detailed-to-date/"/>
    <s v="Gravitational Waves &amp; Multi-Messenger Astronomy"/>
    <s v="Northwestern Press"/>
    <s v="Science"/>
    <x v="0"/>
  </r>
  <r>
    <n v="5526"/>
    <s v="Statement of Principles and Values"/>
    <d v="2020-10-28T00:00:00"/>
    <s v="https://ciera.northwestern.edu/2020/10/28/statement-of-principles-and-values/"/>
    <m/>
    <s v="CIERA Stories"/>
    <s v="Uncategorized"/>
    <x v="0"/>
  </r>
  <r>
    <n v="5759"/>
    <s v="2020 Midwest Relativity Meeting Blue Apple Awarded to Lindsay DeMarchi"/>
    <d v="2020-10-25T00:00:00"/>
    <s v="https://ciera.northwestern.edu/2020/10/25/2020-midwest-relativity-meeting-blue-apple-awarded-to-lindsay-demarchi/"/>
    <s v="Gravitational Waves &amp; Multi-Messenger Astronomy"/>
    <s v="CIERA Stories"/>
    <s v="Achievement"/>
    <x v="0"/>
  </r>
  <r>
    <n v="5446"/>
    <s v="The Low Spin of the Milky Way's Supermassive Black Hole"/>
    <d v="2020-10-20T00:00:00"/>
    <s v="https://ciera.northwestern.edu/2020/10/20/the-low-spin-of-the-milky-ways-supermassive-black-hole/"/>
    <s v="Black Holes &amp; Dead Stars"/>
    <s v="CIERA Stories"/>
    <s v="Science"/>
    <x v="0"/>
  </r>
  <r>
    <n v="5454"/>
    <s v="Star 'Spaghettified' by a Supermassive Black Hole"/>
    <d v="2020-10-12T00:00:00"/>
    <s v="https://ciera.northwestern.edu/2020/10/12/star-spaghettified-by-a-supermassive-black-hole/"/>
    <s v="Black Holes &amp; Dead Stars"/>
    <s v="CIERA Stories"/>
    <s v="Science"/>
    <x v="0"/>
  </r>
  <r>
    <n v="5382"/>
    <s v="Update on Initiative for Social Justice"/>
    <d v="2020-10-01T00:00:00"/>
    <s v="https://ciera.northwestern.edu/2020/10/01/update-on-initiative-for-social-justice/"/>
    <m/>
    <s v="CIERA Stories"/>
    <s v="Uncategorized"/>
    <x v="0"/>
  </r>
  <r>
    <n v="5078"/>
    <s v="CIERA Postdocs Move on to New Positions"/>
    <d v="2020-09-17T00:00:00"/>
    <s v="https://ciera.northwestern.edu/2020/09/17/ciera-postdocs-move-on-to-new-positions/"/>
    <m/>
    <s v="CIERA Stories"/>
    <s v="Achievement"/>
    <x v="0"/>
  </r>
  <r>
    <n v="5112"/>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x v="0"/>
  </r>
  <r>
    <n v="5094"/>
    <s v="Observations of Andromeda‚Äôs Halo Test Predictions of Galaxy Formation Models by CIERA Scientists"/>
    <d v="2020-09-08T00:00:00"/>
    <s v="https://ciera.northwestern.edu/2020/09/08/observations-of-andromedas-halo-test-predictions-of-galaxy-formation-models-by-ciera-scientists/"/>
    <s v="Galaxies &amp; Cosmology"/>
    <s v="CIERA Stories"/>
    <s v="Science"/>
    <x v="0"/>
  </r>
  <r>
    <n v="5070"/>
    <s v="Scientists detect first-of-its-kind ‚Äòintermediate-mass‚Äò black hole"/>
    <d v="2020-09-02T00:00:00"/>
    <s v="https://ciera.northwestern.edu/2020/09/02/gw190521/"/>
    <s v="Black Holes &amp; Dead Stars|Gravitational Waves &amp; Multi-Messenger Astronomy"/>
    <s v="Northwestern Press"/>
    <s v="Science"/>
    <x v="0"/>
  </r>
  <r>
    <n v="5038"/>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x v="0"/>
  </r>
  <r>
    <n v="5129"/>
    <s v="CIERA's REU Program Goes Virtual!"/>
    <d v="2020-08-31T00:00:00"/>
    <s v="https://ciera.northwestern.edu/2020/08/31/cieras-reu-program-goes-virtual/"/>
    <m/>
    <s v="CIERA Stories"/>
    <s v="Education|Interdisciplinary"/>
    <x v="0"/>
  </r>
  <r>
    <n v="5114"/>
    <s v="CIERA High School Summer Research Experience in Astronomy Goes Remote!"/>
    <d v="2020-08-14T00:00:00"/>
    <s v="https://ciera.northwestern.edu/2020/08/14/high-school-summer-research-experience-in-astronomy-goes-remote/"/>
    <m/>
    <s v="CIERA Stories"/>
    <s v="Education|Outreach"/>
    <x v="0"/>
  </r>
  <r>
    <n v="5025"/>
    <s v="4th Award of LSSTC Enabling Science Grant to CIERA's Aaron Geller"/>
    <d v="2020-08-06T00:00:00"/>
    <s v="https://ciera.northwestern.edu/2020/08/06/4th-lsstc-enabling/"/>
    <s v="Life &amp; Death of Stars"/>
    <s v="CIERA Stories"/>
    <s v="Education|Achievement"/>
    <x v="0"/>
  </r>
  <r>
    <n v="5016"/>
    <s v="Calcium-rich supernova examined with X-rays for first time"/>
    <d v="2020-08-05T00:00:00"/>
    <s v="https://ciera.northwestern.edu/2020/08/05/calcium-rich-supernova-examined-with-x-rays-for-first-time/"/>
    <s v="Life &amp; Death of Stars"/>
    <s v="Northwestern Press"/>
    <s v="Science"/>
    <x v="0"/>
  </r>
  <r>
    <n v="5003"/>
    <s v="Spectacular ultraviolet flash may finally explain how white dwarfs explode"/>
    <d v="2020-07-23T00:00:00"/>
    <s v="https://ciera.northwestern.edu/2020/07/23/spectacular-ultraviolet-flash-may-finally-explain-how-white-dwarfs-explode/"/>
    <s v="Life &amp; Death of Stars"/>
    <s v="Northwestern Press"/>
    <s v="Science"/>
    <x v="0"/>
  </r>
  <r>
    <n v="4998"/>
    <s v="Short Gamma Ray Burst Leaves Most-distant Optical Afterglow Ever Detected"/>
    <d v="2020-07-14T00:00:00"/>
    <s v="https://ciera.northwestern.edu/2020/07/14/short-gamma-ray-burst-leaves-most-distant-optical-afterglow-ever-detected/"/>
    <s v="Life &amp; Death of Stars"/>
    <s v="Northwestern Press"/>
    <s v="Science"/>
    <x v="0"/>
  </r>
  <r>
    <n v="4964"/>
    <s v="New Mystery Merger Detected by LIGO-Virgo"/>
    <d v="2020-06-23T00:00:00"/>
    <s v="https://ciera.northwestern.edu/2020/06/23/gw190814/"/>
    <s v="Gravitational Waves &amp; Multi-Messenger Astronomy"/>
    <s v="Northwestern Press"/>
    <s v="Science"/>
    <x v="0"/>
  </r>
  <r>
    <n v="4982"/>
    <s v="Undergraduate Kristopher Mortensen Earns Outstanding Thesis Research Award"/>
    <d v="2020-06-19T00:00:00"/>
    <s v="https://ciera.northwestern.edu/2020/06/19/undergraduate-kristopher-mortensen-earns-outstanding-thesis-research-award/"/>
    <s v="Galaxies &amp; Cosmology"/>
    <s v="CIERA Stories"/>
    <s v="Achievement"/>
    <x v="0"/>
  </r>
  <r>
    <n v="4977"/>
    <s v="CIERA‚Äôs Nancy Aggarwal Wins GWIC-Braccini Thesis Prize"/>
    <d v="2020-06-18T00:00:00"/>
    <s v="https://ciera.northwestern.edu/2020/06/18/cieras-nancy-aggarwal-wins-gwic-braccini-thesis-prize/"/>
    <m/>
    <s v="CIERA Stories"/>
    <s v="Achievement"/>
    <x v="0"/>
  </r>
  <r>
    <n v="4956"/>
    <s v="Launching SCOPE, a Free Online Science Communication Program"/>
    <d v="2020-06-12T00:00:00"/>
    <s v="https://ciera.northwestern.edu/2020/06/12/launching-scope-a-free-online-science-communication-program/"/>
    <m/>
    <m/>
    <s v="Education|Interdisciplinary"/>
    <x v="0"/>
  </r>
  <r>
    <n v="4948"/>
    <s v="Black Lives Matter"/>
    <d v="2020-06-06T00:00:00"/>
    <s v="https://ciera.northwestern.edu/2020/06/06/black-lives-matter/"/>
    <m/>
    <s v="CIERA Stories"/>
    <s v="Uncategorized"/>
    <x v="0"/>
  </r>
  <r>
    <n v="4944"/>
    <s v="Vicky Kalogera Featured in Crain's 2020 Notable Women in STEM"/>
    <d v="2020-06-01T00:00:00"/>
    <s v="https://ciera.northwestern.edu/2020/06/01/vicky-kalogera-featured-in-crains-2020-notable-women-in-stem/"/>
    <m/>
    <s v="CIERA Stories"/>
    <s v="Achievement"/>
    <x v="0"/>
  </r>
  <r>
    <n v="4978"/>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x v="0"/>
  </r>
  <r>
    <n v="4942"/>
    <s v="Remote Learning Resources Available on New Reach for the Stars Website"/>
    <d v="2020-05-28T00:00:00"/>
    <s v="https://ciera.northwestern.edu/2020/05/28/remote-learning-resources-available-on-new-reach-for-the-stars-website/"/>
    <m/>
    <s v="CIERA Stories"/>
    <s v="Education|Outreach"/>
    <x v="0"/>
  </r>
  <r>
    <n v="4934"/>
    <s v="CIERA to Host National REU Leaders"/>
    <d v="2020-05-27T00:00:00"/>
    <s v="https://ciera.northwestern.edu/2020/05/27/ciera-to-host-national-reu-leaders/"/>
    <m/>
    <s v="CIERA Stories"/>
    <s v="Education|Achievement"/>
    <x v="0"/>
  </r>
  <r>
    <n v="4924"/>
    <s v="Astrophysicists Capture New Class of Transient Objects"/>
    <d v="2020-05-26T00:00:00"/>
    <s v="https://ciera.northwestern.edu/2020/05/26/astrophysicists-capture-new-class-of-transient-objects/"/>
    <s v="Life &amp; Death of Stars"/>
    <s v="Northwestern Press"/>
    <s v="Science"/>
    <x v="0"/>
  </r>
  <r>
    <n v="4921"/>
    <s v="Using Gravitational Waves to Approximate Pi"/>
    <d v="2020-05-19T00:00:00"/>
    <s v="https://ciera.northwestern.edu/2020/05/19/using-gravitational-waves-to-approximate-pi/"/>
    <s v="Gravitational Waves &amp; Multi-Messenger Astronomy"/>
    <s v="External Press"/>
    <s v="Science"/>
    <x v="0"/>
  </r>
  <r>
    <n v="4915"/>
    <s v="NASA Einstein Postdoc Kate Alexander Named to Crain‚Äôs ‚Äú20 in Their Twenties‚Äù"/>
    <d v="2020-05-09T00:00:00"/>
    <s v="https://ciera.northwestern.edu/2020/05/09/nasa-einstein-postdoc-kate-alexander-named-to-crains-20-in-their-twenties-for-2020/"/>
    <s v="Gravitational Waves &amp; Multi-Messenger Astronomy|Life &amp; Death of Stars"/>
    <s v="External Press"/>
    <s v="Achievement"/>
    <x v="0"/>
  </r>
  <r>
    <n v="4937"/>
    <s v="Undergraduate Andrew Bowen Receives AAS Chambliss Award"/>
    <d v="2020-05-07T00:00:00"/>
    <s v="https://ciera.northwestern.edu/2020/05/07/undergraduate-andrew-bowen-receives-aas-chambliss-award/"/>
    <s v="Stellar Dynamics &amp; Stellar Populations"/>
    <s v="CIERA Stories"/>
    <s v="Achievement"/>
    <x v="0"/>
  </r>
  <r>
    <n v="4901"/>
    <s v="NASA Hubble Fellowship Awarded to Michael Zevin"/>
    <d v="2020-04-21T00:00:00"/>
    <s v="https://ciera.northwestern.edu/2020/04/21/nasa-hubble-fellowship-awarded-to-michael-zevin/"/>
    <m/>
    <s v="CIERA Stories"/>
    <s v="Achievement"/>
    <x v="0"/>
  </r>
  <r>
    <n v="4903"/>
    <s v="Tom Imperato ‚Äò22P, Devoted CIERA Board of Visitors Member, Dies at 73"/>
    <d v="2020-04-21T00:00:00"/>
    <s v="https://ciera.northwestern.edu/2020/04/21/tom-imperato-22p-devoted-ciera-board-of-visitors-member-dies-at-73/"/>
    <m/>
    <s v="CIERA Stories"/>
    <s v="Uncategorized"/>
    <x v="0"/>
  </r>
  <r>
    <n v="4899"/>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x v="0"/>
  </r>
  <r>
    <n v="4889"/>
    <s v="A Supernova that Outshines All Others"/>
    <d v="2020-04-13T00:00:00"/>
    <s v="https://ciera.northwestern.edu/2020/04/13/a-supernova-that-outshines-all-others/"/>
    <s v="Life &amp; Death of Stars"/>
    <s v="External Press"/>
    <s v="Science"/>
    <x v="0"/>
  </r>
  <r>
    <n v="4881"/>
    <s v="CIERA‚Äôs Sasha Tchekhovskoy to Utilize the Fastest Academic Supercomputer in the World"/>
    <d v="2020-04-09T00:00:00"/>
    <s v="https://ciera.northwestern.edu/2020/04/09/cieras-sasha-tchekhovskoy-to-utilize-the-fastest-academic-supercomputer-in-the-world/"/>
    <m/>
    <s v="External Press"/>
    <s v="Achievement|Science|Data Science &amp; Computing"/>
    <x v="0"/>
  </r>
  <r>
    <n v="4883"/>
    <s v="Earthquake Detective Featured by sustainNU in Citizen Science Project Spotlight"/>
    <d v="2020-04-09T00:00:00"/>
    <s v="https://ciera.northwestern.edu/2020/04/09/earthquake-detective-featured-by-sustainnu-in-citizen-science-project-spotlight/"/>
    <m/>
    <s v="Northwestern Press"/>
    <s v="Outreach|Interdisciplinary"/>
    <x v="0"/>
  </r>
  <r>
    <n v="4875"/>
    <s v="Seven New Postdoctoral Researchers Join CIERA"/>
    <d v="2020-04-01T00:00:00"/>
    <s v="https://ciera.northwestern.edu/2020/04/01/seven-new-postdoctoral-researchers-join-ciera-2/"/>
    <m/>
    <s v="CIERA Stories"/>
    <s v="Achievement"/>
    <x v="0"/>
  </r>
  <r>
    <n v="4910"/>
    <s v="Beverly Lowell Awarded NSF Graduate Research Fellowship"/>
    <d v="2020-04-01T00:00:00"/>
    <s v="https://ciera.northwestern.edu/2020/04/01/beverly-lowell-awarded-nsf-graduate-research-fellowship/"/>
    <s v="Black Holes &amp; Dead Stars|Gravitational Waves &amp; Multi-Messenger Astronomy"/>
    <s v="CIERA Stories"/>
    <s v="Achievement"/>
    <x v="0"/>
  </r>
  <r>
    <n v="4888"/>
    <s v="Prof. Margutti Receives NSF Honor for Junior Faculty"/>
    <d v="2020-03-26T00:00:00"/>
    <s v="https://ciera.northwestern.edu/2020/03/26/prof-margutti-receives-nsf-honor-for-junior-faculty/"/>
    <m/>
    <s v="Northwestern Press"/>
    <s v="Achievement"/>
    <x v="0"/>
  </r>
  <r>
    <n v="4870"/>
    <s v="Coronavirus/COVID-19 Update"/>
    <d v="2020-03-25T00:00:00"/>
    <s v="https://ciera.northwestern.edu/2020/03/25/coronavirus-update-2/"/>
    <m/>
    <s v="CIERA Stories"/>
    <s v="Uncategorized"/>
    <x v="0"/>
  </r>
  <r>
    <n v="4912"/>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x v="0"/>
  </r>
  <r>
    <n v="4855"/>
    <s v="Coronavirus/COVID-19 Update"/>
    <d v="2020-03-13T00:00:00"/>
    <s v="https://ciera.northwestern.edu/2020/03/13/coronavirus-update/"/>
    <m/>
    <s v="CIERA Stories"/>
    <s v="Uncategorized"/>
    <x v="0"/>
  </r>
  <r>
    <n v="4833"/>
    <s v="Professors Kalogera and Rasio Named in Legacy Group of AAS Fellows"/>
    <d v="2020-02-25T00:00:00"/>
    <s v="https://ciera.northwestern.edu/2020/02/25/professors-kalogera-and-rasio-named-in-first-group-of-aas-fellows/"/>
    <m/>
    <s v="External Press"/>
    <s v="Achievement"/>
    <x v="0"/>
  </r>
  <r>
    <n v="4794"/>
    <s v="The Sky is No Limit"/>
    <d v="2020-02-19T00:00:00"/>
    <s v="https://ciera.northwestern.edu/2020/02/19/the-sky-is-no-limit/"/>
    <s v="Galaxies &amp; Cosmology|Gravitational Waves &amp; Multi-Messenger Astronomy|Life &amp; Death of Stars"/>
    <s v="Northwestern Press"/>
    <s v="Science"/>
    <x v="0"/>
  </r>
  <r>
    <n v="4829"/>
    <s v="Students from Chicago‚Äôs Off the Street Club Visit Dearborn Observatory"/>
    <d v="2020-02-18T00:00:00"/>
    <s v="https://ciera.northwestern.edu/2020/02/18/students-from-chicagos-off-the-street-club-visit-dearborn-observatory/"/>
    <m/>
    <s v="CIERA Stories"/>
    <s v="Event|Outreach|Data Science &amp; Computing"/>
    <x v="0"/>
  </r>
  <r>
    <n v="4863"/>
    <s v="Proposal Workshop for New Observatory Held at CIERA"/>
    <d v="2020-02-06T00:00:00"/>
    <s v="https://ciera.northwestern.edu/2020/02/06/proposal-workshop-for-new-observatory-held-at-ciera/"/>
    <m/>
    <s v="CIERA Stories"/>
    <s v="Education|Event|Data Science &amp; Computing"/>
    <x v="0"/>
  </r>
  <r>
    <n v="4769"/>
    <s v="New Year, New CIERA Open House Event"/>
    <d v="2020-01-22T00:00:00"/>
    <s v="https://ciera.northwestern.edu/2020/01/22/new-year-new-ciera-open-house-event/"/>
    <m/>
    <s v="CIERA Stories"/>
    <s v="Event|Outreach|Interdisciplinary|Data Science &amp; Computing"/>
    <x v="0"/>
  </r>
  <r>
    <n v="4713"/>
    <s v="This Exoplanet is in a Death Dance with its Star"/>
    <d v="2020-01-13T00:00:00"/>
    <s v="https://ciera.northwestern.edu/2020/01/13/this-exoplanet-is-in-a-death-dance-with-its-star/"/>
    <s v="Exoplanets &amp; The Solar System"/>
    <s v="External Press"/>
    <s v="Science"/>
    <x v="0"/>
  </r>
  <r>
    <n v="4816"/>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x v="0"/>
  </r>
  <r>
    <n v="4800"/>
    <s v="Cosmic ‚Äòcandy cane‚Äô spotted in inner Milky Way"/>
    <d v="2019-12-18T00:00:00"/>
    <s v="https://ciera.northwestern.edu/2019/12/18/cosmic-candy-cane-spotted-in-inner-milky-way/"/>
    <s v="Galaxies &amp; Cosmology|Life &amp; Death of Stars"/>
    <s v="Northwestern Press"/>
    <s v="Science"/>
    <x v="0"/>
  </r>
  <r>
    <n v="4765"/>
    <s v="Jeremy Schnittman Presents Interdisciplinary Colloquium Inspired by ‚ÄòInterstellar‚Äô"/>
    <d v="2019-12-10T00:00:00"/>
    <s v="https://ciera.northwestern.edu/2019/12/10/jeremy-schnittman-presents-interdisciplinary-colloquium-inspired-by-interstellar/"/>
    <s v="Black Holes &amp; Dead Stars|Exoplanets &amp; The Solar System"/>
    <s v="CIERA Stories"/>
    <s v="Event|Interdisciplinary"/>
    <x v="0"/>
  </r>
  <r>
    <n v="4650"/>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x v="0"/>
  </r>
  <r>
    <n v="4763"/>
    <s v="Using Gravitational Waves to See Inside Stars"/>
    <d v="2019-12-09T00:00:00"/>
    <s v="https://ciera.northwestern.edu/2019/12/09/using-gravitational-waves-to-see-inside-stars/"/>
    <s v="Gravitational Waves &amp; Multi-Messenger Astronomy"/>
    <s v="CIERA Stories"/>
    <s v="Science"/>
    <x v="0"/>
  </r>
  <r>
    <n v="4656"/>
    <s v="First Discoveries by the Young Supernova Experiment"/>
    <d v="2019-12-08T00:00:00"/>
    <s v="https://ciera.northwestern.edu/2019/12/08/first-discoveries-by-the-young-supernova-experiment/"/>
    <s v="Life &amp; Death of Stars"/>
    <s v="External Press"/>
    <s v="Science"/>
    <x v="0"/>
  </r>
  <r>
    <n v="4641"/>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x v="0"/>
  </r>
  <r>
    <n v="4658"/>
    <s v="Faucher-Gigu√®re Named Highly Cited Researcher"/>
    <d v="2019-12-02T00:00:00"/>
    <s v="https://ciera.northwestern.edu/2019/12/02/faucher-giguere-named-highly-cited-researcher/"/>
    <m/>
    <s v="Northwestern Press"/>
    <s v="Achievement"/>
    <x v="0"/>
  </r>
  <r>
    <n v="4636"/>
    <s v="CIERA‚Äôs Vicky Kalogera and Farhad Yusef-Zadeh Named AAAS Fellows"/>
    <d v="2019-11-26T00:00:00"/>
    <s v="https://ciera.northwestern.edu/2019/11/26/five-professors-named-aaas-fellows/"/>
    <m/>
    <s v="Northwestern Press"/>
    <s v="Achievement"/>
    <x v="0"/>
  </r>
  <r>
    <n v="4659"/>
    <s v="CIERA Observer's Image Gets &quot;Starlinked&quot;"/>
    <d v="2019-11-18T00:00:00"/>
    <s v="https://ciera.northwestern.edu/2019/11/18/ciera-observers-image-gets-starlinked/"/>
    <s v="Galaxies &amp; Cosmology"/>
    <s v="CIERA Stories|External Press"/>
    <s v="Science"/>
    <x v="0"/>
  </r>
  <r>
    <n v="4574"/>
    <s v="&quot;‚ÄòAre we alone?‚Äô Study refines which exoplanets are potentially habitable&quot;"/>
    <d v="2019-11-12T00:00:00"/>
    <s v="https://ciera.northwestern.edu/2019/11/12/are-we-alone-study-refines-which-exoplanets-are-potentially-habitable/"/>
    <s v="Exoplanets &amp; The Solar System"/>
    <s v="Northwestern Press|External Press"/>
    <s v="Science"/>
    <x v="0"/>
  </r>
  <r>
    <n v="4534"/>
    <s v="CIERA Graduate Student Zachary Hafen Featured by Northwestern TGS"/>
    <d v="2019-11-01T00:00:00"/>
    <s v="https://ciera.northwestern.edu/2019/11/01/ciera-graduate-student-zachary-hafen-featured-by-northwestern-tgs/"/>
    <m/>
    <s v="Northwestern Press"/>
    <s v="Achievement"/>
    <x v="0"/>
  </r>
  <r>
    <n v="4662"/>
    <s v="Supercomputer Award Granted to CIERA‚Äôs Sasha Tchekhovskoy"/>
    <d v="2019-11-01T00:00:00"/>
    <s v="https://ciera.northwestern.edu/2019/11/01/supercomputer-award-granted-to-cieras-sasha-tchekhovskoy/"/>
    <s v="Black Holes &amp; Dead Stars"/>
    <s v="Northwestern Press"/>
    <s v="Achievement|Science"/>
    <x v="0"/>
  </r>
  <r>
    <n v="4531"/>
    <s v="&quot;A star has been flickering for years ‚Äì and researchers think they've figured out why&quot;"/>
    <d v="2019-10-31T00:00:00"/>
    <s v="https://ciera.northwestern.edu/2019/10/31/a-star-has-been-flickering-for-years-and-researchers-think-theyve-figured-out-why/"/>
    <s v="Life &amp; Death of Stars"/>
    <s v="External Press"/>
    <s v="Science"/>
    <x v="0"/>
  </r>
  <r>
    <n v="4608"/>
    <s v="Priya Natarajan Presents 11th Annual CIERA Public Lecture"/>
    <d v="2019-10-25T00:00:00"/>
    <s v="https://ciera.northwestern.edu/2019/10/25/priya-natarajan-presents-11th-annual-ciera-public-lecture/"/>
    <s v="Galaxies &amp; Cosmology"/>
    <s v="CIERA Stories"/>
    <s v="Event|Outreach"/>
    <x v="0"/>
  </r>
  <r>
    <n v="4594"/>
    <s v="Dearborn Observatory on View at Open House Chicago 2019"/>
    <d v="2019-10-21T00:00:00"/>
    <s v="https://ciera.northwestern.edu/2019/10/21/dearborn-observatory-on-view-at-open-house-chicago-2019/"/>
    <m/>
    <s v="CIERA Stories"/>
    <s v="Event|Outreach"/>
    <x v="0"/>
  </r>
  <r>
    <n v="4493"/>
    <s v="IDEAS Trainees Attend the Grace Hopper Celebration 2019"/>
    <d v="2019-10-10T00:00:00"/>
    <s v="https://ciera.northwestern.edu/2019/10/10/ideas-trainees-attend-the-grace-hopper-celebration-2019/"/>
    <m/>
    <s v="CIERA Stories"/>
    <s v="Education|Event|Interdisciplinary|Data Science &amp; Computing"/>
    <x v="0"/>
  </r>
  <r>
    <n v="4592"/>
    <s v="STEM Panel Discussion Held at Lincoln Park High School"/>
    <d v="2019-10-08T00:00:00"/>
    <s v="https://ciera.northwestern.edu/2019/10/08/stem-panel-discussion-held-at-lincoln-park-high-school/"/>
    <m/>
    <s v="CIERA Stories"/>
    <s v="Education|Event|Outreach"/>
    <x v="0"/>
  </r>
  <r>
    <n v="4579"/>
    <s v="IDEAS &amp; CIERA Host NSF Research Traineeship National Meeting"/>
    <d v="2019-09-30T00:00:00"/>
    <s v="https://ciera.northwestern.edu/2019/09/30/ideas-ciera-host-nsf-research-traineeship-national-meeting/"/>
    <m/>
    <s v="CIERA Stories"/>
    <s v="Education|Event|Interdisciplinary|Data Science &amp; Computing"/>
    <x v="0"/>
  </r>
  <r>
    <n v="4411"/>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x v="0"/>
  </r>
  <r>
    <n v="4387"/>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x v="0"/>
  </r>
  <r>
    <n v="4368"/>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x v="0"/>
  </r>
  <r>
    <n v="4591"/>
    <s v="CIERA Alumna Laura Fissel Begins Faculty Appointment at Queen‚Äôs University"/>
    <d v="2019-09-01T00:00:00"/>
    <s v="https://ciera.northwestern.edu/2019/09/01/ciera-alumna-laura-fissel-begins-faculty-appointment-at-queens-university/"/>
    <m/>
    <s v="CIERA Stories"/>
    <s v="Achievement"/>
    <x v="0"/>
  </r>
  <r>
    <n v="4762"/>
    <s v="CIERA Postdocs Advance to New Positions"/>
    <d v="2019-09-01T00:00:00"/>
    <s v="https://ciera.northwestern.edu/2019/09/01/ciera-postdocs-advance-to-new-positions-3/"/>
    <m/>
    <s v="CIERA Stories"/>
    <s v="Achievement"/>
    <x v="0"/>
  </r>
  <r>
    <n v="4373"/>
    <s v="&quot;Remember that meteor that lit up Chicago‚Äô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x v="0"/>
  </r>
  <r>
    <n v="4359"/>
    <s v="Observational Astronomers Gather for ‚ÄòHot-wiring the Transient Universe VI‚Äô"/>
    <d v="2019-08-23T00:00:00"/>
    <s v="https://ciera.northwestern.edu/2019/08/23/observational-astronomers-gather-for-hot-wiring-the-transient-universe-vi/"/>
    <m/>
    <s v="CIERA Stories"/>
    <s v="Event|Interdisciplinary|Data Science &amp; Computing"/>
    <x v="0"/>
  </r>
  <r>
    <n v="4336"/>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x v="0"/>
  </r>
  <r>
    <n v="4328"/>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x v="0"/>
  </r>
  <r>
    <n v="4435"/>
    <s v="Students in 2019 ‚ÄúHigh School Summer Research Experience in Astronomy‚Äù Present Their Research at Annual Poster Session"/>
    <d v="2019-08-02T00:00:00"/>
    <s v="https://ciera.northwestern.edu/2019/08/02/students-in-2019-high-school-summer-research-experience-in-astronomy-present-their-research-at-annual-poster-session/"/>
    <m/>
    <s v="CIERA Stories"/>
    <s v="Education|Event|Outreach"/>
    <x v="0"/>
  </r>
  <r>
    <n v="4354"/>
    <s v="CIERA Celebrates Apollo 11"/>
    <d v="2019-07-26T00:00:00"/>
    <s v="https://ciera.northwestern.edu/2019/07/26/ciera-celebrates-apollo-11/"/>
    <m/>
    <s v="CIERA Stories"/>
    <s v="Event|Outreach"/>
    <x v="0"/>
  </r>
  <r>
    <n v="4291"/>
    <s v="20 Years of Chandra X-ray Observatory"/>
    <d v="2019-07-25T00:00:00"/>
    <s v="https://ciera.northwestern.edu/2019/07/25/20-years-of-chandra-x-ray-observatory/"/>
    <s v="Black Holes &amp; Dead Stars|Gravitational Waves &amp; Multi-Messenger Astronomy|Life &amp; Death of Stars"/>
    <s v="External Press"/>
    <s v="Science"/>
    <x v="0"/>
  </r>
  <r>
    <n v="4357"/>
    <s v="Grad Student Zach Hafen Turns Summer Camp Students into Gas Molecules"/>
    <d v="2019-07-18T00:00:00"/>
    <s v="https://ciera.northwestern.edu/2019/07/18/grad-student-zach-hafen-turns-summer-camp-students-into-gas-molecules/"/>
    <m/>
    <s v="CIERA Stories"/>
    <s v="Education|Event|Outreach"/>
    <x v="0"/>
  </r>
  <r>
    <n v="4283"/>
    <s v="Northwestern Leads Effort to Detect New Types of Cosmic Events"/>
    <d v="2019-07-17T00:00:00"/>
    <s v="https://ciera.northwestern.edu/2019/07/17/northwestern-leads-effort-to-detect-new-types-of-cosmic-events/"/>
    <s v="Gravitational Waves &amp; Multi-Messenger Astronomy"/>
    <s v="Northwestern Press"/>
    <s v="Science"/>
    <x v="0"/>
  </r>
  <r>
    <n v="4280"/>
    <s v="Aprajita Hajela Wins NASA Future Investigator Award"/>
    <d v="2019-07-10T00:00:00"/>
    <s v="https://ciera.northwestern.edu/2019/07/10/aprajita-hajela-wins-nasa-future-investigator-award/"/>
    <s v="Gravitational Waves &amp; Multi-Messenger Astronomy"/>
    <s v="CIERA Stories"/>
    <s v="Achievement"/>
    <x v="0"/>
  </r>
  <r>
    <n v="4242"/>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x v="0"/>
  </r>
  <r>
    <n v="4254"/>
    <s v="High School Researcher Takes Gold at State Science Fair"/>
    <d v="2019-06-21T00:00:00"/>
    <s v="https://ciera.northwestern.edu/2019/06/21/high-school-researcher-takes-gold-at-state-science-fair/"/>
    <m/>
    <s v="CIERA Stories"/>
    <s v="Education|Achievement"/>
    <x v="0"/>
  </r>
  <r>
    <n v="4234"/>
    <s v="Fred Rasio Receives 2019 Brouwer Award"/>
    <d v="2019-06-20T00:00:00"/>
    <s v="https://ciera.northwestern.edu/2019/06/20/fred-rasio-receives-2019-brouwer-award/"/>
    <m/>
    <s v="Northwestern Press"/>
    <s v="Achievement"/>
    <x v="0"/>
  </r>
  <r>
    <n v="4225"/>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x v="0"/>
  </r>
  <r>
    <n v="4239"/>
    <s v="Scientists Gather to Plan Flight of Balloon-borne Telescope"/>
    <d v="2019-06-14T00:00:00"/>
    <s v="https://ciera.northwestern.edu/2019/06/14/scientists-gather-to-plan-flight-of-balloon-borne-telescope/"/>
    <m/>
    <s v="CIERA Stories"/>
    <s v="Event|Science"/>
    <x v="0"/>
  </r>
  <r>
    <n v="4195"/>
    <s v="Most-detailed Simulations of Black Hole Solve Longstanding Mystery"/>
    <d v="2019-06-06T00:00:00"/>
    <s v="https://ciera.northwestern.edu/2019/06/06/most-detailed-simulations-of-black-hole-solve-longstanding-mystery/"/>
    <s v="Black Holes &amp; Dead Stars"/>
    <s v="Northwestern Press|External Press"/>
    <s v="Science"/>
    <x v="0"/>
  </r>
  <r>
    <n v="4164"/>
    <s v="Lindsey Byrne Awarded DOE Graduate Fellowship"/>
    <d v="2019-06-04T00:00:00"/>
    <s v="https://ciera.northwestern.edu/2019/06/04/lindsey-byrne-awarded-doe-graduate-fellowship/"/>
    <s v="Galaxies &amp; Cosmology|Stellar Dynamics &amp; Stellar Populations"/>
    <s v="CIERA Stories"/>
    <s v="Achievement"/>
    <x v="0"/>
  </r>
  <r>
    <n v="4167"/>
    <s v="Prof. Claude-Andr√© Faucher-Gigu√®re Named 2019 Scialog Fellow"/>
    <d v="2019-06-04T00:00:00"/>
    <s v="https://ciera.northwestern.edu/2019/06/04/prof-claude-andre-faucher-giguere-named-2019-scialog-fellow/"/>
    <s v="Galaxies &amp; Cosmology|Stellar Dynamics &amp; Stellar Populations"/>
    <s v="External Press"/>
    <s v="Achievement"/>
    <x v="0"/>
  </r>
  <r>
    <n v="4170"/>
    <s v="Database Celebrates the Presence of African American Women in Physics"/>
    <d v="2019-06-04T00:00:00"/>
    <s v="https://ciera.northwestern.edu/2019/06/04/database-celebrates-the-presence-of-african-american-women-in-physics/"/>
    <m/>
    <s v="External Press"/>
    <s v="Achievement|Interdisciplinary"/>
    <x v="0"/>
  </r>
  <r>
    <n v="4172"/>
    <s v="What Next for Gravitational Wave Detection?"/>
    <d v="2019-06-04T00:00:00"/>
    <s v="https://ciera.northwestern.edu/2019/06/04/what-next-for-gravitational-wave-detection/"/>
    <s v="Gravitational Waves &amp; Multi-Messenger Astronomy"/>
    <s v="External Press"/>
    <s v="Science"/>
    <x v="0"/>
  </r>
  <r>
    <n v="4406"/>
    <s v="Announcing CIERA‚Äôs 2019 Summer Undergraduate Researchers"/>
    <d v="2019-06-01T00:00:00"/>
    <s v="https://ciera.northwestern.edu/2019/06/01/announcing-cieras-2019-summer-undergraduate-researchers/"/>
    <m/>
    <s v="CIERA Stories"/>
    <s v="Education"/>
    <x v="0"/>
  </r>
  <r>
    <n v="4247"/>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x v="0"/>
  </r>
  <r>
    <n v="4141"/>
    <s v="Lakota Stellar STEM Weekend"/>
    <d v="2019-05-28T00:00:00"/>
    <s v="https://ciera.northwestern.edu/2019/05/28/lakota-stellar-stem-weekend/"/>
    <m/>
    <s v="CIERA Stories"/>
    <s v="Education|Event|Outreach|Interdisciplinary"/>
    <x v="0"/>
  </r>
  <r>
    <n v="4244"/>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x v="0"/>
  </r>
  <r>
    <n v="4209"/>
    <s v="Erik Curiel on Inconsistent Definitions of a Black Hole"/>
    <d v="2019-05-09T00:00:00"/>
    <s v="https://ciera.northwestern.edu/2019/05/09/erik-curiel-on-inconsistent-definitions-of-a-black-hole/"/>
    <m/>
    <s v="CIERA Stories"/>
    <s v="Event|Interdisciplinary"/>
    <x v="0"/>
  </r>
  <r>
    <n v="4096"/>
    <s v="LIGO on Lookout for 8 Sources of Gravitational Waves"/>
    <d v="2019-05-06T00:00:00"/>
    <s v="https://ciera.northwestern.edu/2019/05/06/ligo-on-lookout-for-8-sources-of-gravitational-waves/"/>
    <s v="Gravitational Waves &amp; Multi-Messenger Astronomy"/>
    <s v="External Press"/>
    <s v="Science"/>
    <x v="0"/>
  </r>
  <r>
    <n v="4100"/>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x v="0"/>
  </r>
  <r>
    <n v="4040"/>
    <s v="A New Infrared Camera for Exoplanet Imaging"/>
    <d v="2019-04-29T00:00:00"/>
    <s v="https://ciera.northwestern.edu/2019/04/29/a-new-infrared-camera-for-exoplanet-imaging/"/>
    <s v="Exoplanets &amp; The Solar System"/>
    <s v="CIERA Stories"/>
    <s v="Science"/>
    <x v="0"/>
  </r>
  <r>
    <n v="3964"/>
    <s v="CIERA‚Äôs Paul Williams on Studying Star Formation in Antarctica"/>
    <d v="2019-04-19T00:00:00"/>
    <s v="https://ciera.northwestern.edu/2019/04/19/cieras-paul-williams-on-studying-star-formation-in-antarctica/"/>
    <s v="Galaxies &amp; Cosmology"/>
    <s v="CIERA Stories"/>
    <s v="Science"/>
    <x v="0"/>
  </r>
  <r>
    <n v="3949"/>
    <s v="CIERA‚Äôs Aaron Geller Awarded LSSTC Enabling Science Grant to Fund Undergraduate Research"/>
    <d v="2019-04-18T00:00:00"/>
    <s v="https://ciera.northwestern.edu/2019/04/18/cieras-aaron-geller-awarded-lsstc-enabling-science-grant-to-fund-undergraduate-research/"/>
    <m/>
    <s v="CIERA Stories"/>
    <s v="Education|Achievement"/>
    <x v="0"/>
  </r>
  <r>
    <n v="3939"/>
    <s v="CIERA Faculty Comment on World‚Äôs First Image of a Black Hole"/>
    <d v="2019-04-16T00:00:00"/>
    <s v="https://ciera.northwestern.edu/2019/04/16/ciera-faculty-comment-on-worlds-first-image-of-a-black-hole/"/>
    <s v="Black Holes &amp; Dead Stars"/>
    <s v="CIERA Stories"/>
    <s v="Science"/>
    <x v="0"/>
  </r>
  <r>
    <n v="3934"/>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x v="0"/>
  </r>
  <r>
    <n v="4577"/>
    <s v="Reach for the Stars Teacher Mark Vondracek Wins Physics Teacher‚Äôs Award"/>
    <d v="2019-04-15T00:00:00"/>
    <s v="https://ciera.northwestern.edu/2019/04/15/reach-for-the-stars-teacher-mark-vondracek-wins-physics-teachers-award/"/>
    <m/>
    <s v="CIERA Stories"/>
    <s v="Education|Achievement"/>
    <x v="0"/>
  </r>
  <r>
    <n v="3872"/>
    <s v="Professor Margutti‚Äôs Paper Among Top Ten in 2018"/>
    <d v="2019-04-03T00:00:00"/>
    <s v="https://ciera.northwestern.edu/2019/04/03/professor-marguttis-paper-among-top-ten-in-2018/"/>
    <s v="Gravitational Waves &amp; Multi-Messenger Astronomy"/>
    <s v="CIERA Stories"/>
    <s v="Achievement"/>
    <x v="0"/>
  </r>
  <r>
    <n v="3871"/>
    <s v="Vicky Kalogera Hosts Nobel Laureate Rainer Weiss for 2019 Heilborn Lecture Series"/>
    <d v="2019-04-02T00:00:00"/>
    <s v="https://ciera.northwestern.edu/2019/04/02/vicky-kalogera-hosts-nobel-laureate-rainer-weiss-for-2019-heilborn-lecture-series/"/>
    <m/>
    <s v="Northwestern Press"/>
    <s v="Event|Outreach"/>
    <x v="0"/>
  </r>
  <r>
    <n v="3843"/>
    <s v="Eight New Postdoctoral Researchers Join CIERA"/>
    <d v="2019-04-01T00:00:00"/>
    <s v="https://ciera.northwestern.edu/2019/04/01/eight-new-postdoctoral-researchers-join-ciera/"/>
    <m/>
    <s v="CIERA Stories"/>
    <s v="Achievement"/>
    <x v="0"/>
  </r>
  <r>
    <n v="3868"/>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x v="0"/>
  </r>
  <r>
    <n v="4177"/>
    <s v="Sean Raymond on Solar System Formation at CIERA Interdisciplinary Colloquium"/>
    <d v="2019-04-01T00:00:00"/>
    <s v="https://ciera.northwestern.edu/2019/04/01/sean-raymond-on-solar-system-formation-at-ciera-interdisciplinary-colloquium/"/>
    <m/>
    <s v="CIERA Stories"/>
    <s v="Event|Interdisciplinary"/>
    <x v="0"/>
  </r>
  <r>
    <n v="3859"/>
    <s v="You‚Äô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x v="0"/>
  </r>
  <r>
    <n v="3856"/>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x v="0"/>
  </r>
  <r>
    <n v="3838"/>
    <s v="Student-led Data Expeditions with &quot;Vault&quot;"/>
    <d v="2019-03-25T00:00:00"/>
    <s v="https://ciera.northwestern.edu/2019/03/25/student-led-data-expeditions-with-vault/"/>
    <m/>
    <s v="CIERA Stories"/>
    <s v="Education|Outreach|Interdisciplinary|Data Science &amp; Computing"/>
    <x v="0"/>
  </r>
  <r>
    <n v="4174"/>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x v="0"/>
  </r>
  <r>
    <n v="3823"/>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x v="0"/>
  </r>
  <r>
    <n v="3817"/>
    <s v="Local Podcast ‚ÄúInside the Skev‚Äù Explores CIERA Research &amp; Outreach Programs"/>
    <d v="2019-03-10T00:00:00"/>
    <s v="https://ciera.northwestern.edu/2019/03/10/local-podcast-inside-the-skev-explores-ciera-research-outreach-programs/"/>
    <m/>
    <s v="CIERA Stories"/>
    <s v="Education|Outreach|Interdisciplinary"/>
    <x v="0"/>
  </r>
  <r>
    <n v="3815"/>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x v="0"/>
  </r>
  <r>
    <n v="3724"/>
    <s v="CIERA Professor Wen-Fai Fong Interviewed by Science News"/>
    <d v="2019-02-25T00:00:00"/>
    <s v="https://ciera.northwestern.edu/2019/02/25/ciera-professor-wen-fai-fong-interviewed-by-science-news/"/>
    <s v="Gravitational Waves &amp; Multi-Messenger Astronomy"/>
    <s v="External Press"/>
    <s v="Achievement"/>
    <x v="0"/>
  </r>
  <r>
    <n v="3717"/>
    <s v="CIERA‚Äôs Erin Cox Wins NRAO Dissertation Award"/>
    <d v="2019-02-22T00:00:00"/>
    <s v="https://ciera.northwestern.edu/2019/02/22/cieras-erin-cox-wins-nrao-dissertation-award/"/>
    <s v="Exoplanets &amp; The Solar System|Life &amp; Death of Stars"/>
    <s v="External Press"/>
    <s v="Achievement"/>
    <x v="0"/>
  </r>
  <r>
    <n v="3634"/>
    <s v="New York Times Discusses Importance of ‚ÄòBehind the Scenes‚Äô Science"/>
    <d v="2019-02-20T00:00:00"/>
    <s v="https://ciera.northwestern.edu/2019/02/20/new-york-times-discusses-importance-of-behind-the-scenes-science/"/>
    <s v="Gravitational Waves &amp; Multi-Messenger Astronomy"/>
    <s v="External Press"/>
    <s v="Science|Interdisciplinary"/>
    <x v="0"/>
  </r>
  <r>
    <n v="3629"/>
    <s v="CIERA‚Äôs Raffaella Margutti Named Sloan Research Fellow"/>
    <d v="2019-02-19T00:00:00"/>
    <s v="https://ciera.northwestern.edu/2019/02/19/cieras-raffaella-margutti-named-sloan-research-fellow/"/>
    <m/>
    <s v="Northwestern Press|External Press"/>
    <s v="Achievement"/>
    <x v="0"/>
  </r>
  <r>
    <n v="3507"/>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x v="0"/>
  </r>
  <r>
    <n v="3951"/>
    <s v="CIERA REU Students Present at 233rd Meeting of the AAS"/>
    <d v="2019-01-31T00:00:00"/>
    <s v="https://ciera.northwestern.edu/2019/01/31/ciera-reu-students-present-at-233rd-meeting-of-the-aas/"/>
    <m/>
    <s v="CIERA Stories"/>
    <s v="Education|Event"/>
    <x v="0"/>
  </r>
  <r>
    <n v="3376"/>
    <s v="Paper by CIERA Postdoc Emily Leiner Highlighted on AAS Nova Site"/>
    <d v="2019-01-28T00:00:00"/>
    <s v="https://ciera.northwestern.edu/2019/01/28/paper-by-ciera-postdoc-emily-leiner-highlighted-on-aas-nova-site/"/>
    <s v="Stellar Dynamics &amp; Stellar Populations"/>
    <s v="External Press"/>
    <s v="Achievement|Science"/>
    <x v="0"/>
  </r>
  <r>
    <n v="3421"/>
    <s v="Y.O.U. Students Enjoy Astronomy Visit"/>
    <d v="2019-01-22T00:00:00"/>
    <s v="https://ciera.northwestern.edu/2019/01/22/y-o-u-students-enjoy-astronomy-visit/"/>
    <m/>
    <s v="CIERA Stories"/>
    <s v="Education|Outreach"/>
    <x v="0"/>
  </r>
  <r>
    <n v="3442"/>
    <s v="Northwestern Hosts Regional Conference for Women in Physics"/>
    <d v="2019-01-21T00:00:00"/>
    <s v="https://ciera.northwestern.edu/2019/01/21/northwestern-hosts-regional-conference-for-women-in-physics/"/>
    <m/>
    <s v="CIERA Stories"/>
    <s v="Event|Interdisciplinary"/>
    <x v="0"/>
  </r>
  <r>
    <n v="3415"/>
    <s v="Total Lunar Eclipse Captivates on Frigid Night"/>
    <d v="2019-01-20T00:00:00"/>
    <s v="https://ciera.northwestern.edu/2019/01/20/total-lunar-eclipse-captivates-on-frigid-night/"/>
    <m/>
    <s v="CIERA Stories"/>
    <s v="Event|Outreach"/>
    <x v="0"/>
  </r>
  <r>
    <n v="3410"/>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x v="0"/>
  </r>
  <r>
    <n v="3274"/>
    <s v="Birth of a Black Hole or Neutron Star Captured for First Time"/>
    <d v="2019-01-10T00:00:00"/>
    <s v="https://ciera.northwestern.edu/2019/01/10/birth-of-a-black-hole-or-neutron-star-captured-for-first-time/"/>
    <s v="Black Holes &amp; Dead Stars|Life &amp; Death of Stars"/>
    <s v="Northwestern Press|External Press"/>
    <s v="Science"/>
    <x v="0"/>
  </r>
  <r>
    <n v="3254"/>
    <s v="Sasha Tchekhovskoy Receives High-Performance Computing Award"/>
    <d v="2018-12-18T00:00:00"/>
    <s v="https://ciera.northwestern.edu/2018/12/18/sasha-tchekhovskoy-receives-high-performance-computing-award/"/>
    <s v="Black Holes &amp; Dead Stars"/>
    <s v="CIERA Stories"/>
    <s v="Achievement|Science|Data Science &amp; Computing"/>
    <x v="0"/>
  </r>
  <r>
    <n v="3257"/>
    <s v="Shane Larson Wins Grand Prize in Instructables Optics Contest"/>
    <d v="2018-12-18T00:00:00"/>
    <s v="https://ciera.northwestern.edu/2018/12/18/shane-larson-wins-grand-prize-in-instructables-optics-contest/"/>
    <m/>
    <s v="CIERA Stories|External Press"/>
    <s v="Education|Achievement|Outreach|Interdisciplinary"/>
    <x v="0"/>
  </r>
  <r>
    <n v="3225"/>
    <s v="‚ÄúGalactic Bloom‚Äù Takes 2nd Place &amp; Student Choice Award in ‚ÄòBeauty of Science‚Äô Contest"/>
    <d v="2018-12-13T00:00:00"/>
    <s v="https://ciera.northwestern.edu/2018/12/13/galactic-bloom-takes-2nd-place-student-choice-award-in-beauty-of-science-contest/"/>
    <s v="Galaxies &amp; Cosmology"/>
    <s v="Northwestern Press"/>
    <s v="Achievement|Interdisciplinary"/>
    <x v="0"/>
  </r>
  <r>
    <n v="2977"/>
    <s v="Four New Gravitational-Wave Detections"/>
    <d v="2018-12-03T00:00:00"/>
    <s v="https://ciera.northwestern.edu/2018/12/03/four-new-gravitational-wave-detections/"/>
    <s v="Gravitational Waves &amp; Multi-Messenger Astronomy"/>
    <s v="Northwestern Press|External Press"/>
    <s v="Science"/>
    <x v="0"/>
  </r>
  <r>
    <n v="2783"/>
    <s v="Fred Rasio Named AAAS Fellow, for Extraordinary Achievement in Advancing Science"/>
    <d v="2018-11-27T00:00:00"/>
    <s v="https://ciera.northwestern.edu/2018/11/27/fred-rasio-named-aaas-fellow-for-extraordinary-achievement-in-advancing-science/"/>
    <m/>
    <s v="Northwestern Press|External Press"/>
    <s v="Achievement"/>
    <x v="0"/>
  </r>
  <r>
    <n v="2747"/>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x v="0"/>
  </r>
  <r>
    <n v="2642"/>
    <s v="Lecture by CIERA Associate Director Shane Larson Featured in 'Astronomy' Magazine"/>
    <d v="2018-11-20T00:00:00"/>
    <s v="https://ciera.northwestern.edu/2018/11/20/lecture-by-ciera-assistant-director-shane-larson-featured-in-astronomy-magazine/"/>
    <m/>
    <s v="External Press"/>
    <s v="Achievement|Outreach"/>
    <x v="0"/>
  </r>
  <r>
    <n v="2408"/>
    <s v="CIERA Hosts Dr. Beth Willman as Interdisciplinary Colloquium Speaker"/>
    <d v="2018-11-12T00:00:00"/>
    <s v="https://ciera.northwestern.edu/2018/11/12/ciera-hosts-dr-beth-willman-as-interdisciplinary-colloquium-speaker/"/>
    <m/>
    <s v="CIERA Stories"/>
    <s v="Event|Interdisciplinary|Data Science &amp; Computing"/>
    <x v="0"/>
  </r>
  <r>
    <n v="2111"/>
    <s v="CIERA Professor Raffaella Margutti Group Research Featured in Nature Magazine"/>
    <d v="2018-11-02T00:00:00"/>
    <s v="https://ciera.northwestern.edu/2018/11/02/ciera-professor-raffaella-margutti-group-research-featured-in-nature-magazine/"/>
    <s v="Life &amp; Death of Stars"/>
    <s v="External Press"/>
    <s v="Science"/>
    <x v="0"/>
  </r>
  <r>
    <n v="1935"/>
    <s v="CIERA‚Äôs Shane Larson to Give Dome Lecture Streamed World-wide"/>
    <d v="2018-10-26T00:00:00"/>
    <s v="https://ciera.northwestern.edu/2018/10/26/cieras-shane-larson-to-give-dome-lecture-streamed-world-wide/"/>
    <m/>
    <s v="CIERA Stories"/>
    <s v="Achievement|Event|Outreach"/>
    <x v="0"/>
  </r>
  <r>
    <n v="1947"/>
    <s v="Dearborn Observatory Welcomes 1500 Visitors During Open House Chicago"/>
    <d v="2018-10-26T00:00:00"/>
    <s v="https://ciera.northwestern.edu/2018/10/26/dearborn-observatory-welcomes-1500-visitors-during-open-house-chicago/"/>
    <m/>
    <s v="CIERA Stories"/>
    <s v="Event|Outreach"/>
    <x v="0"/>
  </r>
  <r>
    <n v="1914"/>
    <s v="CIERA Director Vicky Kalogera Presents Annual Public Lecture"/>
    <d v="2018-10-25T00:00:00"/>
    <s v="https://ciera.northwestern.edu/2018/10/25/ciera-director-vicky-kalogera-presents-annual-public-lecture/"/>
    <m/>
    <s v="CIERA Stories"/>
    <s v="Event|Outreach"/>
    <x v="0"/>
  </r>
  <r>
    <n v="1930"/>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x v="0"/>
  </r>
  <r>
    <n v="1701"/>
    <s v="Phil Nicholson Presents CIERA Interdisciplinary Colloquium, Joint with EPS"/>
    <d v="2018-09-27T00:00:00"/>
    <s v="https://ciera.northwestern.edu/2018/09/27/phil-nicholson-presents-ciera-interdisciplinary-colloquium-joint-with-eps/"/>
    <s v="Exoplanets &amp; The Solar System"/>
    <s v="CIERA Stories"/>
    <s v="Event|Interdisciplinary"/>
    <x v="0"/>
  </r>
  <r>
    <n v="1668"/>
    <s v="Astronomers Witness Birth of New Star from Stellar Explosion"/>
    <d v="2018-09-20T00:00:00"/>
    <s v="https://ciera.northwestern.edu/2018/09/20/astronomers-witness-birth-of-new-star-from-stellar-explosion/"/>
    <s v="Life &amp; Death of Stars"/>
    <s v="External Press"/>
    <s v="Science"/>
    <x v="0"/>
  </r>
  <r>
    <n v="1698"/>
    <s v="CIERA Researchers Featured in ‚ÄúHumans of LIGO‚Äù"/>
    <d v="2018-09-20T00:00:00"/>
    <s v="https://ciera.northwestern.edu/2018/09/20/ciera-researchers-featured-in-humans-of-ligo/"/>
    <s v="Gravitational Waves &amp; Multi-Messenger Astronomy"/>
    <s v="External Press"/>
    <s v="Achievement"/>
    <x v="0"/>
  </r>
  <r>
    <n v="1544"/>
    <s v="CIERA Celebrates a Decade Of Discovery"/>
    <d v="2018-09-13T00:00:00"/>
    <s v="https://ciera.northwestern.edu/2018/09/13/ciera-celebrates-aa-decade-of-discovery/"/>
    <m/>
    <s v="Northwestern Press"/>
    <s v="Event|Outreach"/>
    <x v="0"/>
  </r>
  <r>
    <n v="1696"/>
    <s v="Welcome Christopher Berry, Inaugural CIERA Board of Visitors Research Professor"/>
    <d v="2018-09-01T00:00:00"/>
    <s v="https://ciera.northwestern.edu/2018/09/01/welcome-christopher-berry-inaugural-ciera-board-of-visitors-research-professor/"/>
    <m/>
    <s v="CIERA Stories"/>
    <s v="Achievement"/>
    <x v="0"/>
  </r>
  <r>
    <n v="1615"/>
    <s v="2018 REU Students Present Their Research at Annual Poster Session"/>
    <d v="2018-08-24T00:00:00"/>
    <s v="https://ciera.northwestern.edu/2018/08/24/2018-reu-students-present-their-research-at-annual-poster-session/"/>
    <m/>
    <s v="CIERA Stories"/>
    <s v="Achievement|Event|Outreach|Interdisciplinary"/>
    <x v="0"/>
  </r>
  <r>
    <n v="1681"/>
    <s v="Prof. Mel Ulmer Featured in Sky at Night Magazine"/>
    <d v="2018-08-24T00:00:00"/>
    <s v="https://ciera.northwestern.edu/2018/08/24/prof-mel-ulmer-featured-in-sky-at-night-magazine/"/>
    <m/>
    <s v="External Press"/>
    <s v="Achievement|Science"/>
    <x v="0"/>
  </r>
  <r>
    <n v="1493"/>
    <s v="Another Way for Stellar-mass Black Holes to Grow Larger"/>
    <d v="2018-08-17T00:00:00"/>
    <s v="https://ciera.northwestern.edu/2018/08/17/another-way-for-stellar-mass-black-holes-to-grow-larger/"/>
    <s v="Black Holes &amp; Dead Stars"/>
    <s v="External Press"/>
    <s v="Science"/>
    <x v="0"/>
  </r>
  <r>
    <n v="1294"/>
    <s v="CIERA‚Äôs Michelle Paulsen to Serve on National Education Leadership Committee"/>
    <d v="2018-08-13T00:00:00"/>
    <s v="https://ciera.northwestern.edu/2018/08/13/cieras-michelle-paulsen-to-serve-on-national-education-leadership-committee/"/>
    <m/>
    <s v="CIERA Stories"/>
    <s v="Education|Achievement"/>
    <x v="0"/>
  </r>
  <r>
    <n v="1613"/>
    <s v="CIERA REU Panel Discussion Explores Careers in Astrophysics"/>
    <d v="2018-08-06T00:00:00"/>
    <s v="https://ciera.northwestern.edu/2018/08/06/ciera-reu-panel-discussion-explores-careers-in-astrophysics/"/>
    <m/>
    <s v="CIERA Stories"/>
    <s v="Education"/>
    <x v="0"/>
  </r>
  <r>
    <n v="1289"/>
    <s v="Experts Gather to Discuss the Circumgalactic Medium"/>
    <d v="2018-08-04T00:00:00"/>
    <s v="https://ciera.northwestern.edu/2018/08/04/experts-gather-to-discuss-the-circumgalactic-medium/"/>
    <s v="Galaxies &amp; Cosmology"/>
    <s v="CIERA Stories"/>
    <s v="Event"/>
    <x v="0"/>
  </r>
  <r>
    <n v="433"/>
    <s v="Profs. Wen-fai Fong, Raffaella Margutti and Team Create First-ever Movie of Gamma-ray Burst"/>
    <d v="2018-07-26T00:00:00"/>
    <s v="https://ciera.northwestern.edu/2018/07/26/profs-wen-fai-fong-raffaella-margutti-and-team-create-first-ever-movie-of-gamma-ray-burst/"/>
    <s v="Life &amp; Death of Stars"/>
    <s v="Northwestern Press"/>
    <s v="Science"/>
    <x v="0"/>
  </r>
  <r>
    <n v="437"/>
    <s v="12th International LISA Symposium Held in Chicago by CIERA &amp; AAS"/>
    <d v="2018-07-13T00:00:00"/>
    <s v="https://ciera.northwestern.edu/2018/07/13/12th-international-lisa-symposium-held-in-chicago-by-ciera-aas/"/>
    <s v="Gravitational Waves &amp; Multi-Messenger Astronomy"/>
    <s v="CIERA Stories"/>
    <s v="Event"/>
    <x v="0"/>
  </r>
  <r>
    <n v="1286"/>
    <s v="CIERA Sponsors Meeting of Gravitational Wave International Committee"/>
    <d v="2018-07-08T00:00:00"/>
    <s v="https://ciera.northwestern.edu/2018/07/08/ciera-sponsors-meeting-of-gravitational-wave-international-committee/"/>
    <s v="Gravitational Waves &amp; Multi-Messenger Astronomy"/>
    <s v="CIERA Stories"/>
    <s v="Event"/>
    <x v="0"/>
  </r>
  <r>
    <n v="1288"/>
    <s v="MODEST-18 Hosted by CIERA in Santorini, Greece"/>
    <d v="2018-06-29T00:00:00"/>
    <s v="https://ciera.northwestern.edu/2018/06/29/modest-18-hosted-by-ciera-in-santorini-greece/"/>
    <s v="Stellar Dynamics &amp; Stellar Populations"/>
    <s v="CIERA Stories"/>
    <s v="Event"/>
    <x v="0"/>
  </r>
  <r>
    <n v="1306"/>
    <s v="CIERA Helps Chicago-Area High School Students Host 2018 GirlCon"/>
    <d v="2018-06-16T00:00:00"/>
    <s v="https://ciera.northwestern.edu/2018/06/16/ciera-helps-chicago-area-high-school-students-host-2018-girlcon/"/>
    <m/>
    <s v="CIERA Stories"/>
    <s v="Event|Outreach|Interdisciplinary"/>
    <x v="0"/>
  </r>
  <r>
    <n v="1309"/>
    <s v="CIERA Postdocs Advance to New Positions"/>
    <d v="2018-06-10T00:00:00"/>
    <s v="https://ciera.northwestern.edu/2018/06/10/ciera-postdocs-advance-to-new-positions/"/>
    <m/>
    <s v="CIERA Stories"/>
    <s v="Achievement|Data Science &amp; Computing"/>
    <x v="0"/>
  </r>
  <r>
    <n v="1310"/>
    <s v="Brice M√©nard Presents CIERA Interdisciplinary Colloquium"/>
    <d v="2018-06-04T00:00:00"/>
    <s v="https://ciera.northwestern.edu/2018/06/04/brice-menard-presents-ciera-interdisciplinary-colloquium/"/>
    <m/>
    <s v="CIERA Stories"/>
    <s v="Event|Interdisciplinary|Data Science &amp; Computing"/>
    <x v="0"/>
  </r>
  <r>
    <n v="1626"/>
    <s v="Announcing CIERA's 2018 Summer Undergraduate Researchers"/>
    <d v="2018-06-01T00:00:00"/>
    <s v="https://ciera.northwestern.edu/2018/06/01/announcing-cieras-2018-summer-undergraduate-researchers/"/>
    <m/>
    <s v="CIERA Stories"/>
    <s v="Education|Interdisciplinary|Data Science &amp; Computing"/>
    <x v="0"/>
  </r>
  <r>
    <n v="1312"/>
    <s v="CIERA Contributes to World Science Festival"/>
    <d v="2018-05-30T00:00:00"/>
    <s v="https://ciera.northwestern.edu/2018/05/30/ciera-contributes-to-world-science-festival/"/>
    <s v="Black Holes &amp; Dead Stars|Gravitational Waves &amp; Multi-Messenger Astronomy"/>
    <s v="CIERA Stories"/>
    <s v="Event|Outreach"/>
    <x v="0"/>
  </r>
  <r>
    <n v="1318"/>
    <s v="CIERA Partners with The Chicago Network on STEM Event"/>
    <d v="2018-05-17T00:00:00"/>
    <s v="https://ciera.northwestern.edu/2018/05/17/ciera-partners-with-the-chicago-network-on-stem-event/"/>
    <s v="Black Holes &amp; Dead Stars|Gravitational Waves &amp; Multi-Messenger Astronomy"/>
    <s v="CIERA Stories"/>
    <s v="Event|Outreach"/>
    <x v="0"/>
  </r>
  <r>
    <n v="1346"/>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x v="0"/>
  </r>
  <r>
    <n v="1351"/>
    <s v="PhD Student Alex Gurvich Awarded Two Prestigious Fellowships"/>
    <d v="2018-05-10T00:00:00"/>
    <s v="https://ciera.northwestern.edu/2018/05/10/phd-student-alex-gurvich-awarded-two-prestigious-fellowships/"/>
    <s v="Galaxies &amp; Cosmology"/>
    <s v="CIERA Stories|External Press"/>
    <s v="Achievement"/>
    <x v="0"/>
  </r>
  <r>
    <n v="1353"/>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x v="0"/>
  </r>
  <r>
    <n v="1357"/>
    <s v="Professor Vicky Kalogera Elected to National Academy of Sciences"/>
    <d v="2018-05-02T00:00:00"/>
    <s v="https://ciera.northwestern.edu/2018/05/02/professor-vicky-kalogera-elected-to-national-academy-of-sciences/"/>
    <m/>
    <s v="Northwestern Press|External Press"/>
    <s v="Achievement"/>
    <x v="0"/>
  </r>
  <r>
    <n v="1360"/>
    <s v="Reach for the Stars Teacher, John Kretsos, Honored with Distinguished Secondary Teacher Award"/>
    <d v="2018-05-02T00:00:00"/>
    <s v="https://ciera.northwestern.edu/2018/05/02/reach-for-the-stars-teacher-john-kretsos-honored-with-distinguished-secondary-teacher-award/"/>
    <m/>
    <s v="Northwestern Press"/>
    <s v="Education|Achievement"/>
    <x v="0"/>
  </r>
  <r>
    <n v="1390"/>
    <s v="REU Student Jos√© Flores Velazquez Presents Research on Capitol Hill"/>
    <d v="2018-04-20T00:00:00"/>
    <s v="https://ciera.northwestern.edu/2018/04/20/reu-student-jose-flores-velazquez-presents-research-on-capitol-hill/"/>
    <s v="Galaxies &amp; Cosmology"/>
    <s v="CIERA Stories"/>
    <s v="Achievement"/>
    <x v="0"/>
  </r>
  <r>
    <n v="1391"/>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x v="0"/>
  </r>
  <r>
    <n v="1392"/>
    <s v="Nature Astronomy Perspective: Professor Faucher-Gigu√®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x v="0"/>
  </r>
  <r>
    <n v="1396"/>
    <s v="CIERA Hosts Workshop on Radio Astronomy"/>
    <d v="2018-03-29T00:00:00"/>
    <s v="https://ciera.northwestern.edu/2018/03/29/ciera-hosts-workshop-on-radio-astronomy/"/>
    <m/>
    <s v="CIERA Stories"/>
    <s v="Achievement|Event"/>
    <x v="0"/>
  </r>
  <r>
    <n v="1399"/>
    <s v="Embassy of Greece Interviews CIERA Director Vicky Kalogera"/>
    <d v="2018-03-27T00:00:00"/>
    <s v="https://ciera.northwestern.edu/2018/03/27/embassy-of-greece-interviews-ciera-director-vicky-kalogera/"/>
    <m/>
    <s v="External Press"/>
    <s v="Achievement"/>
    <x v="0"/>
  </r>
  <r>
    <n v="1400"/>
    <s v="Chandra Director Belinda Wilkes Presents CIERA Interdisciplinary Colloquium"/>
    <d v="2018-03-22T00:00:00"/>
    <s v="https://ciera.northwestern.edu/2018/03/22/chandra-director-belinda-wilkes-presents-ciera-interdisciplinary-colloquium/"/>
    <m/>
    <s v="CIERA Stories"/>
    <s v="Event|Interdisciplinary"/>
    <x v="0"/>
  </r>
  <r>
    <n v="769"/>
    <s v="Shaping Globular Clusters with Black Holes"/>
    <d v="2018-03-21T00:00:00"/>
    <s v="https://ciera.northwestern.edu/2018/03/21/shaping-globular-clusters-with-black-holes/"/>
    <s v="Black Holes &amp; Dead Stars|Stellar Dynamics &amp; Stellar Populations"/>
    <s v="External Press"/>
    <s v="Science"/>
    <x v="0"/>
  </r>
  <r>
    <n v="1436"/>
    <s v="Professor Claude-Andr√© Faucher-Gigu√®re Named Cottrell Scholar"/>
    <d v="2018-02-12T00:00:00"/>
    <s v="https://ciera.northwestern.edu/2018/02/12/professor-claude-andre-faucher-giguere-named-cottrell-scholar/"/>
    <m/>
    <s v="Northwestern Press|External Press"/>
    <s v="Achievement"/>
    <x v="0"/>
  </r>
  <r>
    <n v="1490"/>
    <s v="CIERA Director Vicky Kalogera Meets with U.S. Congressman"/>
    <d v="2018-02-05T00:00:00"/>
    <s v="https://ciera.northwestern.edu/2018/02/05/ciera-director-vicky-kalogera-meets-with-u-s-congressman/"/>
    <m/>
    <s v="CIERA Stories"/>
    <s v="Achievement|Outreach"/>
    <x v="0"/>
  </r>
  <r>
    <n v="1431"/>
    <s v="CIERA Graduate Students Host Field Trip for Girls 4 Science"/>
    <d v="2018-02-03T00:00:00"/>
    <s v="https://ciera.northwestern.edu/2018/02/03/ciera-graduate-students-host-field-trip-for-girls-4-science/"/>
    <m/>
    <s v="CIERA Stories"/>
    <s v="Event|Outreach"/>
    <x v="0"/>
  </r>
  <r>
    <n v="1438"/>
    <s v="CIERA Director Vicky Kalogera Named Daniel I. Linzer Distinguished University Professor"/>
    <d v="2018-01-31T00:00:00"/>
    <s v="https://ciera.northwestern.edu/2018/01/31/ciera-director-vicky-kalogera-named-daniel-i-linzer-distinguished-university-professor/"/>
    <m/>
    <s v="CIERA Stories"/>
    <s v="Achievement"/>
    <x v="0"/>
  </r>
  <r>
    <n v="1445"/>
    <s v="CIERA REU Students Present at 231st Meeting of the AAS"/>
    <d v="2018-01-31T00:00:00"/>
    <s v="https://ciera.northwestern.edu/2018/01/31/ciera-reu-students-present-at-231st-meeting-of-the-aas/"/>
    <m/>
    <s v="CIERA Stories"/>
    <s v="Education|Achievement|Event|Interdisciplinary"/>
    <x v="0"/>
  </r>
  <r>
    <n v="1448"/>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x v="0"/>
  </r>
  <r>
    <n v="1452"/>
    <s v="CIERA Director Vicky Kalogera Wins 2018 Dannie Heineman Prize for Astrophysics"/>
    <d v="2018-01-10T00:00:00"/>
    <s v="https://ciera.northwestern.edu/2018/01/10/ciera-director-vicky-kalogera-wins-2018-dannie-heineman-prize-for-astrophysics/"/>
    <m/>
    <s v="Northwestern Press"/>
    <s v="Achievement"/>
    <x v="0"/>
  </r>
  <r>
    <n v="1453"/>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x v="0"/>
  </r>
  <r>
    <n v="1456"/>
    <s v="Astronomy from the Stratosphere: New Research by CIERA Postdoc Fabio Santos"/>
    <d v="2018-01-09T00:00:00"/>
    <s v="https://ciera.northwestern.edu/2018/01/09/astronomy-from-the-stratosphere-new-research-by-ciera-postdoc-fabio-santos/"/>
    <s v="Life &amp; Death of Stars"/>
    <s v="External Press"/>
    <s v="Science"/>
    <x v="0"/>
  </r>
  <r>
    <n v="1460"/>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x v="0"/>
  </r>
  <r>
    <n v="1382"/>
    <s v="Greg Laughlin and Dan Tamayo Present CIERA Interdisciplinary Colloquia"/>
    <d v="2017-12-01T00:00:00"/>
    <s v="https://ciera.northwestern.edu/2017/12/01/greg-lauglin-and-dan-tamayo-present-ciera-interdisciplinary-colloquia/"/>
    <s v="Exoplanets &amp; The Solar System"/>
    <s v="CIERA Stories"/>
    <s v="Event|Interdisciplinary"/>
    <x v="0"/>
  </r>
  <r>
    <n v="1465"/>
    <s v="Professor Yusef-Zadeh: Infant Stars Surprisingly Near Galaxy‚Äôs Supermassive Black Hole"/>
    <d v="2017-12-01T00:00:00"/>
    <s v="https://ciera.northwestern.edu/2017/12/01/professor-yusef-zadeh-infant-stars-surprisingly-near-galaxys-supermassive-black-hole/"/>
    <s v="Black Holes &amp; Dead Stars|Life &amp; Death of Stars"/>
    <s v="Northwestern Press|External Press"/>
    <s v="Science"/>
    <x v="0"/>
  </r>
  <r>
    <n v="1468"/>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x v="0"/>
  </r>
  <r>
    <n v="1415"/>
    <s v="Cosmos in Concert: Celestial Suite"/>
    <d v="2017-11-18T00:00:00"/>
    <s v="https://ciera.northwestern.edu/2017/11/18/cosmos-in-concert-celestial-suite/"/>
    <m/>
    <s v="CIERA Stories"/>
    <s v="Event|Outreach|Interdisciplinary"/>
    <x v="0"/>
  </r>
  <r>
    <n v="1413"/>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x v="0"/>
  </r>
  <r>
    <n v="1381"/>
    <s v="‚ÄúBlack Hole Encounter‚Äù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x v="0"/>
  </r>
  <r>
    <n v="1411"/>
    <s v="Top Telescope Access for CIERA Researchers"/>
    <d v="2017-11-01T00:00:00"/>
    <s v="https://ciera.northwestern.edu/2017/11/01/top-telescope-access-for-ciera-researchers/"/>
    <m/>
    <s v="CIERA Stories"/>
    <s v="Science"/>
    <x v="0"/>
  </r>
  <r>
    <n v="1379"/>
    <s v="CIERA Affiliate Member Magdalena Osburn Named Packard Fellow"/>
    <d v="2017-10-26T00:00:00"/>
    <s v="https://ciera.northwestern.edu/2017/10/26/ciera-affiliate-member-magdalena-osburn-named-packard-fellow/"/>
    <m/>
    <s v="Northwestern Press"/>
    <s v="Achievement|Interdisciplinary"/>
    <x v="0"/>
  </r>
  <r>
    <n v="1377"/>
    <s v="CIERA REU Student Jos√© Flores Wins Best Poster Presentation at 2017 SACNAS Conference"/>
    <d v="2017-10-21T00:00:00"/>
    <s v="https://ciera.northwestern.edu/2017/10/21/ciera-reu-student-jose-flores-wins-best-poster-presentation-at-2017-sacnas-conference/"/>
    <s v="Galaxies &amp; Cosmology"/>
    <s v="CIERA Stories"/>
    <s v="Education|Achievement"/>
    <x v="0"/>
  </r>
  <r>
    <n v="1361"/>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x v="0"/>
  </r>
  <r>
    <n v="1370"/>
    <s v="CIERA‚Äôs Shane Larson Joins U.S. NASA LISA Study Team"/>
    <d v="2017-10-15T00:00:00"/>
    <s v="https://ciera.northwestern.edu/2017/10/15/cieras-shane-larson-joins-u-s-nasa-lisa-study-team/"/>
    <s v="Gravitational Waves &amp; Multi-Messenger Astronomy"/>
    <s v="CIERA Stories"/>
    <s v="Achievement"/>
    <x v="0"/>
  </r>
  <r>
    <n v="1368"/>
    <s v="Graduate Student Katie Breivik Wins Blue Apple Prize at MRM"/>
    <d v="2017-10-14T00:00:00"/>
    <s v="https://ciera.northwestern.edu/2017/10/14/graduate-student-katie-breivik-wins-blue-apple-prize-at-mrm/"/>
    <s v="Black Holes &amp; Dead Stars|Stellar Dynamics &amp; Stellar Populations"/>
    <s v="CIERA Stories"/>
    <s v="Achievement"/>
    <x v="0"/>
  </r>
  <r>
    <n v="1372"/>
    <s v="Cosmologist Prof. Wendy Freedman Presents CIERA Annual Public Lecture"/>
    <d v="2017-10-05T00:00:00"/>
    <s v="https://ciera.northwestern.edu/2017/10/05/cosmologist-prof-wendy-freedman-presents-ciera-annual-public-lecture/"/>
    <m/>
    <s v="Northwestern Press|CIERA Stories"/>
    <s v="Event|Outreach"/>
    <x v="0"/>
  </r>
  <r>
    <n v="1355"/>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x v="0"/>
  </r>
  <r>
    <n v="1352"/>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x v="0"/>
  </r>
  <r>
    <n v="1347"/>
    <s v="Unique Supernova Revealed by CIERA Postdoc Giacomo Terreran"/>
    <d v="2017-09-18T00:00:00"/>
    <s v="https://ciera.northwestern.edu/2017/09/18/unique-supernova-revealed-by-ciera-postdoc-giacomo-terreran/"/>
    <s v="Life &amp; Death of Stars"/>
    <s v="External Press"/>
    <s v="Science"/>
    <x v="0"/>
  </r>
  <r>
    <n v="1317"/>
    <s v="Sky &amp; Telescope Features ‚ÄúThree Cosmic Chirps and Counting‚Äù by CIERA Director Vicky Kalogera"/>
    <d v="2017-09-15T00:00:00"/>
    <s v="https://ciera.northwestern.edu/2017/09/15/three-cosmic-chirps-and-counting/"/>
    <s v="Gravitational Waves &amp; Multi-Messenger Astronomy"/>
    <s v="External Press"/>
    <s v="Achievement|Outreach"/>
    <x v="0"/>
  </r>
  <r>
    <n v="1343"/>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x v="0"/>
  </r>
  <r>
    <n v="1295"/>
    <s v="Announcing CIERA Director of Operations Kari Frank &amp; Associate Director Shane Larson"/>
    <d v="2017-09-01T00:00:00"/>
    <s v="https://ciera.northwestern.edu/2017/09/01/announcing-ciera-director-of-operations-kari-frank-associate-director-shane-larson/"/>
    <m/>
    <s v="CIERA Stories"/>
    <s v="Achievement"/>
    <x v="0"/>
  </r>
  <r>
    <n v="1315"/>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x v="0"/>
  </r>
  <r>
    <n v="1324"/>
    <s v="Graduate Student Eve Chase Wins Best Poster Award at LSC-Virgo Meeting"/>
    <d v="2017-09-01T00:00:00"/>
    <s v="https://ciera.northwestern.edu/2017/09/01/graduate-student-eve-chase-wins-best-poster-award-at-lsc-virgo-meeting/"/>
    <s v="Gravitational Waves &amp; Multi-Messenger Astronomy"/>
    <s v="CIERA Stories"/>
    <s v="Achievement"/>
    <x v="0"/>
  </r>
  <r>
    <n v="1928"/>
    <s v="CIERA Director Vicky Kalogera Appointed CIFAR Senior Fellow"/>
    <d v="2017-08-31T00:00:00"/>
    <s v="https://ciera.northwestern.edu/2017/08/31/ciera-director-vicky-kalogera-appointed-cifar-senior-fellow/"/>
    <m/>
    <s v="CIERA Stories"/>
    <s v="Achievement"/>
    <x v="0"/>
  </r>
  <r>
    <n v="1940"/>
    <s v="CIERA Postdoc Alum Carl Rodriguez Featured in Northwestern Magazine"/>
    <d v="2017-08-31T00:00:00"/>
    <s v="https://ciera.northwestern.edu/2017/08/31/ciera-postdoc-alum-carl-rodriguez-featured-in-northwestern-magazine/"/>
    <s v="Black Holes &amp; Dead Stars"/>
    <s v="CIERA Stories"/>
    <s v="Achievement"/>
    <x v="0"/>
  </r>
  <r>
    <n v="1950"/>
    <s v="New Issue of ‚ÄúLIGO Magazine‚Äù Available"/>
    <d v="2017-08-31T00:00:00"/>
    <s v="https://ciera.northwestern.edu/2017/08/31/new-issue-of-ligo-magazine-available/"/>
    <s v="Gravitational Waves &amp; Multi-Messenger Astronomy"/>
    <s v="External Press"/>
    <s v="Science"/>
    <x v="0"/>
  </r>
  <r>
    <n v="2007"/>
    <s v="CIERA Pop-up Eclipse Viewing at Tech Allows Hundreds to Enjoy Rare Sky Event"/>
    <d v="2017-08-22T00:00:00"/>
    <s v="https://ciera.northwestern.edu/2017/08/22/ciera-pop-up-eclipse-viewing-at-tech-allows-hundreds-to-enjoy-rare-sky-event/"/>
    <m/>
    <s v="Northwestern Press|CIERA Stories|External Press"/>
    <s v="Event|Outreach"/>
    <x v="0"/>
  </r>
  <r>
    <n v="2015"/>
    <s v="2017 REU Students Present Their Research at Annual Poster Session"/>
    <d v="2017-08-18T00:00:00"/>
    <s v="https://ciera.northwestern.edu/2017/08/18/2017-reu-students-present-their-research-at-annual-poster-session/"/>
    <m/>
    <s v="CIERA Stories"/>
    <s v="Education|Achievement|Event|Outreach|Interdisciplinary"/>
    <x v="0"/>
  </r>
  <r>
    <n v="2012"/>
    <s v="Astronomy on Tap Hosts Eclipse-themed Event at Begyle Brewing"/>
    <d v="2017-08-15T00:00:00"/>
    <s v="https://ciera.northwestern.edu/2017/08/15/astronomy-on-tap-hosts-eclipse-themed-event-at-begyle-brewing/"/>
    <m/>
    <s v="CIERA Stories"/>
    <s v="Event|Outreach"/>
    <x v="0"/>
  </r>
  <r>
    <n v="2032"/>
    <s v="CIERA REU Students Discover Careers in Astronomy"/>
    <d v="2017-07-31T00:00:00"/>
    <s v="https://ciera.northwestern.edu/2017/07/31/ciera-reu-students-discover-careers-in-astronomy/"/>
    <m/>
    <s v="CIERA Stories"/>
    <s v="Education|Event"/>
    <x v="0"/>
  </r>
  <r>
    <n v="2084"/>
    <s v="CIERA Prof. Raffaella Margutti Helps Discover ‚ÄòHeavy Metal‚Äô Supernova Rocking Out"/>
    <d v="2017-07-31T00:00:00"/>
    <s v="https://ciera.northwestern.edu/2017/07/31/2084/"/>
    <s v="Life &amp; Death of Stars"/>
    <s v="Northwestern Press|External Press"/>
    <s v="Science"/>
    <x v="0"/>
  </r>
  <r>
    <n v="2087"/>
    <s v="Intergalactic Transfer: A New Study on How Matter Moves Across the Universe, Led by CIERA Postdoc Daniel Angl√©s-Alc√°zar"/>
    <d v="2017-07-31T00:00:00"/>
    <s v="https://ciera.northwestern.edu/2017/07/31/intergalactic-transfer-a-new-study-on-how-matter-moves-across-the-universe-led-by-ciera-postdoc-daniel-angles-alcazar/"/>
    <s v="Galaxies &amp; Cosmology"/>
    <s v="Northwestern Press|External Press"/>
    <s v="Science"/>
    <x v="0"/>
  </r>
  <r>
    <n v="2034"/>
    <s v="CIERA's 2017 Summer Student Researchers"/>
    <d v="2017-07-30T00:00:00"/>
    <s v="https://ciera.northwestern.edu/2017/07/30/cieras-2017-summer-student-researchers/"/>
    <m/>
    <s v="CIERA Stories"/>
    <s v="Education|Interdisciplinary"/>
    <x v="0"/>
  </r>
  <r>
    <n v="2088"/>
    <s v="The Computing Power Behind CIERA‚Äôs Galaxy Formation Research"/>
    <d v="2017-07-20T00:00:00"/>
    <s v="https://ciera.northwestern.edu/2017/07/20/the-computing-power-behind-cieras-galaxy-formation-research/"/>
    <s v="Galaxies &amp; Cosmology"/>
    <s v="Northwestern Press"/>
    <s v="Achievement"/>
    <x v="0"/>
  </r>
  <r>
    <n v="2089"/>
    <s v="Graduate Students Engage with 7th/8th Grade Students &amp; Families"/>
    <d v="2017-07-01T00:00:00"/>
    <s v="https://ciera.northwestern.edu/2017/07/01/graduate-students-engage-with-7th-8th-grade-students-families/"/>
    <m/>
    <s v="CIERA Stories"/>
    <s v="Event|Outreach"/>
    <x v="0"/>
  </r>
  <r>
    <n v="2199"/>
    <s v="CIERA Director Vicky Kalogera Featured in Northwestern Global Impact Video"/>
    <d v="2017-06-12T00:00:00"/>
    <s v="https://ciera.northwestern.edu/2017/06/12/ciera-director-vicky-kalogera-featured-in-northwestern-global-impact-video/"/>
    <m/>
    <s v="Northwestern Press"/>
    <s v="Achievement"/>
    <x v="0"/>
  </r>
  <r>
    <n v="2201"/>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x v="0"/>
  </r>
  <r>
    <n v="2203"/>
    <s v="CIERA Hosts Supernovae: The LSST Revolution Workshop"/>
    <d v="2017-06-03T00:00:00"/>
    <s v="https://ciera.northwestern.edu/2017/06/03/ciera-hosts-supernovae-the-lsst-revolution-workshop/"/>
    <s v="Life &amp; Death of Stars"/>
    <s v="CIERA Stories"/>
    <s v="Event|Interdisciplinary|Data Science &amp; Computing"/>
    <x v="0"/>
  </r>
  <r>
    <n v="2209"/>
    <s v="LIGO Detects Gravitational Waves for Third Time"/>
    <d v="2017-06-02T00:00:00"/>
    <s v="https://ciera.northwestern.edu/2017/06/02/ligo-detects-gravitational-waves-for-third-time/"/>
    <s v="Gravitational Waves &amp; Multi-Messenger Astronomy"/>
    <s v="Northwestern Press|External Press"/>
    <s v="Science"/>
    <x v="0"/>
  </r>
  <r>
    <n v="2210"/>
    <s v="Astronomy Students Awarded Best Senior Thesis"/>
    <d v="2017-05-30T00:00:00"/>
    <s v="https://ciera.northwestern.edu/2017/05/30/astronomy-students-awarded-best-senior-thesis/"/>
    <s v="Black Holes &amp; Dead Stars"/>
    <s v="CIERA Stories"/>
    <s v="Achievement"/>
    <x v="0"/>
  </r>
  <r>
    <n v="2213"/>
    <s v="&quot;Science Sonification&quot; Brings Together Composers &amp; STEM Researchers"/>
    <d v="2017-05-23T00:00:00"/>
    <s v="https://ciera.northwestern.edu/2017/05/23/science-sonification-brings-together-composers-stem-researchers/"/>
    <m/>
    <s v="CIERA Stories"/>
    <s v="Event|Outreach|Interdisciplinary"/>
    <x v="0"/>
  </r>
  <r>
    <n v="2305"/>
    <s v="CIERA Postdocs Advance to New Positions"/>
    <d v="2017-05-19T00:00:00"/>
    <s v="https://ciera.northwestern.edu/2017/05/19/ciera-postdocs-advance-to-new-positions-2/"/>
    <m/>
    <s v="CIERA Stories"/>
    <s v="Achievement|Interdisciplinary"/>
    <x v="0"/>
  </r>
  <r>
    <n v="2306"/>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x v="0"/>
  </r>
  <r>
    <n v="2311"/>
    <s v="Physics Makes Music in A Shout Across Time"/>
    <d v="2017-05-16T00:00:00"/>
    <s v="https://ciera.northwestern.edu/2017/05/16/physics-makes-music-in-a-shout-across-time/"/>
    <m/>
    <s v="Northwestern Press|CIERA Stories|External Press"/>
    <s v="Event|Outreach|Interdisciplinary"/>
    <x v="0"/>
  </r>
  <r>
    <n v="2321"/>
    <s v="Chicago Woman Magazine Features CIERA Director Prof. Kalogera"/>
    <d v="2017-05-06T00:00:00"/>
    <s v="https://ciera.northwestern.edu/2017/05/06/chicago-woman-magazine-features-ciera-director-prof-kalogera/"/>
    <m/>
    <s v="External Press"/>
    <s v="Achievement"/>
    <x v="0"/>
  </r>
  <r>
    <n v="2323"/>
    <s v="LIGO Co-founder Rainer Weiss Presents CIERA Annual Public Lecture"/>
    <d v="2017-05-03T00:00:00"/>
    <s v="https://ciera.northwestern.edu/2017/05/03/ligo-co-founder-rainer-weiss-presents-ciera-annual-public-lecture/"/>
    <s v="Gravitational Waves &amp; Multi-Messenger Astronomy"/>
    <s v="CIERA Stories"/>
    <s v="Event|Outreach"/>
    <x v="0"/>
  </r>
  <r>
    <n v="2337"/>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x v="0"/>
  </r>
  <r>
    <n v="2338"/>
    <s v="CIERA Contributes to Northwestern‚Äô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x v="0"/>
  </r>
  <r>
    <n v="2340"/>
    <s v="Prof. Faucher-Gigu√®re Receives NSF Honor for Young Faculty"/>
    <d v="2017-04-29T00:00:00"/>
    <s v="https://ciera.northwestern.edu/2017/04/29/prof-faucher-giguere-receives-nsf-honor-for-young-faculty/"/>
    <s v="Galaxies &amp; Cosmology"/>
    <s v="Northwestern Press"/>
    <s v="Achievement"/>
    <x v="0"/>
  </r>
  <r>
    <n v="2341"/>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x v="0"/>
  </r>
  <r>
    <n v="2343"/>
    <s v="Rocco Coppejans Joins CIERA‚Äôs Mel Ulmer to Work on Mirrors in Space"/>
    <d v="2017-04-27T00:00:00"/>
    <s v="https://ciera.northwestern.edu/2017/04/27/rocco-coppejans-joins-cieras-mel-ulmer-to-work-on-mirrors-in-space/"/>
    <m/>
    <s v="CIERA Stories"/>
    <s v="Achievement"/>
    <x v="0"/>
  </r>
  <r>
    <n v="2344"/>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x v="0"/>
  </r>
  <r>
    <n v="2437"/>
    <s v="New Issue of ‚ÄúLIGO Magazine‚Äù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x v="0"/>
  </r>
  <r>
    <n v="2439"/>
    <s v="CIERA Pilot Program Exposes Students to Astronomy Research"/>
    <d v="2017-03-13T00:00:00"/>
    <s v="https://ciera.northwestern.edu/2017/03/13/ciera-pilot-program-exposes-students-to-astronomy-research/"/>
    <m/>
    <s v="CIERA Stories"/>
    <s v="Education"/>
    <x v="0"/>
  </r>
  <r>
    <n v="2442"/>
    <s v="CIERA Professor Giles Novak Joins ALMA Science Advisory Committee"/>
    <d v="2017-03-12T00:00:00"/>
    <s v="https://ciera.northwestern.edu/2017/03/12/ciera-professor-giles-novak-joins-alma-science-advisory-committee/"/>
    <m/>
    <s v="CIERA Stories"/>
    <s v="Achievement"/>
    <x v="0"/>
  </r>
  <r>
    <n v="2444"/>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x v="0"/>
  </r>
  <r>
    <n v="2451"/>
    <s v="Media Seek Expertise on New Planets in TRAPPIST-1 System"/>
    <d v="2017-02-28T00:00:00"/>
    <s v="https://ciera.northwestern.edu/2017/02/28/media-seek-expertise-on-new-planets-in-trappist-1-system/"/>
    <s v="Exoplanets &amp; The Solar System"/>
    <s v="External Press"/>
    <s v="Outreach"/>
    <x v="0"/>
  </r>
  <r>
    <n v="2515"/>
    <s v="CIERA Hosts Astronomy Day for Middle School Teachers"/>
    <d v="2017-02-25T00:00:00"/>
    <s v="https://ciera.northwestern.edu/2017/02/24/ciera-hosts-astronomy-day-for-middle-school-teachers/"/>
    <m/>
    <s v="CIERA Stories"/>
    <s v="Education|Event"/>
    <x v="0"/>
  </r>
  <r>
    <n v="2519"/>
    <s v="News from CIERA Professor Farhad Yusef-Zadeh on Star, Planet Formation in Milky Way"/>
    <d v="2017-01-31T00:00:00"/>
    <s v="https://ciera.northwestern.edu/2017/01/31/news-from-ciera-professor-farhad-yusef-zadeh-on-star-planet-formation-in-milky-way/"/>
    <s v="Life &amp; Death of Stars"/>
    <s v="External Press"/>
    <s v="Science"/>
    <x v="0"/>
  </r>
  <r>
    <n v="2521"/>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x v="0"/>
  </r>
  <r>
    <n v="2523"/>
    <s v="Supernova News from CIERA Professor Raffaella Margutti"/>
    <d v="2017-01-29T00:00:00"/>
    <s v="https://ciera.northwestern.edu/2017/01/29/supernova-news-from-ciera-professor-raffaella-margutti/"/>
    <s v="Life &amp; Death of Stars"/>
    <s v="External Press"/>
    <s v="Science"/>
    <x v="0"/>
  </r>
  <r>
    <n v="2525"/>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x v="0"/>
  </r>
  <r>
    <n v="2536"/>
    <s v="CIERA Postdoctoral Alum Laura Fissel Presents Plenary Talk at AAS229"/>
    <d v="2017-01-27T00:00:00"/>
    <s v="https://ciera.northwestern.edu/2017/01/27/ciera-postdoctoral-alum-laura-fissel-presents-plenary-talk-at-aas229/"/>
    <m/>
    <s v="CIERA Stories"/>
    <s v="Achievement"/>
    <x v="0"/>
  </r>
  <r>
    <n v="2549"/>
    <s v="Professor Mel Ulmer Discusses Geoengineering at AAS229"/>
    <d v="2017-01-20T00:00:00"/>
    <s v="https://ciera.northwestern.edu/2017/01/20/professor-mel-ulmer-discusses-geoengineering-at-aas229/"/>
    <m/>
    <s v="CIERA Stories|External Press"/>
    <s v="Achievement|Interdisciplinary"/>
    <x v="0"/>
  </r>
  <r>
    <n v="2551"/>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x v="0"/>
  </r>
  <r>
    <n v="2768"/>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x v="0"/>
  </r>
  <r>
    <n v="2819"/>
    <s v="Year-in-Review Honors for the LIGO Scientific Collaboration"/>
    <d v="2016-12-30T00:00:00"/>
    <s v="https://ciera.northwestern.edu/2016/12/30/year-in-review-honors-for-the-ligo-scientific-collaboration/"/>
    <s v="Gravitational Waves &amp; Multi-Messenger Astronomy"/>
    <s v="External Press"/>
    <s v="Achievement"/>
    <x v="0"/>
  </r>
  <r>
    <n v="2825"/>
    <s v="Prospect High School Hosts Panel of Women Astrophysicists from Northwestern"/>
    <d v="2016-12-29T00:00:00"/>
    <s v="https://ciera.northwestern.edu/2016/12/29/prospect-high-school-hosts-panel-of-women-astrophysicists-from-northwestern/"/>
    <m/>
    <s v="CIERA Stories"/>
    <s v="Event|Outreach"/>
    <x v="0"/>
  </r>
  <r>
    <n v="2828"/>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x v="0"/>
  </r>
  <r>
    <n v="2829"/>
    <s v="Postdocs &amp; Graduate Students Present at Annual CIERA Research Jamboree"/>
    <d v="2016-12-15T00:00:00"/>
    <s v="https://ciera.northwestern.edu/2016/12/15/postdocs-graduate-students-present-at-annual-ciera-research-jamboree/"/>
    <m/>
    <s v="CIERA Stories"/>
    <s v="Event"/>
    <x v="0"/>
  </r>
  <r>
    <n v="2989"/>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x v="0"/>
  </r>
  <r>
    <n v="2995"/>
    <s v="Audio Series on Northwestern Couples Features Vicky Kalogera and Fred Rasio"/>
    <d v="2016-11-30T00:00:00"/>
    <s v="https://ciera.northwestern.edu/2016/11/30/audio-series-on-northwestern-couples-features-vicky-kalogera-and-fred-rasio/"/>
    <m/>
    <s v="Northwestern Press"/>
    <s v="Achievement"/>
    <x v="0"/>
  </r>
  <r>
    <n v="2996"/>
    <s v="Graduate Student Matthew Rickert Wins Reber Fellowship"/>
    <d v="2016-11-29T00:00:00"/>
    <s v="https://ciera.northwestern.edu/2016/11/29/graduate-student-matthew-rickert-wins-reber-fellowship/"/>
    <s v="Life &amp; Death of Stars"/>
    <s v="CIERA Stories"/>
    <s v="Achievement"/>
    <x v="0"/>
  </r>
  <r>
    <n v="2999"/>
    <s v="CIERA‚Äôs Mel Ulmer Leading Audacious Project to Unfurl World‚Äôs Largest Space Telescope"/>
    <d v="2016-11-28T00:00:00"/>
    <s v="https://ciera.northwestern.edu/2016/11/28/cieras-mel-ulmer-leading-audacious-project-to-unfurl-worlds-largest-space-telescope/"/>
    <m/>
    <s v="Northwestern Press"/>
    <s v="Science|Interdisciplinary"/>
    <x v="0"/>
  </r>
  <r>
    <n v="3000"/>
    <s v="CIERA REU Students Present at PhysCon"/>
    <d v="2016-11-27T00:00:00"/>
    <s v="https://ciera.northwestern.edu/2016/11/27/ciera-reu-students-present-at-physcon/"/>
    <s v="Exoplanets &amp; The Solar System|Life &amp; Death of Stars"/>
    <s v="CIERA Stories"/>
    <s v="Education|Achievement"/>
    <x v="0"/>
  </r>
  <r>
    <n v="3002"/>
    <s v="Graduate Student Katie Breivik‚Äô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x v="0"/>
  </r>
  <r>
    <n v="3003"/>
    <s v="Rapid Fire Research Kicks Off"/>
    <d v="2016-11-01T00:00:00"/>
    <s v="https://ciera.northwestern.edu/2016/11/01/rapid-fire-research-kicks-off/"/>
    <m/>
    <s v="CIERA Stories"/>
    <s v="Education|Achievement|Event"/>
    <x v="0"/>
  </r>
  <r>
    <n v="3005"/>
    <s v="CIERA REU Student Beverly Lowell Presents Research at Symposium"/>
    <d v="2016-10-31T00:00:00"/>
    <s v="https://ciera.northwestern.edu/2016/10/31/ciera-reu-student-beverly-lowell-presents-research-at-symposium/"/>
    <s v="Exoplanets &amp; The Solar System"/>
    <s v="CIERA Stories"/>
    <s v="Education|Achievement|Interdisciplinary"/>
    <x v="0"/>
  </r>
  <r>
    <n v="3007"/>
    <s v="CIERA‚Äôs Board of Visitors Meets with Top University Officials"/>
    <d v="2016-10-30T00:00:00"/>
    <s v="https://ciera.northwestern.edu/2016/10/30/cieras-board-of-visitors-meets-with-top-university-officials/"/>
    <m/>
    <s v="CIERA Stories"/>
    <s v="Event"/>
    <x v="0"/>
  </r>
  <r>
    <n v="3053"/>
    <s v="Dearborn Observatory Welcomes 1,500 During Architecture Festival"/>
    <d v="2016-10-17T00:00:00"/>
    <s v="https://ciera.northwestern.edu/2016/10/17/dearborn-observatory-welcomes-1500-during-architecture-festival/"/>
    <m/>
    <s v="Northwestern Press|CIERA Stories"/>
    <s v="Event|Outreach"/>
    <x v="0"/>
  </r>
  <r>
    <n v="3059"/>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x v="0"/>
  </r>
  <r>
    <n v="3062"/>
    <s v="Graduate Student Kyle Kremer Recognized for Exceptional Work at NSF Event"/>
    <d v="2016-10-03T00:00:00"/>
    <s v="https://ciera.northwestern.edu/2016/10/03/graduate-student-kyle-kremer-recognized-for-exceptional-work-at-nsf-event/"/>
    <m/>
    <s v="CIERA Stories"/>
    <s v="Achievement|Interdisciplinary"/>
    <x v="0"/>
  </r>
  <r>
    <n v="3063"/>
    <s v="Undergraduate Rebecca Diesing Honored with Oliver Marcy Scholarship"/>
    <d v="2016-10-01T00:00:00"/>
    <s v="https://ciera.northwestern.edu/2016/10/01/undergraduate-rebecca-diesing-honored-with-oliver-marcy-scholarship/"/>
    <m/>
    <s v="CIERA Stories"/>
    <s v="Education|Achievement"/>
    <x v="0"/>
  </r>
  <r>
    <n v="3065"/>
    <s v="Carl Rodriguez Awarded MIT Pappalardo Postdoctoral Fellowship in Physics"/>
    <d v="2016-09-30T00:00:00"/>
    <s v="https://ciera.northwestern.edu/2016/09/30/carl-rodriguez-awarded-mit-pappalardo-postdoctoral-fellowship-in-physics/"/>
    <m/>
    <s v="CIERA Stories"/>
    <s v="Achievement"/>
    <x v="0"/>
  </r>
  <r>
    <n v="3208"/>
    <s v="CIERA‚Äôs Laura Sampson Wins L'Or√©al USA 2016 For Women in Science Fellowship"/>
    <d v="2016-09-27T00:00:00"/>
    <s v="https://ciera.northwestern.edu/2016/09/27/cieras-laura-sampson-wins-loreal-usa-2016-for-women-in-science-fellowship/"/>
    <s v="Gravitational Waves &amp; Multi-Messenger Astronomy"/>
    <s v="External Press"/>
    <s v="Achievement"/>
    <x v="0"/>
  </r>
  <r>
    <n v="3212"/>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x v="0"/>
  </r>
  <r>
    <n v="3218"/>
    <s v="Dearborn Observatory and CIERA Contribute to NU STEM &amp; Sports Outreach Event"/>
    <d v="2016-09-13T00:00:00"/>
    <s v="https://ciera.northwestern.edu/2016/09/13/dearborn-observatory-and-ciera-contribute-to-nu-stem-sports-outreach-event/"/>
    <s v="Exoplanets &amp; The Solar System"/>
    <s v="CIERA Stories"/>
    <s v="Event|Outreach"/>
    <x v="0"/>
  </r>
  <r>
    <n v="3224"/>
    <s v="CIERA‚Äôs Fellows at the Frontiers 2016: Astronomy Research on the Cutting-edge"/>
    <d v="2016-09-02T00:00:00"/>
    <s v="https://ciera.northwestern.edu/2016/09/02/cieras-fellows-at-the-frontiers-2016-astronomy-research-on-the-cutting-edge/"/>
    <m/>
    <s v="CIERA Stories"/>
    <s v="Event"/>
    <x v="0"/>
  </r>
  <r>
    <n v="3250"/>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x v="0"/>
  </r>
  <r>
    <n v="3278"/>
    <s v="CIERA Hosts GNOME Data Analysis Bootcamp"/>
    <d v="2016-08-31T00:00:00"/>
    <s v="https://ciera.northwestern.edu/2016/08/31/ciera-hosts-gnome-data-analysis-bootcamp/"/>
    <m/>
    <s v="CIERA Stories"/>
    <s v="Event|Science|Interdisciplinary|Data Science &amp; Computing"/>
    <x v="0"/>
  </r>
  <r>
    <n v="3280"/>
    <s v="REU Poster Session Celebrates Hard Work with Sweet Rewards"/>
    <d v="2016-08-30T00:00:00"/>
    <s v="https://ciera.northwestern.edu/2016/08/30/reu-poster-session-celebrates-hard-work-with-sweet-rewards/"/>
    <m/>
    <s v="CIERA Stories"/>
    <s v="Education|Event|Interdisciplinary"/>
    <x v="0"/>
  </r>
  <r>
    <n v="3301"/>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x v="0"/>
  </r>
  <r>
    <n v="3308"/>
    <s v="CIERA's 2016 Summer Student Researchers"/>
    <d v="2016-08-28T00:00:00"/>
    <s v="https://ciera.northwestern.edu/2016/08/28/cieras-2016-summer-student-researchers/"/>
    <m/>
    <s v="CIERA Stories"/>
    <s v="Education"/>
    <x v="0"/>
  </r>
  <r>
    <n v="3311"/>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x v="0"/>
  </r>
  <r>
    <n v="3314"/>
    <s v="Physics and Astronomy Department Rising in Impact and Visibility"/>
    <d v="2016-07-30T00:00:00"/>
    <s v="https://ciera.northwestern.edu/2016/07/30/physics-and-astronomy-department-rising-in-impact-and-visibility/"/>
    <m/>
    <s v="Northwestern Press"/>
    <s v="Achievement"/>
    <x v="0"/>
  </r>
  <r>
    <n v="3316"/>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x v="0"/>
  </r>
  <r>
    <n v="3317"/>
    <s v="CIERA Students Awarded Funding for Summer Research and Illinois Space Grant Projects"/>
    <d v="2016-07-14T00:00:00"/>
    <s v="https://ciera.northwestern.edu/2016/07/14/ciera-students-awarded-funding-for-summer-research-and-illinois-space-grant-projects/"/>
    <m/>
    <s v="CIERA Stories"/>
    <s v="Education|Achievement|Interdisciplinary"/>
    <x v="0"/>
  </r>
  <r>
    <n v="3329"/>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x v="0"/>
  </r>
  <r>
    <n v="3330"/>
    <s v="CIERA Graduate Students Dazzle the Public at Ravinia‚Äôs Astronomy Night"/>
    <d v="2016-07-13T00:00:00"/>
    <s v="https://ciera.northwestern.edu/2016/07/13/ciera-graduate-students-dazzle-the-public-at-ravinias-astronomy-night/"/>
    <m/>
    <s v="CIERA Stories"/>
    <s v="Education|Event|Outreach"/>
    <x v="0"/>
  </r>
  <r>
    <n v="3332"/>
    <s v="Data Science is Transforming Research at Northwestern-CIERA"/>
    <d v="2016-07-12T00:00:00"/>
    <s v="https://ciera.northwestern.edu/2016/07/12/data-science-is-transforming-research-at-northwestern-ciera/"/>
    <m/>
    <s v="Northwestern Press|CIERA Stories"/>
    <s v="Data Science &amp; Computing"/>
    <x v="0"/>
  </r>
  <r>
    <n v="3334"/>
    <s v="LIGO Team Announces Second Gravitational-Wave Event"/>
    <d v="2016-06-30T00:00:00"/>
    <s v="https://ciera.northwestern.edu/2016/06/30/ligo-team-announces-second-gravitational-wave-event/"/>
    <s v="Gravitational Waves &amp; Multi-Messenger Astronomy"/>
    <s v="Northwestern Press|CIERA Stories|External Press"/>
    <s v="Event|Science"/>
    <x v="0"/>
  </r>
  <r>
    <n v="3336"/>
    <s v="‚ÄòMosh Pits‚Äô in Star Clusters a Likely Source of LIGO‚Äôs First Black Holes"/>
    <d v="2016-06-29T00:00:00"/>
    <s v="https://ciera.northwestern.edu/2016/06/29/mosh-pits-in-star-clusters-a-likely-source-of-ligos-first-black-holes/"/>
    <s v="Black Holes &amp; Dead Stars|Gravitational Waves &amp; Multi-Messenger Astronomy"/>
    <s v="Northwestern Press|CIERA Stories|External Press"/>
    <s v="Science"/>
    <x v="0"/>
  </r>
  <r>
    <n v="3338"/>
    <s v="Jian Cao Receives Manufacturing Medal"/>
    <d v="2016-06-27T00:00:00"/>
    <s v="https://ciera.northwestern.edu/2016/06/27/jian-cao-receives-manufacturing-medal/"/>
    <m/>
    <s v="Northwestern Press|CIERA Stories"/>
    <s v="Achievement"/>
    <x v="0"/>
  </r>
  <r>
    <n v="3339"/>
    <s v="Graduate Students Participate in High School Research Project Showcase"/>
    <d v="2016-06-24T00:00:00"/>
    <s v="https://ciera.northwestern.edu/2016/06/24/graduate-students-participate-in-high-school-research-project-showcase/"/>
    <m/>
    <s v="CIERA Stories"/>
    <s v="Education|Event|Outreach"/>
    <x v="0"/>
  </r>
  <r>
    <n v="3343"/>
    <s v="CIERA‚Äôs Farhad Yusef-Zadeh Leads Discussion of Milky Way Core at Science Caf√©"/>
    <d v="2016-06-01T00:00:00"/>
    <s v="https://ciera.northwestern.edu/2016/06/01/cieras-farhad-yusef-zadeh-leads-discussion-of-milky-way-core-at-science-cafe/"/>
    <s v="Galaxies &amp; Cosmology"/>
    <s v="CIERA Stories"/>
    <s v="Education|Event"/>
    <x v="0"/>
  </r>
  <r>
    <n v="3345"/>
    <s v="CIERA Researchers Help Build a Far-Infrared Camera for SOFIA"/>
    <d v="2016-05-29T00:00:00"/>
    <s v="https://ciera.northwestern.edu/2016/05/29/ciera-researchers-help-build-a-far-infrared-camera-for-sofia/"/>
    <s v="Exoplanets &amp; The Solar System|Life &amp; Death of Stars"/>
    <s v="CIERA Stories"/>
    <s v="Achievement|Science"/>
    <x v="0"/>
  </r>
  <r>
    <n v="3400"/>
    <s v="Graduate Student Makes Cosmic Music"/>
    <d v="2016-05-25T00:00:00"/>
    <s v="https://ciera.northwestern.edu/2016/05/25/graduate-student-makes-cosmic-music/"/>
    <m/>
    <s v="CIERA Stories"/>
    <s v="Event|Outreach|Interdisciplinary"/>
    <x v="0"/>
  </r>
  <r>
    <n v="776"/>
    <s v="Solar System Symphony Melds Music with Astronomy"/>
    <d v="2016-05-23T00:00:00"/>
    <s v="https://ciera.northwestern.edu/2016/05/23/solar-system-symphony-melds-music-with-astronomy/"/>
    <s v="Exoplanets &amp; The Solar System"/>
    <s v="External Press"/>
    <s v="Event|Outreach|Interdisciplinary"/>
    <x v="0"/>
  </r>
  <r>
    <n v="3398"/>
    <s v="CIERA Director Vicky Kalogera Speaks at (En)Lightning Talks Chicago"/>
    <d v="2016-05-20T00:00:00"/>
    <s v="https://ciera.northwestern.edu/2016/05/20/ciera-director-vicky-kalogera-speaks-at-enlightning-talks-chicago/"/>
    <m/>
    <s v="CIERA Stories|External Press"/>
    <s v="Event|Outreach"/>
    <x v="0"/>
  </r>
  <r>
    <n v="3426"/>
    <s v="IDEAS Visits Capitol Hill: Attends Future STEM Leaders Conference"/>
    <d v="2016-05-20T00:00:00"/>
    <s v="https://ciera.northwestern.edu/2016/05/20/ideas-visits-capitol-hill-attends-future-stem-leaders-conference/"/>
    <m/>
    <s v="CIERA Stories"/>
    <s v="Education|Event|Outreach|Data Science &amp; Computing"/>
    <x v="0"/>
  </r>
  <r>
    <n v="3428"/>
    <s v="Enthusiasm for Mercury Transit Despite Cloudy Skies"/>
    <d v="2016-05-19T00:00:00"/>
    <s v="https://ciera.northwestern.edu/2016/05/19/enthusiasm-for-mercury-transit-despite-cloudy-skies/"/>
    <m/>
    <s v="CIERA Stories"/>
    <s v="Education|Event|Outreach"/>
    <x v="0"/>
  </r>
  <r>
    <n v="774"/>
    <s v="See The Planets Of Our Solar System While Listening To 'The Planets'"/>
    <d v="2016-05-18T00:00:00"/>
    <s v="https://ciera.northwestern.edu/2016/05/18/see-the-planets-of-our-solar-system-while-listening-to-the-planets/"/>
    <s v="Exoplanets &amp; The Solar System"/>
    <s v="External Press"/>
    <s v="Event|Outreach|Interdisciplinary"/>
    <x v="0"/>
  </r>
  <r>
    <n v="3452"/>
    <s v="CIERA Demonstrates the Beauty of Art and Science at the First Annual STEM-CON"/>
    <d v="2016-05-10T00:00:00"/>
    <s v="https://ciera.northwestern.edu/2016/05/10/ciera-demonstrates-the-beauty-of-art-and-science-at-the-first-annual-stem-con/"/>
    <m/>
    <s v="CIERA Stories"/>
    <s v="Education|Event|Interdisciplinary"/>
    <x v="0"/>
  </r>
  <r>
    <n v="3458"/>
    <s v="CIERA Researcher Brings The Galaxy to the Classroom"/>
    <d v="2016-05-06T00:00:00"/>
    <s v="https://ciera.northwestern.edu/2016/05/06/ciera-researcher-brings-the-galaxy-to-the-classroom/"/>
    <m/>
    <s v="CIERA Stories"/>
    <s v="Education|Event|Outreach"/>
    <x v="0"/>
  </r>
  <r>
    <n v="3460"/>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x v="0"/>
  </r>
  <r>
    <n v="3529"/>
    <s v="Ripples in Spacetime at Take Our Daughters &amp; Sons to Work Day"/>
    <d v="2016-04-30T00:00:00"/>
    <s v="https://ciera.northwestern.edu/2016/04/30/ripples-in-spacetime-at-take-our-daughters-sons-to-work-day/"/>
    <m/>
    <s v="CIERA Stories"/>
    <s v="Education|Event|Outreach"/>
    <x v="0"/>
  </r>
  <r>
    <n v="3532"/>
    <s v="CIERA Presentations at National Science Foundation Site Visit"/>
    <d v="2016-04-29T00:00:00"/>
    <s v="https://ciera.northwestern.edu/2016/04/29/ciera-presentations-at-national-science-foundation-site-visit/"/>
    <m/>
    <s v="Northwestern Press|CIERA Stories"/>
    <s v="Event"/>
    <x v="0"/>
  </r>
  <r>
    <n v="3534"/>
    <s v="CIERA Contributes to Northwestern‚Äôs Computational Research Day"/>
    <d v="2016-04-28T00:00:00"/>
    <s v="https://ciera.northwestern.edu/2016/04/28/ciera-contributes-to-northwesterns-computational-research-day-2/"/>
    <m/>
    <s v="Northwestern Press|CIERA Stories"/>
    <s v="Event|Interdisciplinary|Data Science &amp; Computing"/>
    <x v="0"/>
  </r>
  <r>
    <n v="3537"/>
    <s v="CIERA‚Äôs Carl Rodriguez Gives TEDx Talk"/>
    <d v="2016-04-25T00:00:00"/>
    <s v="https://ciera.northwestern.edu/2016/04/25/cieras-carl-rodriguez-gives-tedx-talk/"/>
    <s v="Gravitational Waves &amp; Multi-Messenger Astronomy"/>
    <s v="Northwestern Press|CIERA Stories"/>
    <s v="Education|Achievement|Event"/>
    <x v="0"/>
  </r>
  <r>
    <n v="3539"/>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x v="0"/>
  </r>
  <r>
    <n v="3542"/>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x v="0"/>
  </r>
  <r>
    <n v="3549"/>
    <s v="CIERA‚Äôs Vicky Kalogera Named a &quot;Top Ten Northwestern Professor&quot; by College Magazine"/>
    <d v="2016-03-31T00:00:00"/>
    <s v="https://ciera.northwestern.edu/2016/03/31/cieras-vicky-kalogera-named-a-top-ten-northwestern-professor-by-college-magazine/"/>
    <m/>
    <s v="External Press"/>
    <s v="Achievement"/>
    <x v="0"/>
  </r>
  <r>
    <n v="3551"/>
    <s v="CIERA‚Äôs Shane Larson Leads Gravitational Waves Discussion at Science Caf√©"/>
    <d v="2016-03-29T00:00:00"/>
    <s v="https://ciera.northwestern.edu/2016/03/29/cieras-shane-larson-leads-gravitational-waves-discussion-at-science-cafe/"/>
    <s v="Gravitational Waves &amp; Multi-Messenger Astronomy"/>
    <s v="CIERA Stories"/>
    <s v="Education|Event"/>
    <x v="0"/>
  </r>
  <r>
    <n v="3554"/>
    <s v="Kick-off of New Outreach Event Series: Astronomy on Tap Chicago"/>
    <d v="2016-03-01T00:00:00"/>
    <s v="https://ciera.northwestern.edu/2016/03/01/kick-off-of-new-outreach-event-series-astronomy-on-tap-chicago/"/>
    <m/>
    <s v="CIERA Stories"/>
    <s v="Event|Outreach"/>
    <x v="0"/>
  </r>
  <r>
    <n v="3556"/>
    <s v="The Chicago Network‚Äôs Panel on Space Encourages Girls to Pursue Careers in Science &amp; Technology"/>
    <d v="2016-02-28T00:00:00"/>
    <s v="https://ciera.northwestern.edu/2016/02/28/the-chicago-networks-panel-on-space-encourages-girls-to-pursue-careers-in-science-technology/"/>
    <m/>
    <s v="CIERA Stories"/>
    <s v="Event"/>
    <x v="0"/>
  </r>
  <r>
    <n v="3558"/>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x v="0"/>
  </r>
  <r>
    <n v="3562"/>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x v="0"/>
  </r>
  <r>
    <n v="3563"/>
    <s v="Largest Ever Event for Graduate Student Speaker Series"/>
    <d v="2016-02-11T00:00:00"/>
    <s v="https://ciera.northwestern.edu/2016/02/11/largest-ever-event-for-graduate-student-speaker-series/"/>
    <m/>
    <s v="CIERA Stories"/>
    <s v="Education|Event|Outreach"/>
    <x v="0"/>
  </r>
  <r>
    <n v="3604"/>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x v="0"/>
  </r>
  <r>
    <n v="3609"/>
    <s v="CIERA REU Student Eryn Cangi Wins Chambliss Medal for Research Poster at AAS"/>
    <d v="2016-01-30T00:00:00"/>
    <s v="https://ciera.northwestern.edu/2016/01/30/ciera-reu-student-eryn-cangi-wins-chambliss-medal-for-research-poster-at-aas/"/>
    <m/>
    <s v="CIERA Stories"/>
    <s v="Achievement|Event"/>
    <x v="0"/>
  </r>
  <r>
    <n v="3612"/>
    <s v="CIERA's Geller and Faucher-Gigu√®re Contribute to New Study in &quot;Nature&quot;"/>
    <d v="2016-01-29T00:00:00"/>
    <s v="https://ciera.northwestern.edu/2016/01/29/cieras-geller-and-faucher-giguere-contribute-to-new-study-in-nature/"/>
    <s v="Stellar Dynamics &amp; Stellar Populations"/>
    <s v="CIERA Stories"/>
    <s v="Achievement|Science"/>
    <x v="0"/>
  </r>
  <r>
    <n v="3614"/>
    <s v="New Monthly Night at Dearborn Observatory with CIERA Astronomers"/>
    <d v="2016-01-27T00:00:00"/>
    <s v="https://ciera.northwestern.edu/2016/01/27/new-monthly-night-at-dearborn-observatory-with-ciera-astronomers/"/>
    <m/>
    <s v="CIERA Stories"/>
    <s v="Event"/>
    <x v="0"/>
  </r>
  <r>
    <n v="3617"/>
    <s v="American Astronomical Society to Lead WorldWide Telescope"/>
    <d v="2016-01-10T00:00:00"/>
    <s v="https://ciera.northwestern.edu/2016/01/10/american-astronomical-society-to-lead-worldwide-telescope/"/>
    <m/>
    <s v="CIERA Stories|External Press"/>
    <s v="Education|Science|Outreach"/>
    <x v="0"/>
  </r>
  <r>
    <n v="3620"/>
    <s v="CIERA Grad Student Brings the Stars to Her Hometown"/>
    <d v="2016-01-05T00:00:00"/>
    <s v="https://ciera.northwestern.edu/2016/01/05/ciera-grad-student-brings-the-stars-to-her-hometown/"/>
    <m/>
    <s v="CIERA Stories"/>
    <s v="Education|Achievement|Outreach"/>
    <x v="0"/>
  </r>
  <r>
    <n v="3622"/>
    <s v="Integrated Data Science Certificate in Development at CIERA"/>
    <d v="2016-01-01T00:00:00"/>
    <s v="https://ciera.northwestern.edu/2016/01/01/integrated-data-science-certificate-in-development-at-ciera/"/>
    <m/>
    <s v="CIERA Stories"/>
    <s v="Education|Achievement|Data Science &amp; Computing"/>
    <x v="0"/>
  </r>
  <r>
    <n v="3624"/>
    <s v="AAAS Fellow Jeremy Ward Visits CIERA"/>
    <d v="2015-12-06T00:00:00"/>
    <s v="https://ciera.northwestern.edu/2015/12/06/aaas-fellow-jeremy-ward-visits-ciera/"/>
    <m/>
    <s v="CIERA Stories"/>
    <s v="Event"/>
    <x v="0"/>
  </r>
  <r>
    <n v="3637"/>
    <s v="Professors Novak &amp; Sageman Named to 2015 Faculty Honor Roll"/>
    <d v="2015-11-30T00:00:00"/>
    <s v="https://ciera.northwestern.edu/2015/11/30/professors-novak-sageman-named-to-2015-faculty-honor-roll/"/>
    <m/>
    <s v="CIERA Stories"/>
    <s v="Achievement"/>
    <x v="0"/>
  </r>
  <r>
    <n v="3639"/>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x v="0"/>
  </r>
  <r>
    <n v="3755"/>
    <s v="CIERA Graduate Students Speak at Local High School‚Äôs Women in STEM Event"/>
    <d v="2015-11-25T00:00:00"/>
    <s v="https://ciera.northwestern.edu/2015/11/25/ciera-graduate-students-speak-at-local-high-schools-women-in-stem-event/"/>
    <m/>
    <s v="CIERA Stories"/>
    <s v="Education|Event|Outreach"/>
    <x v="0"/>
  </r>
  <r>
    <n v="3642"/>
    <s v="CIERA's Shane Larson Joins 2015-2016 WCAS Seminar Series for Staff"/>
    <d v="2015-11-22T00:00:00"/>
    <s v="https://ciera.northwestern.edu/2015/11/22/cieras-shane-larson-joins-2015-2016-wcas-seminar-series-for-staff/"/>
    <s v="Gravitational Waves &amp; Multi-Messenger Astronomy"/>
    <s v="Northwestern Press"/>
    <s v="Education|Event"/>
    <x v="0"/>
  </r>
  <r>
    <n v="3757"/>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x v="0"/>
  </r>
  <r>
    <n v="3644"/>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x v="0"/>
  </r>
  <r>
    <n v="3654"/>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x v="0"/>
  </r>
  <r>
    <n v="3659"/>
    <s v="Stargazing with Local Dads and Daughters Outdoors Group"/>
    <d v="2015-11-11T00:00:00"/>
    <s v="https://ciera.northwestern.edu/2015/11/11/stargazing-with-local-dads-and-daughters-outdoors-group/"/>
    <m/>
    <s v="CIERA Stories"/>
    <s v="Education|Event|Outreach"/>
    <x v="0"/>
  </r>
  <r>
    <n v="3661"/>
    <s v="CIERA's Michelle Paulsen and Katie Breivik Meet U.S. Congressman Bob Dold"/>
    <d v="2015-11-10T00:00:00"/>
    <s v="https://ciera.northwestern.edu/2015/11/10/cieras-michelle-paulsen-and-katie-breivik-meet-u-s-congressman-bob-dold/"/>
    <m/>
    <s v="CIERA Stories"/>
    <s v="Event"/>
    <x v="0"/>
  </r>
  <r>
    <n v="3663"/>
    <s v="CIERA Seventh Annual Public Lecture: New Horizons Leader Alan Stern"/>
    <d v="2015-11-03T00:00:00"/>
    <s v="https://ciera.northwestern.edu/2015/11/03/ciera-seventh-annual-public-lecture-new-horizons-leader-alan-stern/"/>
    <s v="Exoplanets &amp; The Solar System"/>
    <s v="CIERA Stories"/>
    <s v="Education|Event|Outreach"/>
    <x v="0"/>
  </r>
  <r>
    <n v="3732"/>
    <s v="CIERA Director Elected to LSSTC ExecBoard"/>
    <d v="2015-11-01T00:00:00"/>
    <s v="https://ciera.northwestern.edu/2015/11/01/ciera-director-elected-to-lsstc-execboard/"/>
    <m/>
    <s v="CIERA Stories"/>
    <s v="Achievement"/>
    <x v="0"/>
  </r>
  <r>
    <n v="3735"/>
    <s v="CIERA Summer Research Student Continues to Communicate Work"/>
    <d v="2015-10-31T00:00:00"/>
    <s v="https://ciera.northwestern.edu/2015/10/31/ciera-summer-research-student-continues-to-communicate-work/"/>
    <s v="Galaxies &amp; Cosmology"/>
    <s v="CIERA Stories"/>
    <s v="Education|Event"/>
    <x v="0"/>
  </r>
  <r>
    <n v="3737"/>
    <s v="Dearborn Observatory Featured in Open House Chicago 2015"/>
    <d v="2015-10-25T00:00:00"/>
    <s v="https://ciera.northwestern.edu/2015/10/25/dearborn-observatory-featured-in-open-house-chicago-2015/"/>
    <m/>
    <s v="External Press"/>
    <s v="Event"/>
    <x v="0"/>
  </r>
  <r>
    <n v="3739"/>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x v="0"/>
  </r>
  <r>
    <n v="3741"/>
    <s v="CIERA‚Äôs Shane Larson Elected APS Fellow"/>
    <d v="2015-10-15T00:00:00"/>
    <s v="https://ciera.northwestern.edu/2015/10/15/cieras-shane-larson-elected-aps-fellow/"/>
    <m/>
    <s v="CIERA Stories"/>
    <s v="Achievement"/>
    <x v="0"/>
  </r>
  <r>
    <n v="3743"/>
    <s v="2015 Midwest Relativity Meeting Hosted by CIERA"/>
    <d v="2015-10-05T00:00:00"/>
    <s v="https://ciera.northwestern.edu/2015/10/05/2015-midwest-relativity-meeting-hosted-by-ciera/"/>
    <s v="Gravitational Waves &amp; Multi-Messenger Astronomy"/>
    <s v="CIERA Stories"/>
    <s v="Education|Event"/>
    <x v="0"/>
  </r>
  <r>
    <n v="3746"/>
    <s v="CIERA Total Lunar Eclipse Party Helped Hundreds to Experience, Understand Rare Event"/>
    <d v="2015-09-30T00:00:00"/>
    <s v="https://ciera.northwestern.edu/2015/09/30/ciera-total-lunar-eclipse-party-helped-hundreds-to-experience-understand-rare-event/"/>
    <m/>
    <s v="CIERA Stories"/>
    <s v="Education|Event|Outreach"/>
    <x v="0"/>
  </r>
  <r>
    <n v="3758"/>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x v="0"/>
  </r>
  <r>
    <n v="3760"/>
    <s v="CIERA Presentations at RSG Seven Minutes of Science: An Interdisciplinary Symposium"/>
    <d v="2015-09-12T00:00:00"/>
    <s v="https://ciera.northwestern.edu/2015/09/12/ciera-presentations-at-rsg-seven-minutes-of-science-an-interdisciplinary-symposium/"/>
    <m/>
    <s v="CIERA Stories"/>
    <s v="Education|Event"/>
    <x v="0"/>
  </r>
  <r>
    <n v="3784"/>
    <s v="CIERA's 2015 Summer Student Researchers"/>
    <d v="2015-08-31T00:00:00"/>
    <s v="https://ciera.northwestern.edu/2015/08/31/cieras-2015-summer-student-researchers/"/>
    <m/>
    <s v="CIERA Stories"/>
    <s v="Education"/>
    <x v="0"/>
  </r>
  <r>
    <n v="3787"/>
    <s v="CIERA Director Vicky Kalogera Speaks to Office for Research Staff"/>
    <d v="2015-08-30T00:00:00"/>
    <s v="https://ciera.northwestern.edu/2015/08/30/ciera-director-vicky-kalogera-speaks-to-office-for-research-staff/"/>
    <m/>
    <s v="CIERA Stories"/>
    <s v="Event"/>
    <x v="0"/>
  </r>
  <r>
    <n v="3791"/>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x v="0"/>
  </r>
  <r>
    <n v="3793"/>
    <s v="Immediate Opening for Graduate Student: CIERA Keck Foundation Grant"/>
    <d v="2015-07-27T00:00:00"/>
    <s v="https://ciera.northwestern.edu/2015/07/27/immediate-opening-for-graduate-student-ciera-keck-foundation-grant/"/>
    <s v="Exoplanets &amp; The Solar System"/>
    <s v="CIERA Stories"/>
    <s v="Science"/>
    <x v="0"/>
  </r>
  <r>
    <n v="3795"/>
    <s v="CIERA Undergraduate Researcher Accepted to Ph.D. Programs"/>
    <d v="2015-07-22T00:00:00"/>
    <s v="https://ciera.northwestern.edu/2015/07/22/ciera-undergraduate-researcher-accepted-to-ph-d-programs/"/>
    <m/>
    <s v="CIERA Stories"/>
    <s v="Achievement"/>
    <x v="0"/>
  </r>
  <r>
    <n v="3797"/>
    <s v="CIERA Research Group Receives Time with Hubble Space Telescope"/>
    <d v="2015-07-20T00:00:00"/>
    <s v="https://ciera.northwestern.edu/2015/07/20/ciera-research-group-receives-time-with-hubble-space-telescope/"/>
    <s v="Galaxies &amp; Cosmology"/>
    <s v="CIERA Stories|External Press"/>
    <s v="Achievement|Science"/>
    <x v="0"/>
  </r>
  <r>
    <n v="3799"/>
    <s v="Astronomy Club of the College of DuPage Visits CIERA"/>
    <d v="2015-07-12T00:00:00"/>
    <s v="https://ciera.northwestern.edu/2015/07/12/astronomy-club-of-the-college-of-dupage-visits-ciera/"/>
    <m/>
    <s v="CIERA Stories"/>
    <s v="Education|Event"/>
    <x v="0"/>
  </r>
  <r>
    <n v="3801"/>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x v="0"/>
  </r>
  <r>
    <n v="3803"/>
    <s v="CIERA Shares with Local Children: Solar Observing and Careers in Astrophysics"/>
    <d v="2015-06-30T00:00:00"/>
    <s v="https://ciera.northwestern.edu/2015/06/30/ciera-shares-with-local-children-solar-observing-and-careers-in-astrophysics/"/>
    <m/>
    <s v="CIERA Stories"/>
    <s v="Education|Event|Outreach"/>
    <x v="0"/>
  </r>
  <r>
    <n v="3881"/>
    <s v="Illinois Congressman Visits CIERA"/>
    <d v="2015-06-27T00:00:00"/>
    <s v="https://ciera.northwestern.edu/2015/06/27/illinois-congressman-visits-ciera/"/>
    <m/>
    <s v="CIERA Stories"/>
    <s v="Outreach"/>
    <x v="0"/>
  </r>
  <r>
    <n v="3883"/>
    <s v="CIERA Helps the Adler Planetarium Celebrate the Summer of Science!"/>
    <d v="2015-06-15T00:00:00"/>
    <s v="https://ciera.northwestern.edu/2015/06/15/ciera-helps-the-adler-planetarium-celebrate-the-summer-of-science/"/>
    <m/>
    <s v="CIERA Stories"/>
    <s v="Education|Event|Outreach"/>
    <x v="0"/>
  </r>
  <r>
    <n v="3885"/>
    <s v="NASA Fellowship Awarded to CIERA Graduate Student Sam Hadden"/>
    <d v="2015-06-10T00:00:00"/>
    <s v="https://ciera.northwestern.edu/2015/06/10/nasa-fellowship-awarded-to-ciera-graduate-student-sam-hadden/"/>
    <s v="Exoplanets &amp; The Solar System"/>
    <s v="CIERA Stories"/>
    <s v="Achievement"/>
    <x v="0"/>
  </r>
  <r>
    <n v="3887"/>
    <s v="CIERA‚Äô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x v="0"/>
  </r>
  <r>
    <n v="3895"/>
    <s v="CIERA‚Äôs Melville P. Ulmer Receives Funding from NASA Innovative Advanced Concepts (NIAC)"/>
    <d v="2015-06-01T00:00:00"/>
    <s v="https://ciera.northwestern.edu/2015/06/01/cieras-melville-p-ulmer-receives-funding-from-nasa-innovative-advanced-concepts-niac/"/>
    <m/>
    <s v="CIERA Stories"/>
    <s v="Achievement|Science|Interdisciplinary"/>
    <x v="0"/>
  </r>
  <r>
    <n v="3897"/>
    <m/>
    <d v="2015-05-31T00:00:00"/>
    <s v="https://ciera.northwestern.edu/2015/05/31/3897/"/>
    <m/>
    <s v="CIERA Stories"/>
    <s v="Education|Achievement"/>
    <x v="0"/>
  </r>
  <r>
    <n v="3899"/>
    <s v="Neil deGrasse Tyson Ignites CIERA Annual Public Lecture"/>
    <d v="2015-05-15T00:00:00"/>
    <s v="https://ciera.northwestern.edu/2015/05/15/neil-degrasse-tyson-ignites-ciera-annual-public-lecture/"/>
    <m/>
    <s v="CIERA Stories"/>
    <s v="Education|Event|Outreach"/>
    <x v="0"/>
  </r>
  <r>
    <n v="3921"/>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x v="0"/>
  </r>
  <r>
    <n v="3931"/>
    <s v="CIERA Fellow Geller Wins First Prize in Data Visualization Challenge"/>
    <d v="2015-04-29T00:00:00"/>
    <s v="https://ciera.northwestern.edu/2015/04/29/ciera-fellow-geller-wins-first-prize-in-data-visualization-challenge/"/>
    <s v="Life &amp; Death of Stars"/>
    <s v="CIERA Stories"/>
    <s v="Achievement"/>
    <x v="0"/>
  </r>
  <r>
    <n v="3941"/>
    <s v="CIERA Co-Sponsors Computational Research Day Poster Session"/>
    <d v="2015-04-25T00:00:00"/>
    <s v="https://ciera.northwestern.edu/2015/04/25/ciera-co-sponsors-computational-research-day-poster-session/"/>
    <m/>
    <s v="Northwestern Press|CIERA Stories"/>
    <s v="Event|Science|Interdisciplinary"/>
    <x v="0"/>
  </r>
  <r>
    <n v="3943"/>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x v="0"/>
  </r>
  <r>
    <n v="3945"/>
    <s v="Two NSF Graduate Fellowships Awarded to NU Astronomy Students"/>
    <d v="2015-04-18T00:00:00"/>
    <s v="https://ciera.northwestern.edu/2015/04/18/two-nsf-graduate-fellowships-awarded-to-nu-astronomy-students/"/>
    <s v="Exoplanets &amp; The Solar System"/>
    <s v="CIERA Stories"/>
    <s v="Achievement"/>
    <x v="0"/>
  </r>
  <r>
    <n v="3947"/>
    <s v="CIERA-based Team Awarded 5-year NSF &quot;Research Traineeship&quot; Grant"/>
    <d v="2015-04-10T00:00:00"/>
    <s v="https://ciera.northwestern.edu/2015/04/10/ciera-based-team-awarded-5-year-nsf-research-traineeship-grant/"/>
    <m/>
    <s v="CIERA Stories|External Press"/>
    <s v="Achievement|Interdisciplinary|Data Science &amp; Computing"/>
    <x v="0"/>
  </r>
  <r>
    <n v="3970"/>
    <s v="Middle School Girls on a Mission to Space!"/>
    <d v="2015-03-31T00:00:00"/>
    <s v="https://ciera.northwestern.edu/2015/03/31/middle-school-girls-on-a-mission-to-space/"/>
    <m/>
    <s v="CIERA Stories"/>
    <s v="Education|Event|Outreach"/>
    <x v="0"/>
  </r>
  <r>
    <n v="3972"/>
    <s v="Dave Meyer to speak at &quot;A Day With Northwestern 2015&quot;"/>
    <d v="2015-03-29T00:00:00"/>
    <s v="https://ciera.northwestern.edu/2015/03/29/dave-meyer-to-speak-at-a-day-with-northwestern-2015/"/>
    <m/>
    <s v="Northwestern Press|CIERA Stories"/>
    <s v="Achievement|Event|Outreach"/>
    <x v="0"/>
  </r>
  <r>
    <n v="3974"/>
    <s v="CIERA to Welcome Four New Postdocs in Fall 2015"/>
    <d v="2015-03-19T00:00:00"/>
    <s v="https://ciera.northwestern.edu/2015/03/19/ciera-to-welcome-four-new-postdocs-in-fall-2015/"/>
    <m/>
    <s v="CIERA Stories"/>
    <s v="Achievement"/>
    <x v="0"/>
  </r>
  <r>
    <n v="3976"/>
    <s v="Summer Undergraduate Student Success Stories: CIERA Alumni"/>
    <d v="2015-03-01T00:00:00"/>
    <s v="https://ciera.northwestern.edu/2015/03/01/summer-undergraduate-student-success-stories-ciera-alumni/"/>
    <m/>
    <s v="CIERA Stories"/>
    <s v="Education"/>
    <x v="0"/>
  </r>
  <r>
    <n v="3978"/>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x v="0"/>
  </r>
  <r>
    <n v="3991"/>
    <s v="LSST Project Accepts New Mirror Surfaces"/>
    <d v="2015-02-27T00:00:00"/>
    <s v="https://ciera.northwestern.edu/2015/02/27/lsst-project-accepts-new-mirror-surfaces/"/>
    <m/>
    <s v="CIERA Stories|External Press"/>
    <s v="Science"/>
    <x v="0"/>
  </r>
  <r>
    <n v="3980"/>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x v="0"/>
  </r>
  <r>
    <n v="4006"/>
    <s v="Don Geci, CIERA High-School Summer Student, Accepted to Princeton"/>
    <d v="2015-02-20T00:00:00"/>
    <s v="https://ciera.northwestern.edu/2015/02/20/don-geci-ciera-high-school-summer-student-accepted-to-princeton/"/>
    <s v="Exoplanets &amp; The Solar System"/>
    <s v="CIERA Stories"/>
    <s v="Achievement"/>
    <x v="0"/>
  </r>
  <r>
    <n v="4008"/>
    <s v="CIERA Fellow Chatterjee helps show `Vulcan‚Äô planets follow predictions of new theory"/>
    <d v="2015-02-17T00:00:00"/>
    <s v="https://ciera.northwestern.edu/2015/02/17/ciera-fellow-chatterjee-helps-show-vulcan-planets-follow-predictions-of-new-theory/"/>
    <s v="Exoplanets &amp; The Solar System"/>
    <s v="Northwestern Press|CIERA Stories|External Press"/>
    <s v="Science"/>
    <x v="0"/>
  </r>
  <r>
    <n v="4010"/>
    <s v="LIGO Generations: New Documentary on Gravitational Wave Astronomy"/>
    <d v="2015-02-10T00:00:00"/>
    <s v="https://ciera.northwestern.edu/2015/02/10/ligo-generations-new-documentary-on-gravitational-wave-astronomy/"/>
    <s v="Gravitational Waves &amp; Multi-Messenger Astronomy"/>
    <m/>
    <s v="Education|Event"/>
    <x v="0"/>
  </r>
  <r>
    <n v="4013"/>
    <s v="CIERA Graduate Student Meagan Morscher Wins Martin and Beate Block Award"/>
    <d v="2015-02-05T00:00:00"/>
    <s v="https://ciera.northwestern.edu/2015/02/05/ciera-graduate-student-meagan-morscher-wins-martin-and-beate-block-award/"/>
    <s v="Black Holes &amp; Dead Stars"/>
    <s v="CIERA Stories"/>
    <s v="Achievement|Event"/>
    <x v="0"/>
  </r>
  <r>
    <n v="4016"/>
    <s v="Join Einstein Evenings throughout 2015"/>
    <d v="2015-01-25T00:00:00"/>
    <s v="https://ciera.northwestern.edu/2015/01/25/join-einstein-evenings-throughout-2015/"/>
    <m/>
    <s v="CIERA Stories"/>
    <s v="Education|Event|Outreach"/>
    <x v="0"/>
  </r>
  <r>
    <n v="4018"/>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x v="0"/>
  </r>
  <r>
    <n v="4028"/>
    <s v="Annual Jamboree Summarizes CIERA's Diverse Research with Postdoc &amp; Graduate Student Talks"/>
    <d v="2014-12-15T00:00:00"/>
    <s v="https://ciera.northwestern.edu/2014/12/15/annual-jamboree-summarizes-cieras-diverse-research-with-postdoc-graduate-student-talks/"/>
    <s v="Galaxies &amp; Cosmology"/>
    <s v="CIERA Stories"/>
    <s v="Event"/>
    <x v="0"/>
  </r>
  <r>
    <n v="4036"/>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x v="0"/>
  </r>
  <r>
    <n v="4045"/>
    <s v="CIERA Staff, Faculty, and Students Speak at 6th Annual Statewide OSEP STEM Summit"/>
    <d v="2014-11-06T00:00:00"/>
    <s v="https://ciera.northwestern.edu/2014/11/06/ciera-staff-faculty-and-students-speak-at-6th-annual-statewide-osep-stem-summit/"/>
    <m/>
    <s v="Northwestern Press|CIERA Stories"/>
    <s v="Achievement|Science|Outreach"/>
    <x v="0"/>
  </r>
  <r>
    <n v="4048"/>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x v="0"/>
  </r>
  <r>
    <n v="4052"/>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x v="0"/>
  </r>
  <r>
    <n v="4058"/>
    <s v="Attendees Cheer at Partial Solar Eclipse Event on October 23rd, 2014"/>
    <d v="2014-10-27T00:00:00"/>
    <s v="https://ciera.northwestern.edu/2014/10/27/attendees-cheer-at-partial-solar-eclipse-event-on-october-23rd-2014/"/>
    <m/>
    <s v="Northwestern Press|CIERA Stories|External Press"/>
    <s v="Education|Event|Science|Outreach"/>
    <x v="0"/>
  </r>
  <r>
    <n v="4069"/>
    <s v="Prof. Dave Meyer Delivers New Video Course on Space Astronomy"/>
    <d v="2014-10-20T00:00:00"/>
    <s v="https://ciera.northwestern.edu/2014/10/20/prof-dave-meyer-delivers-new-video-course-on-space-astronomy/"/>
    <m/>
    <s v="CIERA Stories|External Press"/>
    <s v="Education|Achievement|Event"/>
    <x v="0"/>
  </r>
  <r>
    <n v="4071"/>
    <s v="CIERA Professor Fred Rasio Appointed to KITP Advisory Board"/>
    <d v="2014-10-03T00:00:00"/>
    <s v="https://ciera.northwestern.edu/2014/10/03/ciera-professor-fred-rasio-appointed-to-kitp-advisory-board/"/>
    <m/>
    <s v="CIERA Stories"/>
    <s v="Achievement|Interdisciplinary"/>
    <x v="0"/>
  </r>
  <r>
    <n v="4073"/>
    <s v="CIERA Postdoctoral Fellows Geller &amp; Hicks Win Awards for ‚ÄúCapturing the Beauty of Science‚Äù"/>
    <d v="2014-09-30T00:00:00"/>
    <s v="https://ciera.northwestern.edu/2014/09/30/ciera-postdoctoral-fellows-geller-hicks-win-awards-for-capturing-the-beauty-of-science/"/>
    <s v="Galaxies &amp; Cosmology|Life &amp; Death of Stars"/>
    <s v="Northwestern Press|CIERA Stories"/>
    <s v="Achievement|Science|Interdisciplinary"/>
    <x v="0"/>
  </r>
  <r>
    <n v="4075"/>
    <s v="CIERA Helps Host Boy Scouts and Families for &quot;NU STEM &amp; Sports&quot; Event"/>
    <d v="2014-09-30T00:00:00"/>
    <s v="https://ciera.northwestern.edu/2014/09/30/ciera-helps-host-boy-scouts-and-families-for-nu-stem-sports-event/"/>
    <m/>
    <s v="Northwestern Press|CIERA Stories"/>
    <s v="Education|Event|Outreach"/>
    <x v="0"/>
  </r>
  <r>
    <n v="4081"/>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x v="0"/>
  </r>
  <r>
    <n v="4082"/>
    <s v="Professor Meyer Named to 2014 Faculty Honor Roll"/>
    <d v="2014-09-09T00:00:00"/>
    <s v="https://ciera.northwestern.edu/2014/09/09/professor-meyer-named-to-2014-faculty-honor-roll/"/>
    <m/>
    <s v="CIERA Stories"/>
    <s v="Achievement"/>
    <x v="0"/>
  </r>
  <r>
    <n v="4085"/>
    <s v="New Issue of ‚ÄúLIGO Magazine‚Äù Celebrates Major Instrument Milestone"/>
    <d v="2014-08-31T00:00:00"/>
    <s v="https://ciera.northwestern.edu/2014/08/31/new-issue-of-ligo-magazine-celebrates-major-instrument-milestone/"/>
    <s v="Gravitational Waves &amp; Multi-Messenger Astronomy"/>
    <s v="CIERA Stories|External Press"/>
    <s v="Achievement|Science"/>
    <x v="0"/>
  </r>
  <r>
    <n v="4087"/>
    <s v="Experts on X-Ray Optics Meet at Northwestern, Discuss Next-Generation Space Telescopes"/>
    <d v="2014-08-27T00:00:00"/>
    <s v="https://ciera.northwestern.edu/2014/08/27/experts-on-x-ray-optics-meet-at-northwestern-discuss-next-generation-space-telescopes/"/>
    <m/>
    <s v="CIERA Stories"/>
    <s v="Event|Science"/>
    <x v="0"/>
  </r>
  <r>
    <n v="4089"/>
    <s v="National Science Foundation Agrees to Fund LSST Project"/>
    <d v="2014-08-22T00:00:00"/>
    <s v="https://ciera.northwestern.edu/2014/08/22/national-science-foundation-agrees-to-fund-lsst-project/"/>
    <m/>
    <s v="CIERA Stories|External Press"/>
    <s v="Achievement|Science"/>
    <x v="0"/>
  </r>
  <r>
    <n v="4091"/>
    <s v="CIERA's 2014 Summer Student Researchers"/>
    <d v="2014-08-17T00:00:00"/>
    <s v="https://ciera.northwestern.edu/2014/08/17/cieras-2014-summer-student-researchers/"/>
    <m/>
    <s v="CIERA Stories"/>
    <s v="Education|Outreach"/>
    <x v="0"/>
  </r>
  <r>
    <n v="4093"/>
    <s v="CIERA Hosts Galaxy Formation Workshop"/>
    <d v="2014-08-01T00:00:00"/>
    <s v="https://ciera.northwestern.edu/2014/08/01/ciera-hosts-galaxy-formation-workshop/"/>
    <s v="Galaxies &amp; Cosmology"/>
    <s v="CIERA Stories"/>
    <s v="Education|Event|Science"/>
    <x v="0"/>
  </r>
  <r>
    <n v="4125"/>
    <s v="Graduate Student Inspires Students Through Art"/>
    <d v="2014-07-29T00:00:00"/>
    <s v="https://ciera.northwestern.edu/2014/07/29/graduate-student-inspires-students-through-art/"/>
    <m/>
    <m/>
    <s v="Education|Event|Outreach"/>
    <x v="0"/>
  </r>
  <r>
    <n v="4127"/>
    <s v="The Science that Shared Buzz Aldrin‚Äôs Space Selfie"/>
    <d v="2014-07-27T00:00:00"/>
    <s v="https://ciera.northwestern.edu/2014/07/27/the-science-that-shared-buzz-aldrins-space-selfie/"/>
    <m/>
    <s v="External Press"/>
    <s v="Science"/>
    <x v="0"/>
  </r>
  <r>
    <n v="4129"/>
    <s v="CIERA Director Elected Trustee of Aspen Center for Physics"/>
    <d v="2014-07-15T00:00:00"/>
    <s v="https://ciera.northwestern.edu/2014/07/15/ciera-director-elected-trustee-of-aspen-center-for-physics/"/>
    <m/>
    <s v="CIERA Stories"/>
    <s v="Achievement"/>
    <x v="0"/>
  </r>
  <r>
    <n v="4130"/>
    <s v="CIERA‚Äôs Shane Larson Called In As Expert On ‚ÄúCityhenge‚Äù"/>
    <d v="2014-07-10T00:00:00"/>
    <s v="https://ciera.northwestern.edu/2014/07/10/cieras-shane-larson-called-in-as-expert-on-cityhenge/"/>
    <m/>
    <s v="CIERA Stories|External Press"/>
    <s v="Achievement|Event|Science|Outreach"/>
    <x v="0"/>
  </r>
  <r>
    <n v="4132"/>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x v="0"/>
  </r>
  <r>
    <n v="4133"/>
    <s v="CIERA Postdoc Explores Black Holes in BBC Magazine Feature"/>
    <d v="2014-07-01T00:00:00"/>
    <s v="https://ciera.northwestern.edu/2014/07/01/ciera-postdoc-explores-black-holes-in-bbc-magazine-feature/"/>
    <s v="Black Holes &amp; Dead Stars"/>
    <s v="CIERA Stories|External Press"/>
    <s v="Achievement|Science"/>
    <x v="0"/>
  </r>
  <r>
    <n v="4150"/>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x v="0"/>
  </r>
  <r>
    <n v="4151"/>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x v="0"/>
  </r>
  <r>
    <n v="4204"/>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x v="0"/>
  </r>
  <r>
    <n v="4458"/>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x v="0"/>
  </r>
  <r>
    <n v="4154"/>
    <s v="Nine Students Awarded Funding from Weinberg College and Illinois Space Grant"/>
    <d v="2014-06-01T00:00:00"/>
    <s v="https://ciera.northwestern.edu/2014/06/01/nine-students-awarded-funding-from-weinberg-college-and-illinois-space-grant/"/>
    <m/>
    <s v="CIERA Stories"/>
    <s v="Education|Achievement|Outreach"/>
    <x v="0"/>
  </r>
  <r>
    <n v="4155"/>
    <s v="CIERA Graduate Students Morscher and Schwartz Meet with Over 100 2nd Grade Students"/>
    <d v="2014-05-31T00:00:00"/>
    <s v="https://ciera.northwestern.edu/2014/05/31/ciera-graduate-students-morscher-and-schwartz-meet-with-over-100-2nd-grade-students/"/>
    <m/>
    <s v="CIERA Stories"/>
    <s v="Education|Event|Outreach"/>
    <x v="0"/>
  </r>
  <r>
    <n v="4160"/>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x v="0"/>
  </r>
  <r>
    <n v="4200"/>
    <s v="Giles Novak Appointed as the New Faculty Director of the Tech Instrument Shop"/>
    <d v="2014-05-27T00:00:00"/>
    <s v="https://ciera.northwestern.edu/2014/05/27/giles-novak-appointed-as-the-new-faculty-director-of-the-tech-instrument-shop/"/>
    <m/>
    <s v="CIERA Stories"/>
    <s v="Achievement|Interdisciplinary"/>
    <x v="0"/>
  </r>
  <r>
    <n v="4202"/>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x v="0"/>
  </r>
  <r>
    <n v="4460"/>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x v="0"/>
  </r>
  <r>
    <n v="4466"/>
    <s v="Ben Farr Successfully Defends Thesis"/>
    <d v="2014-05-05T00:00:00"/>
    <s v="https://ciera.northwestern.edu/2014/05/05/ben-farr-successfully-defends-thesis/"/>
    <s v="Gravitational Waves &amp; Multi-Messenger Astronomy"/>
    <m/>
    <s v="Achievement|Science"/>
    <x v="0"/>
  </r>
  <r>
    <n v="4468"/>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x v="0"/>
  </r>
  <r>
    <n v="4469"/>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x v="0"/>
  </r>
  <r>
    <n v="4471"/>
    <s v="Undergraduate Student Scotty Coughlin Awarded Fulbright Scholarship"/>
    <d v="2014-05-01T00:00:00"/>
    <s v="https://ciera.northwestern.edu/2014/05/01/undergraduate-student-scotty-coughlin-awarded-fulbright-scholarship/"/>
    <m/>
    <s v="CIERA Stories"/>
    <s v="Achievement"/>
    <x v="0"/>
  </r>
  <r>
    <n v="4472"/>
    <s v="CIERA Sponsors Poster Session at Northwestern's Computational Research Day"/>
    <d v="2014-04-30T00:00:00"/>
    <s v="https://ciera.northwestern.edu/2014/04/30/ciera-sponsors-poster-session-at-northwesterns-computational-research-day/"/>
    <m/>
    <s v="CIERA Stories"/>
    <s v="Event|Interdisciplinary"/>
    <x v="0"/>
  </r>
  <r>
    <n v="4474"/>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x v="0"/>
  </r>
  <r>
    <n v="4476"/>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x v="0"/>
  </r>
  <r>
    <n v="4619"/>
    <s v="CIERA Fifth Annual Public Lecture: Prof. Maria Zuber Introduces the &quot;New Moon&quot;"/>
    <d v="2014-04-04T00:00:00"/>
    <s v="https://ciera.northwestern.edu/2014/04/04/ciera-fifth-annual-public-lecture-prof-maria-zuber-introduces-the-new-moon/"/>
    <s v="Exoplanets &amp; The Solar System"/>
    <s v="CIERA Stories"/>
    <s v="Event|Outreach"/>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r>
    <m/>
    <m/>
    <m/>
    <m/>
    <m/>
    <m/>
    <m/>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7"/>
    <x v="0"/>
    <s v="7/13/2018"/>
    <d v="2018-09-01T00:00:00"/>
    <x v="0"/>
  </r>
  <r>
    <n v="1286"/>
    <x v="0"/>
    <s v="7/8/2018"/>
    <d v="2018-09-01T00:00:00"/>
    <x v="0"/>
  </r>
  <r>
    <n v="1288"/>
    <x v="0"/>
    <s v="6/29/2018"/>
    <d v="2018-09-01T00:00:00"/>
    <x v="0"/>
  </r>
  <r>
    <n v="1289"/>
    <x v="0"/>
    <s v="8/4/2018"/>
    <d v="2018-09-01T00:00:00"/>
    <x v="0"/>
  </r>
  <r>
    <n v="1294"/>
    <x v="0"/>
    <s v="8/13/2018"/>
    <d v="2018-09-01T00:00:00"/>
    <x v="0"/>
  </r>
  <r>
    <n v="1295"/>
    <x v="0"/>
    <s v="9/1/2017"/>
    <d v="2017-09-01T00:00:00"/>
    <x v="0"/>
  </r>
  <r>
    <n v="1306"/>
    <x v="0"/>
    <s v="6/16/2018"/>
    <d v="2018-09-01T00:00:00"/>
    <x v="0"/>
  </r>
  <r>
    <n v="1309"/>
    <x v="0"/>
    <s v="6/10/2018"/>
    <d v="2018-09-01T00:00:00"/>
    <x v="0"/>
  </r>
  <r>
    <n v="1310"/>
    <x v="0"/>
    <s v="6/4/2018"/>
    <d v="2018-09-01T00:00:00"/>
    <x v="0"/>
  </r>
  <r>
    <n v="1312"/>
    <x v="0"/>
    <s v="5/30/2018"/>
    <d v="2018-09-01T00:00:00"/>
    <x v="0"/>
  </r>
  <r>
    <n v="1315"/>
    <x v="0"/>
    <s v="9/1/2017"/>
    <d v="2017-09-01T00:00:00"/>
    <x v="0"/>
  </r>
  <r>
    <n v="1318"/>
    <x v="0"/>
    <s v="5/17/2018"/>
    <d v="2018-09-01T00:00:00"/>
    <x v="0"/>
  </r>
  <r>
    <n v="1324"/>
    <x v="0"/>
    <s v="9/1/2017"/>
    <d v="2017-09-01T00:00:00"/>
    <x v="0"/>
  </r>
  <r>
    <n v="1343"/>
    <x v="0"/>
    <s v="9/15/2017"/>
    <d v="2017-09-01T00:00:00"/>
    <x v="0"/>
  </r>
  <r>
    <n v="1353"/>
    <x v="0"/>
    <s v="5/9/2018"/>
    <d v="2018-09-01T00:00:00"/>
    <x v="0"/>
  </r>
  <r>
    <n v="1368"/>
    <x v="0"/>
    <s v="10/14/2017"/>
    <d v="2017-09-01T00:00:00"/>
    <x v="0"/>
  </r>
  <r>
    <n v="1370"/>
    <x v="0"/>
    <s v="10/15/2017"/>
    <d v="2017-09-01T00:00:00"/>
    <x v="0"/>
  </r>
  <r>
    <n v="1377"/>
    <x v="0"/>
    <s v="10/21/2017"/>
    <d v="2017-09-01T00:00:00"/>
    <x v="0"/>
  </r>
  <r>
    <n v="1382"/>
    <x v="0"/>
    <s v="12/1/2017"/>
    <d v="2017-09-01T00:00:00"/>
    <x v="0"/>
  </r>
  <r>
    <n v="1390"/>
    <x v="0"/>
    <s v="4/20/2018"/>
    <d v="2018-09-01T00:00:00"/>
    <x v="0"/>
  </r>
  <r>
    <n v="1391"/>
    <x v="0"/>
    <s v="4/10/2018"/>
    <d v="2018-09-01T00:00:00"/>
    <x v="0"/>
  </r>
  <r>
    <n v="1396"/>
    <x v="0"/>
    <s v="3/29/2018"/>
    <d v="2018-09-01T00:00:00"/>
    <x v="0"/>
  </r>
  <r>
    <n v="1400"/>
    <x v="0"/>
    <s v="3/22/2018"/>
    <d v="2018-09-01T00:00:00"/>
    <x v="0"/>
  </r>
  <r>
    <n v="1411"/>
    <x v="0"/>
    <s v="11/1/2017"/>
    <d v="2017-09-01T00:00:00"/>
    <x v="0"/>
  </r>
  <r>
    <n v="1415"/>
    <x v="0"/>
    <s v="11/18/2017"/>
    <d v="2017-09-01T00:00:00"/>
    <x v="0"/>
  </r>
  <r>
    <n v="1431"/>
    <x v="0"/>
    <s v="2/3/2018"/>
    <d v="2018-09-01T00:00:00"/>
    <x v="0"/>
  </r>
  <r>
    <n v="1438"/>
    <x v="0"/>
    <s v="1/31/2018"/>
    <d v="2018-09-01T00:00:00"/>
    <x v="0"/>
  </r>
  <r>
    <n v="1445"/>
    <x v="0"/>
    <s v="1/31/2018"/>
    <d v="2018-09-01T00:00:00"/>
    <x v="0"/>
  </r>
  <r>
    <n v="1460"/>
    <x v="0"/>
    <s v="12/6/2017"/>
    <d v="2017-09-01T00:00:00"/>
    <x v="0"/>
  </r>
  <r>
    <n v="1468"/>
    <x v="0"/>
    <s v="11/28/2017"/>
    <d v="2017-09-01T00:00:00"/>
    <x v="0"/>
  </r>
  <r>
    <n v="1490"/>
    <x v="0"/>
    <s v="2/5/2018"/>
    <d v="2018-09-01T00:00:00"/>
    <x v="0"/>
  </r>
  <r>
    <n v="1613"/>
    <x v="0"/>
    <s v="8/6/2018"/>
    <d v="2018-09-01T00:00:00"/>
    <x v="0"/>
  </r>
  <r>
    <n v="1615"/>
    <x v="0"/>
    <s v="8/24/2018"/>
    <d v="2018-09-01T00:00:00"/>
    <x v="0"/>
  </r>
  <r>
    <n v="1626"/>
    <x v="0"/>
    <s v="6/1/2018"/>
    <d v="2018-09-01T00:00:00"/>
    <x v="0"/>
  </r>
  <r>
    <n v="1696"/>
    <x v="0"/>
    <s v="9/1/2018"/>
    <d v="2018-09-01T00:00:00"/>
    <x v="1"/>
  </r>
  <r>
    <n v="1701"/>
    <x v="0"/>
    <s v="9/27/2018"/>
    <d v="2018-09-01T00:00:00"/>
    <x v="1"/>
  </r>
  <r>
    <n v="1914"/>
    <x v="0"/>
    <s v="10/25/2018"/>
    <d v="2018-09-01T00:00:00"/>
    <x v="1"/>
  </r>
  <r>
    <n v="1928"/>
    <x v="0"/>
    <s v="8/31/2017"/>
    <d v="2017-09-01T00:00:00"/>
    <x v="2"/>
  </r>
  <r>
    <n v="1935"/>
    <x v="0"/>
    <s v="10/26/2018"/>
    <d v="2018-09-01T00:00:00"/>
    <x v="1"/>
  </r>
  <r>
    <n v="1940"/>
    <x v="0"/>
    <s v="8/31/2017"/>
    <d v="2017-09-01T00:00:00"/>
    <x v="2"/>
  </r>
  <r>
    <n v="1947"/>
    <x v="0"/>
    <s v="10/26/2018"/>
    <d v="2018-09-01T00:00:00"/>
    <x v="1"/>
  </r>
  <r>
    <n v="2012"/>
    <x v="0"/>
    <s v="8/15/2017"/>
    <d v="2017-09-01T00:00:00"/>
    <x v="2"/>
  </r>
  <r>
    <n v="2015"/>
    <x v="0"/>
    <s v="8/18/2017"/>
    <d v="2017-09-01T00:00:00"/>
    <x v="2"/>
  </r>
  <r>
    <n v="2032"/>
    <x v="0"/>
    <s v="7/31/2017"/>
    <d v="2017-09-01T00:00:00"/>
    <x v="2"/>
  </r>
  <r>
    <n v="2034"/>
    <x v="0"/>
    <s v="7/30/2017"/>
    <d v="2017-09-01T00:00:00"/>
    <x v="2"/>
  </r>
  <r>
    <n v="2089"/>
    <x v="0"/>
    <s v="7/1/2017"/>
    <d v="2017-09-01T00:00:00"/>
    <x v="2"/>
  </r>
  <r>
    <n v="2201"/>
    <x v="0"/>
    <s v="6/10/2017"/>
    <d v="2017-09-01T00:00:00"/>
    <x v="2"/>
  </r>
  <r>
    <n v="2203"/>
    <x v="0"/>
    <s v="6/3/2017"/>
    <d v="2017-09-01T00:00:00"/>
    <x v="2"/>
  </r>
  <r>
    <n v="2210"/>
    <x v="0"/>
    <s v="5/30/2017"/>
    <d v="2017-09-01T00:00:00"/>
    <x v="2"/>
  </r>
  <r>
    <n v="2213"/>
    <x v="0"/>
    <s v="5/23/2017"/>
    <d v="2017-09-01T00:00:00"/>
    <x v="2"/>
  </r>
  <r>
    <n v="2305"/>
    <x v="0"/>
    <s v="5/19/2017"/>
    <d v="2017-09-01T00:00:00"/>
    <x v="2"/>
  </r>
  <r>
    <n v="2306"/>
    <x v="0"/>
    <s v="5/18/2017"/>
    <d v="2017-09-01T00:00:00"/>
    <x v="2"/>
  </r>
  <r>
    <n v="2323"/>
    <x v="0"/>
    <s v="5/3/2017"/>
    <d v="2017-09-01T00:00:00"/>
    <x v="2"/>
  </r>
  <r>
    <n v="2341"/>
    <x v="0"/>
    <s v="4/28/2017"/>
    <d v="2017-09-01T00:00:00"/>
    <x v="2"/>
  </r>
  <r>
    <n v="2343"/>
    <x v="0"/>
    <s v="4/27/2017"/>
    <d v="2017-09-01T00:00:00"/>
    <x v="2"/>
  </r>
  <r>
    <n v="2344"/>
    <x v="0"/>
    <s v="3/17/2017"/>
    <d v="2017-09-01T00:00:00"/>
    <x v="2"/>
  </r>
  <r>
    <n v="2408"/>
    <x v="0"/>
    <s v="11/12/2018"/>
    <d v="2018-09-01T00:00:00"/>
    <x v="1"/>
  </r>
  <r>
    <n v="2439"/>
    <x v="0"/>
    <s v="3/13/2017"/>
    <d v="2017-09-01T00:00:00"/>
    <x v="2"/>
  </r>
  <r>
    <n v="2442"/>
    <x v="0"/>
    <s v="3/12/2017"/>
    <d v="2017-09-01T00:00:00"/>
    <x v="2"/>
  </r>
  <r>
    <n v="2444"/>
    <x v="0"/>
    <s v="3/2/2017"/>
    <d v="2017-09-01T00:00:00"/>
    <x v="2"/>
  </r>
  <r>
    <n v="2515"/>
    <x v="0"/>
    <s v="2/25/2017"/>
    <d v="2017-09-01T00:00:00"/>
    <x v="2"/>
  </r>
  <r>
    <n v="2521"/>
    <x v="0"/>
    <s v="1/30/2017"/>
    <d v="2017-09-01T00:00:00"/>
    <x v="2"/>
  </r>
  <r>
    <n v="2525"/>
    <x v="0"/>
    <s v="1/28/2017"/>
    <d v="2017-09-01T00:00:00"/>
    <x v="2"/>
  </r>
  <r>
    <n v="2536"/>
    <x v="0"/>
    <s v="1/27/2017"/>
    <d v="2017-09-01T00:00:00"/>
    <x v="2"/>
  </r>
  <r>
    <n v="2551"/>
    <x v="0"/>
    <s v="1/1/2017"/>
    <d v="2017-09-01T00:00:00"/>
    <x v="2"/>
  </r>
  <r>
    <n v="2825"/>
    <x v="0"/>
    <s v="12/29/2016"/>
    <d v="2016-09-01T00:00:00"/>
    <x v="2"/>
  </r>
  <r>
    <n v="2829"/>
    <x v="0"/>
    <s v="12/15/2016"/>
    <d v="2016-09-01T00:00:00"/>
    <x v="2"/>
  </r>
  <r>
    <n v="2996"/>
    <x v="0"/>
    <s v="11/29/2016"/>
    <d v="2016-09-01T00:00:00"/>
    <x v="2"/>
  </r>
  <r>
    <n v="3000"/>
    <x v="0"/>
    <s v="11/27/2016"/>
    <d v="2016-09-01T00:00:00"/>
    <x v="2"/>
  </r>
  <r>
    <n v="3003"/>
    <x v="0"/>
    <s v="11/1/2016"/>
    <d v="2016-09-01T00:00:00"/>
    <x v="2"/>
  </r>
  <r>
    <n v="3005"/>
    <x v="0"/>
    <s v="10/31/2016"/>
    <d v="2016-09-01T00:00:00"/>
    <x v="2"/>
  </r>
  <r>
    <n v="3007"/>
    <x v="0"/>
    <s v="10/30/2016"/>
    <d v="2016-09-01T00:00:00"/>
    <x v="2"/>
  </r>
  <r>
    <n v="3062"/>
    <x v="0"/>
    <s v="10/3/2016"/>
    <d v="2016-09-01T00:00:00"/>
    <x v="2"/>
  </r>
  <r>
    <n v="3063"/>
    <x v="0"/>
    <s v="10/1/2016"/>
    <d v="2016-09-01T00:00:00"/>
    <x v="2"/>
  </r>
  <r>
    <n v="3065"/>
    <x v="0"/>
    <s v="9/30/2016"/>
    <d v="2016-09-01T00:00:00"/>
    <x v="2"/>
  </r>
  <r>
    <n v="3212"/>
    <x v="0"/>
    <s v="9/14/2016"/>
    <d v="2016-09-01T00:00:00"/>
    <x v="2"/>
  </r>
  <r>
    <n v="3218"/>
    <x v="0"/>
    <s v="9/13/2016"/>
    <d v="2016-09-01T00:00:00"/>
    <x v="2"/>
  </r>
  <r>
    <n v="3224"/>
    <x v="0"/>
    <s v="9/2/2016"/>
    <d v="2016-09-01T00:00:00"/>
    <x v="2"/>
  </r>
  <r>
    <n v="3254"/>
    <x v="0"/>
    <s v="12/18/2018"/>
    <d v="2018-09-01T00:00:00"/>
    <x v="1"/>
  </r>
  <r>
    <n v="3278"/>
    <x v="0"/>
    <s v="8/31/2016"/>
    <d v="2016-09-01T00:00:00"/>
    <x v="3"/>
  </r>
  <r>
    <n v="3280"/>
    <x v="0"/>
    <s v="8/30/2016"/>
    <d v="2016-09-01T00:00:00"/>
    <x v="3"/>
  </r>
  <r>
    <n v="3301"/>
    <x v="0"/>
    <s v="8/29/2016"/>
    <d v="2016-09-01T00:00:00"/>
    <x v="3"/>
  </r>
  <r>
    <n v="3308"/>
    <x v="0"/>
    <s v="8/28/2016"/>
    <d v="2016-09-01T00:00:00"/>
    <x v="3"/>
  </r>
  <r>
    <n v="3311"/>
    <x v="0"/>
    <s v="8/27/2016"/>
    <d v="2016-09-01T00:00:00"/>
    <x v="3"/>
  </r>
  <r>
    <n v="3317"/>
    <x v="0"/>
    <s v="7/14/2016"/>
    <d v="2016-09-01T00:00:00"/>
    <x v="3"/>
  </r>
  <r>
    <n v="3329"/>
    <x v="0"/>
    <s v="7/13/2016"/>
    <d v="2016-09-01T00:00:00"/>
    <x v="3"/>
  </r>
  <r>
    <n v="3330"/>
    <x v="0"/>
    <s v="7/13/2016"/>
    <d v="2016-09-01T00:00:00"/>
    <x v="3"/>
  </r>
  <r>
    <n v="3339"/>
    <x v="0"/>
    <s v="6/24/2016"/>
    <d v="2016-09-01T00:00:00"/>
    <x v="3"/>
  </r>
  <r>
    <n v="3343"/>
    <x v="0"/>
    <s v="6/1/2016"/>
    <d v="2016-09-01T00:00:00"/>
    <x v="3"/>
  </r>
  <r>
    <n v="3345"/>
    <x v="0"/>
    <s v="5/29/2016"/>
    <d v="2016-09-01T00:00:00"/>
    <x v="3"/>
  </r>
  <r>
    <n v="3400"/>
    <x v="0"/>
    <s v="5/25/2016"/>
    <d v="2016-09-01T00:00:00"/>
    <x v="3"/>
  </r>
  <r>
    <n v="3410"/>
    <x v="0"/>
    <s v="1/15/2019"/>
    <d v="2019-09-01T00:00:00"/>
    <x v="1"/>
  </r>
  <r>
    <n v="3415"/>
    <x v="0"/>
    <s v="1/20/2019"/>
    <d v="2019-09-01T00:00:00"/>
    <x v="1"/>
  </r>
  <r>
    <n v="3421"/>
    <x v="0"/>
    <s v="1/22/2019"/>
    <d v="2019-09-01T00:00:00"/>
    <x v="1"/>
  </r>
  <r>
    <n v="3426"/>
    <x v="0"/>
    <s v="5/20/2016"/>
    <d v="2016-09-01T00:00:00"/>
    <x v="3"/>
  </r>
  <r>
    <n v="3428"/>
    <x v="0"/>
    <s v="5/19/2016"/>
    <d v="2016-09-01T00:00:00"/>
    <x v="3"/>
  </r>
  <r>
    <n v="3442"/>
    <x v="0"/>
    <s v="1/21/2019"/>
    <d v="2019-09-01T00:00:00"/>
    <x v="1"/>
  </r>
  <r>
    <n v="3452"/>
    <x v="0"/>
    <s v="5/10/2016"/>
    <d v="2016-09-01T00:00:00"/>
    <x v="3"/>
  </r>
  <r>
    <n v="3458"/>
    <x v="0"/>
    <s v="5/6/2016"/>
    <d v="2016-09-01T00:00:00"/>
    <x v="3"/>
  </r>
  <r>
    <n v="3460"/>
    <x v="0"/>
    <s v="5/1/2016"/>
    <d v="2016-09-01T00:00:00"/>
    <x v="3"/>
  </r>
  <r>
    <n v="3529"/>
    <x v="0"/>
    <s v="4/30/2016"/>
    <d v="2016-09-01T00:00:00"/>
    <x v="3"/>
  </r>
  <r>
    <n v="3539"/>
    <x v="0"/>
    <s v="4/22/2016"/>
    <d v="2016-09-01T00:00:00"/>
    <x v="3"/>
  </r>
  <r>
    <n v="3542"/>
    <x v="0"/>
    <s v="4/3/2016"/>
    <d v="2016-09-01T00:00:00"/>
    <x v="3"/>
  </r>
  <r>
    <n v="3551"/>
    <x v="0"/>
    <s v="3/29/2016"/>
    <d v="2016-09-01T00:00:00"/>
    <x v="3"/>
  </r>
  <r>
    <n v="3554"/>
    <x v="0"/>
    <s v="3/1/2016"/>
    <d v="2016-09-01T00:00:00"/>
    <x v="3"/>
  </r>
  <r>
    <n v="3556"/>
    <x v="0"/>
    <s v="2/28/2016"/>
    <d v="2016-09-01T00:00:00"/>
    <x v="3"/>
  </r>
  <r>
    <n v="3558"/>
    <x v="0"/>
    <s v="2/20/2016"/>
    <d v="2016-09-01T00:00:00"/>
    <x v="3"/>
  </r>
  <r>
    <n v="3563"/>
    <x v="0"/>
    <s v="2/11/2016"/>
    <d v="2016-09-01T00:00:00"/>
    <x v="3"/>
  </r>
  <r>
    <n v="3604"/>
    <x v="0"/>
    <s v="2/4/2016"/>
    <d v="2016-09-01T00:00:00"/>
    <x v="3"/>
  </r>
  <r>
    <n v="3609"/>
    <x v="0"/>
    <s v="1/30/2016"/>
    <d v="2016-09-01T00:00:00"/>
    <x v="3"/>
  </r>
  <r>
    <n v="3612"/>
    <x v="0"/>
    <s v="1/29/2016"/>
    <d v="2016-09-01T00:00:00"/>
    <x v="3"/>
  </r>
  <r>
    <n v="3614"/>
    <x v="0"/>
    <s v="1/27/2016"/>
    <d v="2016-09-01T00:00:00"/>
    <x v="3"/>
  </r>
  <r>
    <n v="3620"/>
    <x v="0"/>
    <s v="1/5/2016"/>
    <d v="2016-09-01T00:00:00"/>
    <x v="3"/>
  </r>
  <r>
    <n v="3622"/>
    <x v="0"/>
    <s v="1/1/2016"/>
    <d v="2016-09-01T00:00:00"/>
    <x v="3"/>
  </r>
  <r>
    <n v="3624"/>
    <x v="0"/>
    <s v="12/6/2015"/>
    <d v="2015-09-01T00:00:00"/>
    <x v="3"/>
  </r>
  <r>
    <n v="3637"/>
    <x v="0"/>
    <s v="11/30/2015"/>
    <d v="2015-09-01T00:00:00"/>
    <x v="3"/>
  </r>
  <r>
    <n v="3639"/>
    <x v="0"/>
    <s v="11/25/2015"/>
    <d v="2015-09-01T00:00:00"/>
    <x v="3"/>
  </r>
  <r>
    <n v="3654"/>
    <x v="0"/>
    <s v="11/13/2015"/>
    <d v="2015-09-01T00:00:00"/>
    <x v="3"/>
  </r>
  <r>
    <n v="3659"/>
    <x v="0"/>
    <s v="11/11/2015"/>
    <d v="2015-09-01T00:00:00"/>
    <x v="3"/>
  </r>
  <r>
    <n v="3661"/>
    <x v="0"/>
    <s v="11/10/2015"/>
    <d v="2015-09-01T00:00:00"/>
    <x v="3"/>
  </r>
  <r>
    <n v="3663"/>
    <x v="0"/>
    <s v="11/3/2015"/>
    <d v="2015-09-01T00:00:00"/>
    <x v="3"/>
  </r>
  <r>
    <n v="3732"/>
    <x v="0"/>
    <s v="11/1/2015"/>
    <d v="2015-09-01T00:00:00"/>
    <x v="3"/>
  </r>
  <r>
    <n v="3735"/>
    <x v="0"/>
    <s v="10/31/2015"/>
    <d v="2015-09-01T00:00:00"/>
    <x v="3"/>
  </r>
  <r>
    <n v="3741"/>
    <x v="0"/>
    <s v="10/15/2015"/>
    <d v="2015-09-01T00:00:00"/>
    <x v="3"/>
  </r>
  <r>
    <n v="3743"/>
    <x v="0"/>
    <s v="10/5/2015"/>
    <d v="2015-09-01T00:00:00"/>
    <x v="3"/>
  </r>
  <r>
    <n v="3746"/>
    <x v="0"/>
    <s v="9/30/2015"/>
    <d v="2015-09-01T00:00:00"/>
    <x v="3"/>
  </r>
  <r>
    <n v="3755"/>
    <x v="0"/>
    <s v="11/25/2015"/>
    <d v="2015-09-01T00:00:00"/>
    <x v="3"/>
  </r>
  <r>
    <n v="3757"/>
    <x v="0"/>
    <s v="11/22/2015"/>
    <d v="2015-09-01T00:00:00"/>
    <x v="3"/>
  </r>
  <r>
    <n v="3758"/>
    <x v="0"/>
    <s v="9/13/2015"/>
    <d v="2015-09-01T00:00:00"/>
    <x v="3"/>
  </r>
  <r>
    <n v="3760"/>
    <x v="0"/>
    <s v="9/12/2015"/>
    <d v="2015-09-01T00:00:00"/>
    <x v="3"/>
  </r>
  <r>
    <n v="3784"/>
    <x v="0"/>
    <s v="8/31/2015"/>
    <d v="2015-09-01T00:00:00"/>
    <x v="4"/>
  </r>
  <r>
    <n v="3787"/>
    <x v="0"/>
    <s v="8/30/2015"/>
    <d v="2015-09-01T00:00:00"/>
    <x v="4"/>
  </r>
  <r>
    <n v="3793"/>
    <x v="0"/>
    <s v="7/27/2015"/>
    <d v="2015-09-01T00:00:00"/>
    <x v="4"/>
  </r>
  <r>
    <n v="3795"/>
    <x v="0"/>
    <s v="7/22/2015"/>
    <d v="2015-09-01T00:00:00"/>
    <x v="4"/>
  </r>
  <r>
    <n v="3799"/>
    <x v="0"/>
    <s v="7/12/2015"/>
    <d v="2015-09-01T00:00:00"/>
    <x v="4"/>
  </r>
  <r>
    <n v="3803"/>
    <x v="0"/>
    <s v="6/30/2015"/>
    <d v="2015-09-01T00:00:00"/>
    <x v="4"/>
  </r>
  <r>
    <n v="3817"/>
    <x v="0"/>
    <s v="3/10/2019"/>
    <d v="2019-09-01T00:00:00"/>
    <x v="1"/>
  </r>
  <r>
    <n v="3838"/>
    <x v="0"/>
    <s v="3/25/2019"/>
    <d v="2019-09-01T00:00:00"/>
    <x v="1"/>
  </r>
  <r>
    <n v="3843"/>
    <x v="0"/>
    <s v="4/1/2019"/>
    <d v="2019-09-01T00:00:00"/>
    <x v="1"/>
  </r>
  <r>
    <n v="3872"/>
    <x v="0"/>
    <s v="4/3/2019"/>
    <d v="2019-09-01T00:00:00"/>
    <x v="1"/>
  </r>
  <r>
    <n v="3881"/>
    <x v="0"/>
    <s v="6/27/2015"/>
    <d v="2015-09-01T00:00:00"/>
    <x v="4"/>
  </r>
  <r>
    <n v="3883"/>
    <x v="0"/>
    <s v="6/15/2015"/>
    <d v="2015-09-01T00:00:00"/>
    <x v="4"/>
  </r>
  <r>
    <n v="3885"/>
    <x v="0"/>
    <s v="6/10/2015"/>
    <d v="2015-09-01T00:00:00"/>
    <x v="4"/>
  </r>
  <r>
    <n v="3887"/>
    <x v="0"/>
    <s v="6/5/2015"/>
    <d v="2015-09-01T00:00:00"/>
    <x v="4"/>
  </r>
  <r>
    <n v="3895"/>
    <x v="0"/>
    <s v="6/1/2015"/>
    <d v="2015-09-01T00:00:00"/>
    <x v="4"/>
  </r>
  <r>
    <n v="3897"/>
    <x v="0"/>
    <s v="5/31/2015"/>
    <d v="2015-09-01T00:00:00"/>
    <x v="4"/>
  </r>
  <r>
    <n v="3899"/>
    <x v="0"/>
    <s v="5/15/2015"/>
    <d v="2015-09-01T00:00:00"/>
    <x v="4"/>
  </r>
  <r>
    <n v="3921"/>
    <x v="0"/>
    <s v="4/30/2015"/>
    <d v="2015-09-01T00:00:00"/>
    <x v="4"/>
  </r>
  <r>
    <n v="3931"/>
    <x v="0"/>
    <s v="4/29/2015"/>
    <d v="2015-09-01T00:00:00"/>
    <x v="4"/>
  </r>
  <r>
    <n v="3939"/>
    <x v="0"/>
    <s v="4/16/2019"/>
    <d v="2019-09-01T00:00:00"/>
    <x v="1"/>
  </r>
  <r>
    <n v="3943"/>
    <x v="0"/>
    <s v="4/24/2015"/>
    <d v="2015-09-01T00:00:00"/>
    <x v="4"/>
  </r>
  <r>
    <n v="3945"/>
    <x v="0"/>
    <s v="4/18/2015"/>
    <d v="2015-09-01T00:00:00"/>
    <x v="4"/>
  </r>
  <r>
    <n v="3949"/>
    <x v="0"/>
    <s v="4/18/2019"/>
    <d v="2019-09-01T00:00:00"/>
    <x v="1"/>
  </r>
  <r>
    <n v="3951"/>
    <x v="0"/>
    <s v="1/31/2019"/>
    <d v="2019-09-01T00:00:00"/>
    <x v="1"/>
  </r>
  <r>
    <n v="3964"/>
    <x v="0"/>
    <s v="4/19/2019"/>
    <d v="2019-09-01T00:00:00"/>
    <x v="1"/>
  </r>
  <r>
    <n v="3970"/>
    <x v="0"/>
    <s v="3/31/2015"/>
    <d v="2015-09-01T00:00:00"/>
    <x v="4"/>
  </r>
  <r>
    <n v="3974"/>
    <x v="0"/>
    <s v="3/19/2015"/>
    <d v="2015-09-01T00:00:00"/>
    <x v="4"/>
  </r>
  <r>
    <n v="3976"/>
    <x v="0"/>
    <s v="3/1/2015"/>
    <d v="2015-09-01T00:00:00"/>
    <x v="4"/>
  </r>
  <r>
    <n v="3980"/>
    <x v="0"/>
    <s v="2/26/2015"/>
    <d v="2015-09-01T00:00:00"/>
    <x v="4"/>
  </r>
  <r>
    <n v="4006"/>
    <x v="0"/>
    <s v="2/20/2015"/>
    <d v="2015-09-01T00:00:00"/>
    <x v="4"/>
  </r>
  <r>
    <n v="4013"/>
    <x v="0"/>
    <s v="2/5/2015"/>
    <d v="2015-09-01T00:00:00"/>
    <x v="4"/>
  </r>
  <r>
    <n v="4016"/>
    <x v="0"/>
    <s v="1/25/2015"/>
    <d v="2015-09-01T00:00:00"/>
    <x v="4"/>
  </r>
  <r>
    <n v="4028"/>
    <x v="0"/>
    <s v="12/15/2014"/>
    <d v="2014-09-01T00:00:00"/>
    <x v="4"/>
  </r>
  <r>
    <n v="4036"/>
    <x v="0"/>
    <s v="11/16/2014"/>
    <d v="2014-09-01T00:00:00"/>
    <x v="4"/>
  </r>
  <r>
    <n v="4040"/>
    <x v="0"/>
    <s v="4/29/2019"/>
    <d v="2019-09-01T00:00:00"/>
    <x v="1"/>
  </r>
  <r>
    <n v="4052"/>
    <x v="0"/>
    <s v="10/31/2014"/>
    <d v="2014-09-01T00:00:00"/>
    <x v="4"/>
  </r>
  <r>
    <n v="4071"/>
    <x v="0"/>
    <s v="10/3/2014"/>
    <d v="2014-09-01T00:00:00"/>
    <x v="4"/>
  </r>
  <r>
    <n v="4081"/>
    <x v="0"/>
    <s v="9/25/2014"/>
    <d v="2014-09-01T00:00:00"/>
    <x v="4"/>
  </r>
  <r>
    <n v="4082"/>
    <x v="0"/>
    <s v="9/9/2014"/>
    <d v="2014-09-01T00:00:00"/>
    <x v="4"/>
  </r>
  <r>
    <n v="4087"/>
    <x v="0"/>
    <s v="8/27/2014"/>
    <d v="2014-09-01T00:00:00"/>
    <x v="5"/>
  </r>
  <r>
    <n v="4091"/>
    <x v="0"/>
    <s v="8/17/2014"/>
    <d v="2014-09-01T00:00:00"/>
    <x v="5"/>
  </r>
  <r>
    <n v="4093"/>
    <x v="0"/>
    <s v="8/1/2014"/>
    <d v="2014-09-01T00:00:00"/>
    <x v="5"/>
  </r>
  <r>
    <n v="4129"/>
    <x v="0"/>
    <s v="7/15/2014"/>
    <d v="2014-09-01T00:00:00"/>
    <x v="5"/>
  </r>
  <r>
    <n v="4132"/>
    <x v="0"/>
    <s v="7/6/2014"/>
    <d v="2014-09-01T00:00:00"/>
    <x v="5"/>
  </r>
  <r>
    <n v="4141"/>
    <x v="0"/>
    <s v="5/28/2019"/>
    <d v="2019-09-01T00:00:00"/>
    <x v="1"/>
  </r>
  <r>
    <n v="4154"/>
    <x v="0"/>
    <s v="6/1/2014"/>
    <d v="2014-09-01T00:00:00"/>
    <x v="5"/>
  </r>
  <r>
    <n v="4155"/>
    <x v="0"/>
    <s v="5/31/2014"/>
    <d v="2014-09-01T00:00:00"/>
    <x v="5"/>
  </r>
  <r>
    <n v="4160"/>
    <x v="0"/>
    <s v="5/29/2014"/>
    <d v="2014-09-01T00:00:00"/>
    <x v="5"/>
  </r>
  <r>
    <n v="4164"/>
    <x v="0"/>
    <s v="6/4/2019"/>
    <d v="2019-09-01T00:00:00"/>
    <x v="1"/>
  </r>
  <r>
    <n v="4174"/>
    <x v="0"/>
    <s v="3/15/2019"/>
    <d v="2019-09-01T00:00:00"/>
    <x v="1"/>
  </r>
  <r>
    <n v="4177"/>
    <x v="0"/>
    <s v="4/1/2019"/>
    <d v="2019-09-01T00:00:00"/>
    <x v="1"/>
  </r>
  <r>
    <n v="4200"/>
    <x v="0"/>
    <s v="5/27/2014"/>
    <d v="2014-09-01T00:00:00"/>
    <x v="5"/>
  </r>
  <r>
    <n v="4209"/>
    <x v="0"/>
    <s v="5/9/2019"/>
    <d v="2019-09-01T00:00:00"/>
    <x v="1"/>
  </r>
  <r>
    <n v="4239"/>
    <x v="0"/>
    <s v="6/14/2019"/>
    <d v="2019-09-01T00:00:00"/>
    <x v="1"/>
  </r>
  <r>
    <n v="4242"/>
    <x v="0"/>
    <s v="6/21/2019"/>
    <d v="2019-09-01T00:00:00"/>
    <x v="1"/>
  </r>
  <r>
    <n v="4244"/>
    <x v="0"/>
    <s v="5/13/2019"/>
    <d v="2019-09-01T00:00:00"/>
    <x v="1"/>
  </r>
  <r>
    <n v="4247"/>
    <x v="0"/>
    <s v="5/29/2019"/>
    <d v="2019-09-01T00:00:00"/>
    <x v="1"/>
  </r>
  <r>
    <n v="4254"/>
    <x v="0"/>
    <s v="6/21/2019"/>
    <d v="2019-09-01T00:00:00"/>
    <x v="1"/>
  </r>
  <r>
    <n v="4280"/>
    <x v="0"/>
    <s v="7/10/2019"/>
    <d v="2019-09-01T00:00:00"/>
    <x v="1"/>
  </r>
  <r>
    <n v="4328"/>
    <x v="0"/>
    <s v="8/15/2019"/>
    <d v="2019-09-01T00:00:00"/>
    <x v="1"/>
  </r>
  <r>
    <n v="4354"/>
    <x v="0"/>
    <s v="7/26/2019"/>
    <d v="2019-09-01T00:00:00"/>
    <x v="1"/>
  </r>
  <r>
    <n v="4357"/>
    <x v="0"/>
    <s v="7/18/2019"/>
    <d v="2019-09-01T00:00:00"/>
    <x v="1"/>
  </r>
  <r>
    <n v="4359"/>
    <x v="0"/>
    <s v="8/23/2019"/>
    <d v="2019-09-01T00:00:00"/>
    <x v="1"/>
  </r>
  <r>
    <n v="4368"/>
    <x v="0"/>
    <s v="9/5/2019"/>
    <d v="2019-09-01T00:00:00"/>
    <x v="6"/>
  </r>
  <r>
    <n v="4406"/>
    <x v="0"/>
    <s v="6/1/2019"/>
    <d v="2019-09-01T00:00:00"/>
    <x v="1"/>
  </r>
  <r>
    <n v="4435"/>
    <x v="0"/>
    <s v="8/2/2019"/>
    <d v="2019-09-01T00:00:00"/>
    <x v="1"/>
  </r>
  <r>
    <n v="4458"/>
    <x v="0"/>
    <s v="6/3/2014"/>
    <d v="2014-09-01T00:00:00"/>
    <x v="5"/>
  </r>
  <r>
    <n v="4460"/>
    <x v="0"/>
    <s v="5/8/2014"/>
    <d v="2014-09-01T00:00:00"/>
    <x v="5"/>
  </r>
  <r>
    <n v="4469"/>
    <x v="0"/>
    <s v="5/2/2014"/>
    <d v="2014-09-01T00:00:00"/>
    <x v="5"/>
  </r>
  <r>
    <n v="4471"/>
    <x v="0"/>
    <s v="5/1/2014"/>
    <d v="2014-09-01T00:00:00"/>
    <x v="5"/>
  </r>
  <r>
    <n v="4472"/>
    <x v="0"/>
    <s v="4/30/2014"/>
    <d v="2014-09-01T00:00:00"/>
    <x v="5"/>
  </r>
  <r>
    <n v="4474"/>
    <x v="0"/>
    <s v="4/27/2014"/>
    <d v="2014-09-01T00:00:00"/>
    <x v="5"/>
  </r>
  <r>
    <n v="4493"/>
    <x v="0"/>
    <s v="10/10/2019"/>
    <d v="2019-09-01T00:00:00"/>
    <x v="6"/>
  </r>
  <r>
    <n v="4577"/>
    <x v="0"/>
    <s v="4/15/2019"/>
    <d v="2019-09-01T00:00:00"/>
    <x v="1"/>
  </r>
  <r>
    <n v="4579"/>
    <x v="0"/>
    <s v="9/30/2019"/>
    <d v="2019-09-01T00:00:00"/>
    <x v="6"/>
  </r>
  <r>
    <n v="4591"/>
    <x v="0"/>
    <s v="9/1/2019"/>
    <d v="2019-09-01T00:00:00"/>
    <x v="6"/>
  </r>
  <r>
    <n v="4592"/>
    <x v="0"/>
    <s v="10/8/2019"/>
    <d v="2019-09-01T00:00:00"/>
    <x v="6"/>
  </r>
  <r>
    <n v="4594"/>
    <x v="0"/>
    <s v="10/21/2019"/>
    <d v="2019-09-01T00:00:00"/>
    <x v="6"/>
  </r>
  <r>
    <n v="4608"/>
    <x v="0"/>
    <s v="10/25/2019"/>
    <d v="2019-09-01T00:00:00"/>
    <x v="6"/>
  </r>
  <r>
    <n v="4619"/>
    <x v="0"/>
    <s v="4/4/2014"/>
    <d v="2014-09-01T00:00:00"/>
    <x v="5"/>
  </r>
  <r>
    <n v="4641"/>
    <x v="0"/>
    <s v="12/2/2019"/>
    <d v="2019-09-01T00:00:00"/>
    <x v="6"/>
  </r>
  <r>
    <n v="4762"/>
    <x v="0"/>
    <s v="9/1/2019"/>
    <d v="2019-09-01T00:00:00"/>
    <x v="6"/>
  </r>
  <r>
    <n v="4763"/>
    <x v="0"/>
    <s v="12/9/2019"/>
    <d v="2019-09-01T00:00:00"/>
    <x v="6"/>
  </r>
  <r>
    <n v="4765"/>
    <x v="0"/>
    <s v="12/10/2019"/>
    <d v="2019-09-01T00:00:00"/>
    <x v="6"/>
  </r>
  <r>
    <n v="4769"/>
    <x v="0"/>
    <s v="1/22/2020"/>
    <d v="2020-09-01T00:00:00"/>
    <x v="6"/>
  </r>
  <r>
    <n v="4816"/>
    <x v="0"/>
    <s v="1/10/2020"/>
    <d v="2020-09-01T00:00:00"/>
    <x v="6"/>
  </r>
  <r>
    <n v="4829"/>
    <x v="0"/>
    <s v="2/18/2020"/>
    <d v="2020-09-01T00:00:00"/>
    <x v="6"/>
  </r>
  <r>
    <n v="4855"/>
    <x v="0"/>
    <s v="3/13/2020"/>
    <d v="2020-09-01T00:00:00"/>
    <x v="6"/>
  </r>
  <r>
    <n v="4863"/>
    <x v="0"/>
    <s v="2/6/2020"/>
    <d v="2020-09-01T00:00:00"/>
    <x v="6"/>
  </r>
  <r>
    <n v="4870"/>
    <x v="0"/>
    <s v="3/25/2020"/>
    <d v="2020-09-01T00:00:00"/>
    <x v="6"/>
  </r>
  <r>
    <n v="4875"/>
    <x v="0"/>
    <s v="4/1/2020"/>
    <d v="2020-09-01T00:00:00"/>
    <x v="6"/>
  </r>
  <r>
    <n v="4901"/>
    <x v="0"/>
    <s v="4/21/2020"/>
    <d v="2020-09-01T00:00:00"/>
    <x v="6"/>
  </r>
  <r>
    <n v="4903"/>
    <x v="0"/>
    <s v="4/21/2020"/>
    <d v="2020-09-01T00:00:00"/>
    <x v="6"/>
  </r>
  <r>
    <n v="4910"/>
    <x v="0"/>
    <s v="4/1/2020"/>
    <d v="2020-09-01T00:00:00"/>
    <x v="6"/>
  </r>
  <r>
    <n v="4912"/>
    <x v="0"/>
    <s v="3/24/2020"/>
    <d v="2020-09-01T00:00:00"/>
    <x v="6"/>
  </r>
  <r>
    <n v="4934"/>
    <x v="0"/>
    <s v="5/27/2020"/>
    <d v="2020-09-01T00:00:00"/>
    <x v="6"/>
  </r>
  <r>
    <n v="4937"/>
    <x v="0"/>
    <s v="5/7/2020"/>
    <d v="2020-09-01T00:00:00"/>
    <x v="6"/>
  </r>
  <r>
    <n v="4942"/>
    <x v="0"/>
    <s v="5/28/2020"/>
    <d v="2020-09-01T00:00:00"/>
    <x v="6"/>
  </r>
  <r>
    <n v="4944"/>
    <x v="0"/>
    <s v="6/1/2020"/>
    <d v="2020-09-01T00:00:00"/>
    <x v="6"/>
  </r>
  <r>
    <n v="4948"/>
    <x v="0"/>
    <s v="6/6/2020"/>
    <d v="2020-09-01T00:00:00"/>
    <x v="6"/>
  </r>
  <r>
    <n v="4977"/>
    <x v="0"/>
    <s v="6/18/2020"/>
    <d v="2020-09-01T00:00:00"/>
    <x v="6"/>
  </r>
  <r>
    <n v="4978"/>
    <x v="0"/>
    <s v="5/29/2020"/>
    <d v="2020-09-01T00:00:00"/>
    <x v="6"/>
  </r>
  <r>
    <n v="4982"/>
    <x v="0"/>
    <s v="6/19/2020"/>
    <d v="2020-09-01T00:00:00"/>
    <x v="6"/>
  </r>
  <r>
    <n v="5025"/>
    <x v="0"/>
    <s v="8/6/2020"/>
    <d v="2020-09-01T00:00:00"/>
    <x v="6"/>
  </r>
  <r>
    <n v="5038"/>
    <x v="0"/>
    <s v="9/1/2020"/>
    <d v="2020-09-01T00:00:00"/>
    <x v="7"/>
  </r>
  <r>
    <n v="5078"/>
    <x v="0"/>
    <s v="9/17/2020"/>
    <d v="2020-09-01T00:00:00"/>
    <x v="7"/>
  </r>
  <r>
    <n v="5094"/>
    <x v="0"/>
    <s v="9/8/2020"/>
    <d v="2020-09-01T00:00:00"/>
    <x v="7"/>
  </r>
  <r>
    <n v="5112"/>
    <x v="0"/>
    <s v="9/17/2020"/>
    <d v="2020-09-01T00:00:00"/>
    <x v="7"/>
  </r>
  <r>
    <n v="5114"/>
    <x v="0"/>
    <s v="8/14/2020"/>
    <d v="2020-09-01T00:00:00"/>
    <x v="6"/>
  </r>
  <r>
    <n v="5129"/>
    <x v="0"/>
    <s v="8/31/2020"/>
    <d v="2020-09-01T00:00:00"/>
    <x v="6"/>
  </r>
  <r>
    <n v="5382"/>
    <x v="0"/>
    <s v="10/1/2020"/>
    <d v="2020-09-01T00:00:00"/>
    <x v="7"/>
  </r>
  <r>
    <n v="5446"/>
    <x v="0"/>
    <s v="10/20/2020"/>
    <d v="2020-09-01T00:00:00"/>
    <x v="7"/>
  </r>
  <r>
    <n v="5454"/>
    <x v="0"/>
    <s v="10/12/2020"/>
    <d v="2020-09-01T00:00:00"/>
    <x v="7"/>
  </r>
  <r>
    <n v="5526"/>
    <x v="0"/>
    <s v="10/28/2020"/>
    <d v="2020-09-01T00:00:00"/>
    <x v="7"/>
  </r>
  <r>
    <n v="5535"/>
    <x v="0"/>
    <s v="10/30/2020"/>
    <d v="2020-09-01T00:00:00"/>
    <x v="7"/>
  </r>
  <r>
    <n v="5537"/>
    <x v="0"/>
    <s v="11/3/2020"/>
    <d v="2020-09-01T00:00:00"/>
    <x v="7"/>
  </r>
  <r>
    <n v="5606"/>
    <x v="0"/>
    <s v="11/23/2020"/>
    <d v="2020-09-01T00:00:00"/>
    <x v="7"/>
  </r>
  <r>
    <n v="5624"/>
    <x v="0"/>
    <s v="11/30/2020"/>
    <d v="2020-09-01T00:00:00"/>
    <x v="7"/>
  </r>
  <r>
    <n v="5641"/>
    <x v="0"/>
    <s v="11/16/2020"/>
    <d v="2020-09-01T00:00:00"/>
    <x v="7"/>
  </r>
  <r>
    <n v="5759"/>
    <x v="0"/>
    <s v="10/25/2020"/>
    <d v="2020-09-01T00:00:00"/>
    <x v="7"/>
  </r>
  <r>
    <n v="5806"/>
    <x v="0"/>
    <s v="2/1/2021"/>
    <d v="2021-09-01T00:00:00"/>
    <x v="7"/>
  </r>
  <r>
    <n v="5863"/>
    <x v="0"/>
    <s v="3/15/2021"/>
    <d v="2021-09-01T00:00:00"/>
    <x v="7"/>
  </r>
  <r>
    <n v="5883"/>
    <x v="0"/>
    <s v="3/18/2021"/>
    <d v="2021-09-01T00:00:00"/>
    <x v="7"/>
  </r>
  <r>
    <n v="5906"/>
    <x v="0"/>
    <s v="3/25/2021"/>
    <d v="2021-09-01T00:00:00"/>
    <x v="7"/>
  </r>
  <r>
    <n v="5920"/>
    <x v="0"/>
    <s v="4/2/2021"/>
    <d v="2021-09-01T00:00:00"/>
    <x v="7"/>
  </r>
  <r>
    <n v="6010"/>
    <x v="0"/>
    <s v="4/17/2021"/>
    <d v="2021-09-01T00:00:00"/>
    <x v="7"/>
  </r>
  <r>
    <n v="5958"/>
    <x v="0"/>
    <s v="4/19/2021"/>
    <d v="2021-09-01T00:00:00"/>
    <x v="7"/>
  </r>
  <r>
    <n v="6008"/>
    <x v="0"/>
    <s v="4/28/2021"/>
    <d v="2021-09-01T00:00:00"/>
    <x v="7"/>
  </r>
  <r>
    <n v="6028"/>
    <x v="0"/>
    <s v="5/3/2021"/>
    <d v="2021-09-01T00:00:00"/>
    <x v="7"/>
  </r>
  <r>
    <n v="6083"/>
    <x v="0"/>
    <s v="5/18/2021"/>
    <d v="2021-09-01T00:00:00"/>
    <x v="7"/>
  </r>
  <r>
    <n v="6662"/>
    <x v="0"/>
    <s v="9/1/2021"/>
    <d v="2021-09-01T00:00:00"/>
    <x v="8"/>
  </r>
  <r>
    <n v="6358"/>
    <x v="0"/>
    <s v="9/8/2021"/>
    <d v="2021-09-01T00:00:00"/>
    <x v="8"/>
  </r>
  <r>
    <n v="6435"/>
    <x v="0"/>
    <s v="10/20/2021"/>
    <d v="2021-09-01T00:00:00"/>
    <x v="8"/>
  </r>
  <r>
    <n v="6436"/>
    <x v="0"/>
    <s v="10/20/2021"/>
    <d v="2021-09-01T00:00:00"/>
    <x v="8"/>
  </r>
  <r>
    <n v="6556"/>
    <x v="0"/>
    <s v="10/20/2021"/>
    <d v="2021-09-01T00:00:00"/>
    <x v="8"/>
  </r>
  <r>
    <n v="6664"/>
    <x v="0"/>
    <s v="10/21/2021"/>
    <d v="2021-09-01T00:00:00"/>
    <x v="8"/>
  </r>
  <r>
    <n v="6606"/>
    <x v="0"/>
    <s v="11/1/2021"/>
    <d v="2021-09-01T00:00:00"/>
    <x v="8"/>
  </r>
  <r>
    <n v="6919"/>
    <x v="0"/>
    <s v="2/23/2022"/>
    <d v="2022-09-01T00:00:00"/>
    <x v="8"/>
  </r>
  <r>
    <n v="6926"/>
    <x v="0"/>
    <s v="2/24/2022"/>
    <d v="2022-09-01T00:00:00"/>
    <x v="8"/>
  </r>
  <r>
    <n v="7024"/>
    <x v="0"/>
    <s v="4/1/2022"/>
    <d v="2022-09-01T00:00:00"/>
    <x v="8"/>
  </r>
  <r>
    <n v="7031"/>
    <x v="0"/>
    <s v="4/6/2022"/>
    <d v="2022-09-01T00:00:00"/>
    <x v="8"/>
  </r>
  <r>
    <n v="7033"/>
    <x v="0"/>
    <s v="4/6/2022"/>
    <d v="2022-09-01T00:00:00"/>
    <x v="8"/>
  </r>
  <r>
    <n v="7040"/>
    <x v="0"/>
    <s v="4/8/2022"/>
    <d v="2022-09-01T00:00:00"/>
    <x v="8"/>
  </r>
  <r>
    <n v="7060"/>
    <x v="0"/>
    <s v="4/18/2022"/>
    <d v="2022-09-01T00:00:00"/>
    <x v="8"/>
  </r>
  <r>
    <n v="7084"/>
    <x v="0"/>
    <s v="4/29/2022"/>
    <d v="2022-09-01T00:00:00"/>
    <x v="8"/>
  </r>
  <r>
    <n v="7104"/>
    <x v="0"/>
    <s v="5/3/2022"/>
    <d v="2022-09-01T00:00:00"/>
    <x v="8"/>
  </r>
  <r>
    <n v="7146"/>
    <x v="0"/>
    <s v="5/20/2022"/>
    <d v="2022-09-01T00:00:00"/>
    <x v="8"/>
  </r>
  <r>
    <n v="7155"/>
    <x v="0"/>
    <s v="6/7/2022"/>
    <d v="2022-09-01T00:00:00"/>
    <x v="8"/>
  </r>
  <r>
    <n v="7196"/>
    <x v="0"/>
    <s v="6/21/2022"/>
    <d v="2022-09-01T00:00:00"/>
    <x v="8"/>
  </r>
  <r>
    <n v="7205"/>
    <x v="0"/>
    <s v="6/21/2022"/>
    <d v="2022-09-01T00:00:00"/>
    <x v="8"/>
  </r>
  <r>
    <n v="7306"/>
    <x v="0"/>
    <s v="8/11/2022"/>
    <d v="2022-09-01T00:00:00"/>
    <x v="8"/>
  </r>
  <r>
    <n v="7305"/>
    <x v="0"/>
    <s v="8/12/2022"/>
    <d v="2022-09-01T00:00:00"/>
    <x v="8"/>
  </r>
  <r>
    <n v="7376"/>
    <x v="0"/>
    <s v="8/31/2022"/>
    <d v="2022-09-01T00:00:00"/>
    <x v="8"/>
  </r>
  <r>
    <n v="7357"/>
    <x v="0"/>
    <s v="9/1/2022"/>
    <d v="2022-09-01T00:00:00"/>
    <x v="9"/>
  </r>
  <r>
    <n v="7400"/>
    <x v="0"/>
    <s v="9/6/2022"/>
    <d v="2022-09-01T00:00:00"/>
    <x v="9"/>
  </r>
  <r>
    <n v="7358"/>
    <x v="0"/>
    <s v="9/12/2022"/>
    <d v="2022-09-01T00:00:00"/>
    <x v="9"/>
  </r>
  <r>
    <n v="7350"/>
    <x v="0"/>
    <s v="9/14/2022"/>
    <d v="2022-09-01T00:00:00"/>
    <x v="9"/>
  </r>
  <r>
    <n v="7355"/>
    <x v="0"/>
    <s v="9/16/2022"/>
    <d v="2022-09-01T00:00:00"/>
    <x v="9"/>
  </r>
  <r>
    <n v="7610"/>
    <x v="0"/>
    <s v="10/12/2022"/>
    <d v="2022-09-01T00:00:00"/>
    <x v="9"/>
  </r>
  <r>
    <n v="7631"/>
    <x v="0"/>
    <s v="10/13/2022"/>
    <d v="2022-09-01T00:00:00"/>
    <x v="9"/>
  </r>
  <r>
    <n v="7657"/>
    <x v="0"/>
    <s v="10/20/2022"/>
    <d v="2022-09-01T00:00:00"/>
    <x v="9"/>
  </r>
  <r>
    <n v="7698"/>
    <x v="0"/>
    <s v="11/4/2022"/>
    <d v="2022-09-01T00:00:00"/>
    <x v="9"/>
  </r>
  <r>
    <n v="7634"/>
    <x v="0"/>
    <s v="11/7/2022"/>
    <d v="2022-09-01T00:00:00"/>
    <x v="9"/>
  </r>
  <r>
    <n v="7706"/>
    <x v="0"/>
    <s v="11/11/2022"/>
    <d v="2022-09-01T00:00:00"/>
    <x v="9"/>
  </r>
  <r>
    <n v="7705"/>
    <x v="0"/>
    <s v="11/14/2022"/>
    <d v="2022-09-01T00:00:00"/>
    <x v="9"/>
  </r>
  <r>
    <n v="7757"/>
    <x v="0"/>
    <s v="12/8/2022"/>
    <d v="2022-09-01T00:00:00"/>
    <x v="9"/>
  </r>
  <r>
    <n v="7765"/>
    <x v="0"/>
    <s v="12/16/2022"/>
    <d v="2022-09-01T00:00:00"/>
    <x v="9"/>
  </r>
  <r>
    <n v="7845"/>
    <x v="0"/>
    <s v="1/5/2023"/>
    <d v="2023-09-01T00:00:00"/>
    <x v="9"/>
  </r>
  <r>
    <n v="7797"/>
    <x v="0"/>
    <s v="1/6/2023"/>
    <d v="2023-09-01T00:00:00"/>
    <x v="9"/>
  </r>
  <r>
    <n v="7881"/>
    <x v="0"/>
    <s v="1/10/2023"/>
    <d v="2023-09-01T00:00:00"/>
    <x v="9"/>
  </r>
  <r>
    <n v="7894"/>
    <x v="0"/>
    <s v="1/11/2023"/>
    <d v="2023-09-01T00:00:00"/>
    <x v="9"/>
  </r>
  <r>
    <n v="7914"/>
    <x v="0"/>
    <s v="1/13/2023"/>
    <d v="2023-09-01T00:00:00"/>
    <x v="9"/>
  </r>
  <r>
    <n v="7954"/>
    <x v="0"/>
    <s v="1/23/2023"/>
    <d v="2023-09-01T00:00:00"/>
    <x v="9"/>
  </r>
  <r>
    <n v="8153"/>
    <x v="0"/>
    <s v="4/4/2023"/>
    <d v="2023-09-01T00:00:00"/>
    <x v="9"/>
  </r>
  <r>
    <n v="8085"/>
    <x v="0"/>
    <s v="3/28/2023"/>
    <d v="2023-09-01T00:00:00"/>
    <x v="9"/>
  </r>
  <r>
    <n v="8125"/>
    <x v="0"/>
    <s v="3/28/2023"/>
    <d v="2023-09-01T00:00:00"/>
    <x v="9"/>
  </r>
  <r>
    <n v="8054"/>
    <x v="0"/>
    <s v="2/16/2023"/>
    <d v="2023-09-01T00:00:00"/>
    <x v="9"/>
  </r>
  <r>
    <n v="8056"/>
    <x v="0"/>
    <s v="2/16/2023"/>
    <d v="2023-09-01T00:00:00"/>
    <x v="9"/>
  </r>
  <r>
    <n v="8271"/>
    <x v="0"/>
    <s v="4/28/2023"/>
    <d v="2023-09-01T00:00:00"/>
    <x v="9"/>
  </r>
  <r>
    <n v="8223"/>
    <x v="0"/>
    <s v="4/20/2023"/>
    <d v="2023-09-01T00:00:00"/>
    <x v="9"/>
  </r>
  <r>
    <n v="8226"/>
    <x v="0"/>
    <s v="4/20/2023"/>
    <d v="2023-09-01T00:00:00"/>
    <x v="9"/>
  </r>
  <r>
    <n v="8204"/>
    <x v="0"/>
    <s v="4/18/2023"/>
    <d v="2023-09-01T00:00:00"/>
    <x v="9"/>
  </r>
  <r>
    <n v="8173"/>
    <x v="0"/>
    <s v="4/17/2023"/>
    <d v="2023-09-01T00:00:00"/>
    <x v="9"/>
  </r>
  <r>
    <n v="8166"/>
    <x v="0"/>
    <s v="4/14/2023"/>
    <d v="2023-09-01T00:00:00"/>
    <x v="9"/>
  </r>
  <r>
    <n v="1351"/>
    <x v="0"/>
    <s v="5/10/2018"/>
    <d v="2018-09-01T00:00:00"/>
    <x v="0"/>
  </r>
  <r>
    <n v="1413"/>
    <x v="0"/>
    <s v="11/10/2017"/>
    <d v="2017-09-01T00:00:00"/>
    <x v="0"/>
  </r>
  <r>
    <n v="1930"/>
    <x v="0"/>
    <s v="10/25/2018"/>
    <d v="2018-09-01T00:00:00"/>
    <x v="1"/>
  </r>
  <r>
    <n v="2549"/>
    <x v="0"/>
    <s v="1/20/2017"/>
    <d v="2017-09-01T00:00:00"/>
    <x v="2"/>
  </r>
  <r>
    <n v="2747"/>
    <x v="0"/>
    <s v="11/26/2018"/>
    <d v="2018-09-01T00:00:00"/>
    <x v="1"/>
  </r>
  <r>
    <n v="3059"/>
    <x v="0"/>
    <s v="10/14/2016"/>
    <d v="2016-09-01T00:00:00"/>
    <x v="2"/>
  </r>
  <r>
    <n v="3257"/>
    <x v="0"/>
    <s v="12/18/2018"/>
    <d v="2018-09-01T00:00:00"/>
    <x v="1"/>
  </r>
  <r>
    <n v="3398"/>
    <x v="0"/>
    <s v="5/20/2016"/>
    <d v="2016-09-01T00:00:00"/>
    <x v="3"/>
  </r>
  <r>
    <n v="3617"/>
    <x v="0"/>
    <s v="1/10/2016"/>
    <d v="2016-09-01T00:00:00"/>
    <x v="3"/>
  </r>
  <r>
    <n v="3797"/>
    <x v="0"/>
    <s v="7/20/2015"/>
    <d v="2015-09-01T00:00:00"/>
    <x v="4"/>
  </r>
  <r>
    <n v="3801"/>
    <x v="0"/>
    <s v="7/4/2015"/>
    <d v="2015-09-01T00:00:00"/>
    <x v="4"/>
  </r>
  <r>
    <n v="3859"/>
    <x v="0"/>
    <s v="3/29/2019"/>
    <d v="2019-09-01T00:00:00"/>
    <x v="1"/>
  </r>
  <r>
    <n v="3947"/>
    <x v="0"/>
    <s v="4/10/2015"/>
    <d v="2015-09-01T00:00:00"/>
    <x v="4"/>
  </r>
  <r>
    <n v="3991"/>
    <x v="0"/>
    <s v="2/27/2015"/>
    <d v="2015-09-01T00:00:00"/>
    <x v="4"/>
  </r>
  <r>
    <n v="4018"/>
    <x v="0"/>
    <s v="1/11/2015"/>
    <d v="2015-09-01T00:00:00"/>
    <x v="4"/>
  </r>
  <r>
    <n v="4069"/>
    <x v="0"/>
    <s v="10/20/2014"/>
    <d v="2014-09-01T00:00:00"/>
    <x v="4"/>
  </r>
  <r>
    <n v="4085"/>
    <x v="0"/>
    <s v="8/31/2014"/>
    <d v="2014-09-01T00:00:00"/>
    <x v="5"/>
  </r>
  <r>
    <n v="4089"/>
    <x v="0"/>
    <s v="8/22/2014"/>
    <d v="2014-09-01T00:00:00"/>
    <x v="5"/>
  </r>
  <r>
    <n v="4130"/>
    <x v="0"/>
    <s v="7/10/2014"/>
    <d v="2014-09-01T00:00:00"/>
    <x v="5"/>
  </r>
  <r>
    <n v="4133"/>
    <x v="0"/>
    <s v="7/1/2014"/>
    <d v="2014-09-01T00:00:00"/>
    <x v="5"/>
  </r>
  <r>
    <n v="4150"/>
    <x v="0"/>
    <s v="6/30/2014"/>
    <d v="2014-09-01T00:00:00"/>
    <x v="5"/>
  </r>
  <r>
    <n v="4151"/>
    <x v="0"/>
    <s v="6/15/2014"/>
    <d v="2014-09-01T00:00:00"/>
    <x v="5"/>
  </r>
  <r>
    <n v="4202"/>
    <x v="0"/>
    <s v="5/25/2014"/>
    <d v="2014-09-01T00:00:00"/>
    <x v="5"/>
  </r>
  <r>
    <n v="4204"/>
    <x v="0"/>
    <s v="6/3/2014"/>
    <d v="2014-09-01T00:00:00"/>
    <x v="5"/>
  </r>
  <r>
    <n v="4476"/>
    <x v="0"/>
    <s v="4/25/2014"/>
    <d v="2014-09-01T00:00:00"/>
    <x v="5"/>
  </r>
  <r>
    <n v="4659"/>
    <x v="0"/>
    <s v="11/18/2019"/>
    <d v="2019-09-01T00:00:00"/>
    <x v="6"/>
  </r>
  <r>
    <n v="6999"/>
    <x v="0"/>
    <s v="3/16/2022"/>
    <d v="2022-09-01T00:00:00"/>
    <x v="8"/>
  </r>
  <r>
    <n v="7162"/>
    <x v="0"/>
    <s v="6/1/2022"/>
    <d v="2022-09-01T00:00:00"/>
    <x v="8"/>
  </r>
  <r>
    <n v="7157"/>
    <x v="0"/>
    <s v="6/8/2022"/>
    <d v="2022-09-01T00:00:00"/>
    <x v="8"/>
  </r>
  <r>
    <n v="7916"/>
    <x v="0"/>
    <s v="1/18/2023"/>
    <d v="2023-09-01T00:00:00"/>
    <x v="9"/>
  </r>
  <r>
    <n v="1372"/>
    <x v="0"/>
    <s v="10/5/2017"/>
    <d v="2017-09-01T00:00:00"/>
    <x v="0"/>
  </r>
  <r>
    <n v="2338"/>
    <x v="0"/>
    <s v="4/30/2017"/>
    <d v="2017-09-01T00:00:00"/>
    <x v="2"/>
  </r>
  <r>
    <n v="2989"/>
    <x v="0"/>
    <s v="12/1/2016"/>
    <d v="2016-09-01T00:00:00"/>
    <x v="2"/>
  </r>
  <r>
    <n v="3053"/>
    <x v="0"/>
    <s v="10/17/2016"/>
    <d v="2016-09-01T00:00:00"/>
    <x v="2"/>
  </r>
  <r>
    <n v="3250"/>
    <x v="0"/>
    <s v="9/1/2016"/>
    <d v="2016-09-01T00:00:00"/>
    <x v="2"/>
  </r>
  <r>
    <n v="3332"/>
    <x v="0"/>
    <s v="7/12/2016"/>
    <d v="2016-09-01T00:00:00"/>
    <x v="3"/>
  </r>
  <r>
    <n v="3338"/>
    <x v="0"/>
    <s v="6/27/2016"/>
    <d v="2016-09-01T00:00:00"/>
    <x v="3"/>
  </r>
  <r>
    <n v="3532"/>
    <x v="0"/>
    <s v="4/29/2016"/>
    <d v="2016-09-01T00:00:00"/>
    <x v="3"/>
  </r>
  <r>
    <n v="3534"/>
    <x v="0"/>
    <s v="4/28/2016"/>
    <d v="2016-09-01T00:00:00"/>
    <x v="3"/>
  </r>
  <r>
    <n v="3537"/>
    <x v="0"/>
    <s v="4/25/2016"/>
    <d v="2016-09-01T00:00:00"/>
    <x v="3"/>
  </r>
  <r>
    <n v="3941"/>
    <x v="0"/>
    <s v="4/25/2015"/>
    <d v="2015-09-01T00:00:00"/>
    <x v="4"/>
  </r>
  <r>
    <n v="3972"/>
    <x v="0"/>
    <s v="3/29/2015"/>
    <d v="2015-09-01T00:00:00"/>
    <x v="4"/>
  </r>
  <r>
    <n v="4045"/>
    <x v="0"/>
    <s v="11/6/2014"/>
    <d v="2014-09-01T00:00:00"/>
    <x v="4"/>
  </r>
  <r>
    <n v="4048"/>
    <x v="0"/>
    <s v="11/2/2014"/>
    <d v="2014-09-01T00:00:00"/>
    <x v="4"/>
  </r>
  <r>
    <n v="4073"/>
    <x v="0"/>
    <s v="9/30/2014"/>
    <d v="2014-09-01T00:00:00"/>
    <x v="4"/>
  </r>
  <r>
    <n v="4075"/>
    <x v="0"/>
    <s v="9/30/2014"/>
    <d v="2014-09-01T00:00:00"/>
    <x v="4"/>
  </r>
  <r>
    <n v="4468"/>
    <x v="0"/>
    <s v="5/4/2014"/>
    <d v="2014-09-01T00:00:00"/>
    <x v="5"/>
  </r>
  <r>
    <n v="1361"/>
    <x v="0"/>
    <s v="10/16/2017"/>
    <d v="2017-09-01T00:00:00"/>
    <x v="0"/>
  </r>
  <r>
    <n v="2007"/>
    <x v="0"/>
    <s v="8/22/2017"/>
    <d v="2017-09-01T00:00:00"/>
    <x v="2"/>
  </r>
  <r>
    <n v="2311"/>
    <x v="0"/>
    <s v="5/16/2017"/>
    <d v="2017-09-01T00:00:00"/>
    <x v="2"/>
  </r>
  <r>
    <n v="3334"/>
    <x v="0"/>
    <s v="6/30/2016"/>
    <d v="2016-09-01T00:00:00"/>
    <x v="3"/>
  </r>
  <r>
    <n v="3336"/>
    <x v="0"/>
    <s v="6/29/2016"/>
    <d v="2016-09-01T00:00:00"/>
    <x v="3"/>
  </r>
  <r>
    <n v="3562"/>
    <x v="0"/>
    <s v="2/15/2016"/>
    <d v="2016-09-01T00:00:00"/>
    <x v="3"/>
  </r>
  <r>
    <n v="3739"/>
    <x v="0"/>
    <s v="10/20/2015"/>
    <d v="2015-09-01T00:00:00"/>
    <x v="3"/>
  </r>
  <r>
    <n v="3791"/>
    <x v="0"/>
    <s v="7/30/2015"/>
    <d v="2015-09-01T00:00:00"/>
    <x v="4"/>
  </r>
  <r>
    <n v="4008"/>
    <x v="0"/>
    <s v="2/17/2015"/>
    <d v="2015-09-01T00:00:00"/>
    <x v="4"/>
  </r>
  <r>
    <n v="4058"/>
    <x v="0"/>
    <s v="10/27/2014"/>
    <d v="2014-09-01T00:00:00"/>
    <x v="4"/>
  </r>
  <r>
    <n v="1351"/>
    <x v="1"/>
    <s v="5/10/2018"/>
    <d v="2018-09-01T00:00:00"/>
    <x v="0"/>
  </r>
  <r>
    <n v="1413"/>
    <x v="1"/>
    <s v="11/10/2017"/>
    <d v="2017-09-01T00:00:00"/>
    <x v="0"/>
  </r>
  <r>
    <n v="1930"/>
    <x v="1"/>
    <s v="10/25/2018"/>
    <d v="2018-09-01T00:00:00"/>
    <x v="1"/>
  </r>
  <r>
    <n v="2549"/>
    <x v="1"/>
    <s v="1/20/2017"/>
    <d v="2017-09-01T00:00:00"/>
    <x v="2"/>
  </r>
  <r>
    <n v="2747"/>
    <x v="1"/>
    <s v="11/26/2018"/>
    <d v="2018-09-01T00:00:00"/>
    <x v="1"/>
  </r>
  <r>
    <n v="3059"/>
    <x v="1"/>
    <s v="10/14/2016"/>
    <d v="2016-09-01T00:00:00"/>
    <x v="2"/>
  </r>
  <r>
    <n v="3257"/>
    <x v="1"/>
    <s v="12/18/2018"/>
    <d v="2018-09-01T00:00:00"/>
    <x v="1"/>
  </r>
  <r>
    <n v="3398"/>
    <x v="1"/>
    <s v="5/20/2016"/>
    <d v="2016-09-01T00:00:00"/>
    <x v="3"/>
  </r>
  <r>
    <n v="3617"/>
    <x v="1"/>
    <s v="1/10/2016"/>
    <d v="2016-09-01T00:00:00"/>
    <x v="3"/>
  </r>
  <r>
    <n v="3797"/>
    <x v="1"/>
    <s v="7/20/2015"/>
    <d v="2015-09-01T00:00:00"/>
    <x v="4"/>
  </r>
  <r>
    <n v="3801"/>
    <x v="1"/>
    <s v="7/4/2015"/>
    <d v="2015-09-01T00:00:00"/>
    <x v="4"/>
  </r>
  <r>
    <n v="3859"/>
    <x v="1"/>
    <s v="3/29/2019"/>
    <d v="2019-09-01T00:00:00"/>
    <x v="1"/>
  </r>
  <r>
    <n v="3947"/>
    <x v="1"/>
    <s v="4/10/2015"/>
    <d v="2015-09-01T00:00:00"/>
    <x v="4"/>
  </r>
  <r>
    <n v="3991"/>
    <x v="1"/>
    <s v="2/27/2015"/>
    <d v="2015-09-01T00:00:00"/>
    <x v="4"/>
  </r>
  <r>
    <n v="4018"/>
    <x v="1"/>
    <s v="1/11/2015"/>
    <d v="2015-09-01T00:00:00"/>
    <x v="4"/>
  </r>
  <r>
    <n v="4069"/>
    <x v="1"/>
    <s v="10/20/2014"/>
    <d v="2014-09-01T00:00:00"/>
    <x v="4"/>
  </r>
  <r>
    <n v="4085"/>
    <x v="1"/>
    <s v="8/31/2014"/>
    <d v="2014-09-01T00:00:00"/>
    <x v="5"/>
  </r>
  <r>
    <n v="4089"/>
    <x v="1"/>
    <s v="8/22/2014"/>
    <d v="2014-09-01T00:00:00"/>
    <x v="5"/>
  </r>
  <r>
    <n v="4130"/>
    <x v="1"/>
    <s v="7/10/2014"/>
    <d v="2014-09-01T00:00:00"/>
    <x v="5"/>
  </r>
  <r>
    <n v="4133"/>
    <x v="1"/>
    <s v="7/1/2014"/>
    <d v="2014-09-01T00:00:00"/>
    <x v="5"/>
  </r>
  <r>
    <n v="4150"/>
    <x v="1"/>
    <s v="6/30/2014"/>
    <d v="2014-09-01T00:00:00"/>
    <x v="5"/>
  </r>
  <r>
    <n v="4151"/>
    <x v="1"/>
    <s v="6/15/2014"/>
    <d v="2014-09-01T00:00:00"/>
    <x v="5"/>
  </r>
  <r>
    <n v="4202"/>
    <x v="1"/>
    <s v="5/25/2014"/>
    <d v="2014-09-01T00:00:00"/>
    <x v="5"/>
  </r>
  <r>
    <n v="4204"/>
    <x v="1"/>
    <s v="6/3/2014"/>
    <d v="2014-09-01T00:00:00"/>
    <x v="5"/>
  </r>
  <r>
    <n v="4476"/>
    <x v="1"/>
    <s v="4/25/2014"/>
    <d v="2014-09-01T00:00:00"/>
    <x v="5"/>
  </r>
  <r>
    <n v="4659"/>
    <x v="1"/>
    <s v="11/18/2019"/>
    <d v="2019-09-01T00:00:00"/>
    <x v="6"/>
  </r>
  <r>
    <n v="6999"/>
    <x v="1"/>
    <s v="3/16/2022"/>
    <d v="2022-09-01T00:00:00"/>
    <x v="8"/>
  </r>
  <r>
    <n v="7162"/>
    <x v="1"/>
    <s v="6/1/2022"/>
    <d v="2022-09-01T00:00:00"/>
    <x v="8"/>
  </r>
  <r>
    <n v="7157"/>
    <x v="1"/>
    <s v="6/8/2022"/>
    <d v="2022-09-01T00:00:00"/>
    <x v="8"/>
  </r>
  <r>
    <n v="7916"/>
    <x v="1"/>
    <s v="1/18/2023"/>
    <d v="2023-09-01T00:00:00"/>
    <x v="9"/>
  </r>
  <r>
    <n v="769"/>
    <x v="1"/>
    <s v="3/21/2018"/>
    <d v="2018-09-01T00:00:00"/>
    <x v="0"/>
  </r>
  <r>
    <n v="774"/>
    <x v="1"/>
    <s v="5/18/2016"/>
    <d v="2016-09-01T00:00:00"/>
    <x v="3"/>
  </r>
  <r>
    <n v="776"/>
    <x v="1"/>
    <s v="5/23/2016"/>
    <d v="2016-09-01T00:00:00"/>
    <x v="3"/>
  </r>
  <r>
    <n v="1317"/>
    <x v="1"/>
    <s v="9/15/2017"/>
    <d v="2017-09-01T00:00:00"/>
    <x v="0"/>
  </r>
  <r>
    <n v="1347"/>
    <x v="1"/>
    <s v="9/18/2017"/>
    <d v="2017-09-01T00:00:00"/>
    <x v="0"/>
  </r>
  <r>
    <n v="1352"/>
    <x v="1"/>
    <s v="9/27/2017"/>
    <d v="2017-09-01T00:00:00"/>
    <x v="0"/>
  </r>
  <r>
    <n v="1355"/>
    <x v="1"/>
    <s v="10/3/2017"/>
    <d v="2017-09-01T00:00:00"/>
    <x v="0"/>
  </r>
  <r>
    <n v="1392"/>
    <x v="1"/>
    <s v="4/5/2018"/>
    <d v="2018-09-01T00:00:00"/>
    <x v="0"/>
  </r>
  <r>
    <n v="1399"/>
    <x v="1"/>
    <s v="3/27/2018"/>
    <d v="2018-09-01T00:00:00"/>
    <x v="0"/>
  </r>
  <r>
    <n v="1456"/>
    <x v="1"/>
    <s v="1/9/2018"/>
    <d v="2018-09-01T00:00:00"/>
    <x v="0"/>
  </r>
  <r>
    <n v="1493"/>
    <x v="1"/>
    <s v="8/17/2018"/>
    <d v="2018-09-01T00:00:00"/>
    <x v="0"/>
  </r>
  <r>
    <n v="1668"/>
    <x v="1"/>
    <s v="9/20/2018"/>
    <d v="2018-09-01T00:00:00"/>
    <x v="1"/>
  </r>
  <r>
    <n v="1681"/>
    <x v="1"/>
    <s v="8/24/2018"/>
    <d v="2018-09-01T00:00:00"/>
    <x v="0"/>
  </r>
  <r>
    <n v="1698"/>
    <x v="1"/>
    <s v="9/20/2018"/>
    <d v="2018-09-01T00:00:00"/>
    <x v="1"/>
  </r>
  <r>
    <n v="1950"/>
    <x v="1"/>
    <s v="8/31/2017"/>
    <d v="2017-09-01T00:00:00"/>
    <x v="2"/>
  </r>
  <r>
    <n v="2111"/>
    <x v="1"/>
    <s v="11/2/2018"/>
    <d v="2018-09-01T00:00:00"/>
    <x v="1"/>
  </r>
  <r>
    <n v="2321"/>
    <x v="1"/>
    <s v="5/6/2017"/>
    <d v="2017-09-01T00:00:00"/>
    <x v="2"/>
  </r>
  <r>
    <n v="2437"/>
    <x v="1"/>
    <s v="3/15/2017"/>
    <d v="2017-09-01T00:00:00"/>
    <x v="2"/>
  </r>
  <r>
    <n v="2451"/>
    <x v="1"/>
    <s v="2/28/2017"/>
    <d v="2017-09-01T00:00:00"/>
    <x v="2"/>
  </r>
  <r>
    <n v="2519"/>
    <x v="1"/>
    <s v="1/31/2017"/>
    <d v="2017-09-01T00:00:00"/>
    <x v="2"/>
  </r>
  <r>
    <n v="2523"/>
    <x v="1"/>
    <s v="1/29/2017"/>
    <d v="2017-09-01T00:00:00"/>
    <x v="2"/>
  </r>
  <r>
    <n v="2642"/>
    <x v="1"/>
    <s v="11/20/2018"/>
    <d v="2018-09-01T00:00:00"/>
    <x v="1"/>
  </r>
  <r>
    <n v="2819"/>
    <x v="1"/>
    <s v="12/30/2016"/>
    <d v="2016-09-01T00:00:00"/>
    <x v="2"/>
  </r>
  <r>
    <n v="3002"/>
    <x v="1"/>
    <s v="11/26/2016"/>
    <d v="2016-09-01T00:00:00"/>
    <x v="2"/>
  </r>
  <r>
    <n v="3208"/>
    <x v="1"/>
    <s v="9/27/2016"/>
    <d v="2016-09-01T00:00:00"/>
    <x v="2"/>
  </r>
  <r>
    <n v="3316"/>
    <x v="1"/>
    <s v="7/29/2016"/>
    <d v="2016-09-01T00:00:00"/>
    <x v="3"/>
  </r>
  <r>
    <n v="3376"/>
    <x v="1"/>
    <s v="1/28/2019"/>
    <d v="2019-09-01T00:00:00"/>
    <x v="1"/>
  </r>
  <r>
    <n v="3507"/>
    <x v="1"/>
    <s v="2/7/2019"/>
    <d v="2019-09-01T00:00:00"/>
    <x v="1"/>
  </r>
  <r>
    <n v="3549"/>
    <x v="1"/>
    <s v="3/31/2016"/>
    <d v="2016-09-01T00:00:00"/>
    <x v="3"/>
  </r>
  <r>
    <n v="3634"/>
    <x v="1"/>
    <s v="2/20/2019"/>
    <d v="2019-09-01T00:00:00"/>
    <x v="1"/>
  </r>
  <r>
    <n v="3717"/>
    <x v="1"/>
    <s v="2/22/2019"/>
    <d v="2019-09-01T00:00:00"/>
    <x v="1"/>
  </r>
  <r>
    <n v="3724"/>
    <x v="1"/>
    <s v="2/25/2019"/>
    <d v="2019-09-01T00:00:00"/>
    <x v="1"/>
  </r>
  <r>
    <n v="3737"/>
    <x v="1"/>
    <s v="10/25/2015"/>
    <d v="2015-09-01T00:00:00"/>
    <x v="3"/>
  </r>
  <r>
    <n v="3815"/>
    <x v="1"/>
    <s v="2/27/2019"/>
    <d v="2019-09-01T00:00:00"/>
    <x v="1"/>
  </r>
  <r>
    <n v="3856"/>
    <x v="1"/>
    <s v="3/28/2019"/>
    <d v="2019-09-01T00:00:00"/>
    <x v="1"/>
  </r>
  <r>
    <n v="3868"/>
    <x v="1"/>
    <s v="4/1/2019"/>
    <d v="2019-09-01T00:00:00"/>
    <x v="1"/>
  </r>
  <r>
    <n v="3934"/>
    <x v="1"/>
    <s v="4/15/2019"/>
    <d v="2019-09-01T00:00:00"/>
    <x v="1"/>
  </r>
  <r>
    <n v="4096"/>
    <x v="1"/>
    <s v="5/6/2019"/>
    <d v="2019-09-01T00:00:00"/>
    <x v="1"/>
  </r>
  <r>
    <n v="4100"/>
    <x v="1"/>
    <s v="5/2/2019"/>
    <d v="2019-09-01T00:00:00"/>
    <x v="1"/>
  </r>
  <r>
    <n v="4127"/>
    <x v="1"/>
    <s v="7/27/2014"/>
    <d v="2014-09-01T00:00:00"/>
    <x v="5"/>
  </r>
  <r>
    <n v="4167"/>
    <x v="1"/>
    <s v="6/4/2019"/>
    <d v="2019-09-01T00:00:00"/>
    <x v="1"/>
  </r>
  <r>
    <n v="4170"/>
    <x v="1"/>
    <s v="6/4/2019"/>
    <d v="2019-09-01T00:00:00"/>
    <x v="1"/>
  </r>
  <r>
    <n v="4172"/>
    <x v="1"/>
    <s v="6/4/2019"/>
    <d v="2019-09-01T00:00:00"/>
    <x v="1"/>
  </r>
  <r>
    <n v="4291"/>
    <x v="1"/>
    <s v="7/25/2019"/>
    <d v="2019-09-01T00:00:00"/>
    <x v="1"/>
  </r>
  <r>
    <n v="4336"/>
    <x v="1"/>
    <s v="8/19/2019"/>
    <d v="2019-09-01T00:00:00"/>
    <x v="1"/>
  </r>
  <r>
    <n v="4373"/>
    <x v="1"/>
    <s v="8/28/2019"/>
    <d v="2019-09-01T00:00:00"/>
    <x v="1"/>
  </r>
  <r>
    <n v="4531"/>
    <x v="1"/>
    <s v="10/31/2019"/>
    <d v="2019-09-01T00:00:00"/>
    <x v="6"/>
  </r>
  <r>
    <n v="4650"/>
    <x v="1"/>
    <s v="12/9/2019"/>
    <d v="2019-09-01T00:00:00"/>
    <x v="6"/>
  </r>
  <r>
    <n v="4656"/>
    <x v="1"/>
    <s v="12/8/2019"/>
    <d v="2019-09-01T00:00:00"/>
    <x v="6"/>
  </r>
  <r>
    <n v="4713"/>
    <x v="1"/>
    <s v="1/13/2020"/>
    <d v="2020-09-01T00:00:00"/>
    <x v="6"/>
  </r>
  <r>
    <n v="4833"/>
    <x v="1"/>
    <s v="2/25/2020"/>
    <d v="2020-09-01T00:00:00"/>
    <x v="6"/>
  </r>
  <r>
    <n v="4881"/>
    <x v="1"/>
    <s v="4/9/2020"/>
    <d v="2020-09-01T00:00:00"/>
    <x v="6"/>
  </r>
  <r>
    <n v="4889"/>
    <x v="1"/>
    <s v="4/13/2020"/>
    <d v="2020-09-01T00:00:00"/>
    <x v="6"/>
  </r>
  <r>
    <n v="4899"/>
    <x v="1"/>
    <s v="4/20/2020"/>
    <d v="2020-09-01T00:00:00"/>
    <x v="6"/>
  </r>
  <r>
    <n v="4915"/>
    <x v="1"/>
    <s v="5/9/2020"/>
    <d v="2020-09-01T00:00:00"/>
    <x v="6"/>
  </r>
  <r>
    <n v="4921"/>
    <x v="1"/>
    <s v="5/19/2020"/>
    <d v="2020-09-01T00:00:00"/>
    <x v="6"/>
  </r>
  <r>
    <n v="5578"/>
    <x v="1"/>
    <s v="11/12/2020"/>
    <d v="2020-09-01T00:00:00"/>
    <x v="7"/>
  </r>
  <r>
    <n v="5678"/>
    <x v="1"/>
    <s v="12/14/2020"/>
    <d v="2020-09-01T00:00:00"/>
    <x v="7"/>
  </r>
  <r>
    <n v="5726"/>
    <x v="1"/>
    <s v="12/21/2020"/>
    <d v="2020-09-01T00:00:00"/>
    <x v="7"/>
  </r>
  <r>
    <n v="5795"/>
    <x v="1"/>
    <s v="1/28/2021"/>
    <d v="2021-09-01T00:00:00"/>
    <x v="7"/>
  </r>
  <r>
    <n v="5842"/>
    <x v="1"/>
    <s v="2/18/2021"/>
    <d v="2021-09-01T00:00:00"/>
    <x v="7"/>
  </r>
  <r>
    <n v="5864"/>
    <x v="1"/>
    <s v="3/12/2021"/>
    <d v="2021-09-01T00:00:00"/>
    <x v="7"/>
  </r>
  <r>
    <n v="7243"/>
    <x v="1"/>
    <s v="7/8/2022"/>
    <d v="2022-09-01T00:00:00"/>
    <x v="8"/>
  </r>
  <r>
    <n v="7711"/>
    <x v="1"/>
    <s v="11/8/2022"/>
    <d v="2022-09-01T00:00:00"/>
    <x v="9"/>
  </r>
  <r>
    <n v="8015"/>
    <x v="1"/>
    <s v="2/3/2023"/>
    <d v="2023-09-01T00:00:00"/>
    <x v="9"/>
  </r>
  <r>
    <n v="1361"/>
    <x v="1"/>
    <s v="10/16/2017"/>
    <d v="2017-09-01T00:00:00"/>
    <x v="0"/>
  </r>
  <r>
    <n v="2007"/>
    <x v="1"/>
    <s v="8/22/2017"/>
    <d v="2017-09-01T00:00:00"/>
    <x v="2"/>
  </r>
  <r>
    <n v="2311"/>
    <x v="1"/>
    <s v="5/16/2017"/>
    <d v="2017-09-01T00:00:00"/>
    <x v="2"/>
  </r>
  <r>
    <n v="3334"/>
    <x v="1"/>
    <s v="6/30/2016"/>
    <d v="2016-09-01T00:00:00"/>
    <x v="3"/>
  </r>
  <r>
    <n v="3336"/>
    <x v="1"/>
    <s v="6/29/2016"/>
    <d v="2016-09-01T00:00:00"/>
    <x v="3"/>
  </r>
  <r>
    <n v="3562"/>
    <x v="1"/>
    <s v="2/15/2016"/>
    <d v="2016-09-01T00:00:00"/>
    <x v="3"/>
  </r>
  <r>
    <n v="3739"/>
    <x v="1"/>
    <s v="10/20/2015"/>
    <d v="2015-09-01T00:00:00"/>
    <x v="3"/>
  </r>
  <r>
    <n v="3791"/>
    <x v="1"/>
    <s v="7/30/2015"/>
    <d v="2015-09-01T00:00:00"/>
    <x v="4"/>
  </r>
  <r>
    <n v="4008"/>
    <x v="1"/>
    <s v="2/17/2015"/>
    <d v="2015-09-01T00:00:00"/>
    <x v="4"/>
  </r>
  <r>
    <n v="4058"/>
    <x v="1"/>
    <s v="10/27/2014"/>
    <d v="2014-09-01T00:00:00"/>
    <x v="4"/>
  </r>
  <r>
    <n v="1357"/>
    <x v="1"/>
    <s v="5/2/2018"/>
    <d v="2018-09-01T00:00:00"/>
    <x v="0"/>
  </r>
  <r>
    <n v="1436"/>
    <x v="1"/>
    <s v="2/12/2018"/>
    <d v="2018-09-01T00:00:00"/>
    <x v="0"/>
  </r>
  <r>
    <n v="1453"/>
    <x v="1"/>
    <s v="1/9/2018"/>
    <d v="2018-09-01T00:00:00"/>
    <x v="0"/>
  </r>
  <r>
    <n v="1465"/>
    <x v="1"/>
    <s v="12/1/2017"/>
    <d v="2017-09-01T00:00:00"/>
    <x v="0"/>
  </r>
  <r>
    <n v="2084"/>
    <x v="1"/>
    <s v="7/31/2017"/>
    <d v="2017-09-01T00:00:00"/>
    <x v="2"/>
  </r>
  <r>
    <n v="2087"/>
    <x v="1"/>
    <s v="7/31/2017"/>
    <d v="2017-09-01T00:00:00"/>
    <x v="2"/>
  </r>
  <r>
    <n v="2209"/>
    <x v="1"/>
    <s v="6/2/2017"/>
    <d v="2017-09-01T00:00:00"/>
    <x v="2"/>
  </r>
  <r>
    <n v="2783"/>
    <x v="1"/>
    <s v="11/27/2018"/>
    <d v="2018-09-01T00:00:00"/>
    <x v="1"/>
  </r>
  <r>
    <n v="2977"/>
    <x v="1"/>
    <s v="12/3/2018"/>
    <d v="2018-09-01T00:00:00"/>
    <x v="1"/>
  </r>
  <r>
    <n v="3274"/>
    <x v="1"/>
    <s v="1/10/2019"/>
    <d v="2019-09-01T00:00:00"/>
    <x v="1"/>
  </r>
  <r>
    <n v="3629"/>
    <x v="1"/>
    <s v="2/19/2019"/>
    <d v="2019-09-01T00:00:00"/>
    <x v="1"/>
  </r>
  <r>
    <n v="3823"/>
    <x v="1"/>
    <s v="3/13/2019"/>
    <d v="2019-09-01T00:00:00"/>
    <x v="1"/>
  </r>
  <r>
    <n v="4195"/>
    <x v="1"/>
    <s v="6/6/2019"/>
    <d v="2019-09-01T00:00:00"/>
    <x v="1"/>
  </r>
  <r>
    <n v="4411"/>
    <x v="1"/>
    <s v="9/12/2019"/>
    <d v="2019-09-01T00:00:00"/>
    <x v="6"/>
  </r>
  <r>
    <n v="4574"/>
    <x v="1"/>
    <s v="11/12/2019"/>
    <d v="2019-09-01T00:00:00"/>
    <x v="6"/>
  </r>
  <r>
    <n v="6033"/>
    <x v="1"/>
    <s v="5/5/2021"/>
    <d v="2021-09-01T00:00:00"/>
    <x v="7"/>
  </r>
  <r>
    <n v="6078"/>
    <x v="1"/>
    <s v="5/17/2021"/>
    <d v="2021-09-01T00:00:00"/>
    <x v="7"/>
  </r>
  <r>
    <n v="6094"/>
    <x v="1"/>
    <s v="5/20/2021"/>
    <d v="2021-09-01T00:00:00"/>
    <x v="7"/>
  </r>
  <r>
    <n v="6180"/>
    <x v="1"/>
    <s v="6/29/2021"/>
    <d v="2021-09-01T00:00:00"/>
    <x v="7"/>
  </r>
  <r>
    <n v="6642"/>
    <x v="1"/>
    <s v="11/8/2021"/>
    <d v="2021-09-01T00:00:00"/>
    <x v="8"/>
  </r>
  <r>
    <n v="7066"/>
    <x v="1"/>
    <s v="4/20/2022"/>
    <d v="2022-09-01T00:00:00"/>
    <x v="8"/>
  </r>
  <r>
    <n v="7177"/>
    <x v="1"/>
    <s v="6/13/2022"/>
    <d v="2022-09-01T00:00:00"/>
    <x v="8"/>
  </r>
  <r>
    <n v="7296"/>
    <x v="1"/>
    <s v="8/8/2022"/>
    <d v="2022-09-01T00:00:00"/>
    <x v="8"/>
  </r>
  <r>
    <n v="7385"/>
    <x v="1"/>
    <s v="9/1/2022"/>
    <d v="2022-09-01T00:00:00"/>
    <x v="9"/>
  </r>
  <r>
    <n v="7643"/>
    <x v="1"/>
    <s v="10/18/2022"/>
    <d v="2022-09-01T00:00:00"/>
    <x v="9"/>
  </r>
  <r>
    <n v="7735"/>
    <x v="1"/>
    <s v="11/21/2022"/>
    <d v="2022-09-01T00:00:00"/>
    <x v="9"/>
  </r>
  <r>
    <n v="8061"/>
    <x v="1"/>
    <s v="2/16/2023"/>
    <d v="2023-09-01T00:00:00"/>
    <x v="9"/>
  </r>
  <r>
    <n v="433"/>
    <x v="2"/>
    <s v="7/26/2018"/>
    <d v="2018-09-01T00:00:00"/>
    <x v="0"/>
  </r>
  <r>
    <n v="1346"/>
    <x v="2"/>
    <s v="5/11/2018"/>
    <d v="2018-09-01T00:00:00"/>
    <x v="0"/>
  </r>
  <r>
    <n v="1360"/>
    <x v="2"/>
    <s v="5/2/2018"/>
    <d v="2018-09-01T00:00:00"/>
    <x v="0"/>
  </r>
  <r>
    <n v="1379"/>
    <x v="2"/>
    <s v="10/26/2017"/>
    <d v="2017-09-01T00:00:00"/>
    <x v="0"/>
  </r>
  <r>
    <n v="1381"/>
    <x v="2"/>
    <s v="11/2/2017"/>
    <d v="2017-09-01T00:00:00"/>
    <x v="0"/>
  </r>
  <r>
    <n v="1448"/>
    <x v="2"/>
    <s v="1/30/2018"/>
    <d v="2018-09-01T00:00:00"/>
    <x v="0"/>
  </r>
  <r>
    <n v="1452"/>
    <x v="2"/>
    <s v="1/10/2018"/>
    <d v="2018-09-01T00:00:00"/>
    <x v="0"/>
  </r>
  <r>
    <n v="1544"/>
    <x v="2"/>
    <s v="9/13/2018"/>
    <d v="2018-09-01T00:00:00"/>
    <x v="1"/>
  </r>
  <r>
    <n v="2088"/>
    <x v="2"/>
    <s v="7/20/2017"/>
    <d v="2017-09-01T00:00:00"/>
    <x v="2"/>
  </r>
  <r>
    <n v="2199"/>
    <x v="2"/>
    <s v="6/12/2017"/>
    <d v="2017-09-01T00:00:00"/>
    <x v="2"/>
  </r>
  <r>
    <n v="2337"/>
    <x v="2"/>
    <s v="5/1/2017"/>
    <d v="2017-09-01T00:00:00"/>
    <x v="2"/>
  </r>
  <r>
    <n v="2340"/>
    <x v="2"/>
    <s v="4/29/2017"/>
    <d v="2017-09-01T00:00:00"/>
    <x v="2"/>
  </r>
  <r>
    <n v="2768"/>
    <x v="2"/>
    <s v="12/31/2016"/>
    <d v="2016-09-01T00:00:00"/>
    <x v="2"/>
  </r>
  <r>
    <n v="2828"/>
    <x v="2"/>
    <s v="12/28/2016"/>
    <d v="2016-09-01T00:00:00"/>
    <x v="2"/>
  </r>
  <r>
    <n v="2995"/>
    <x v="2"/>
    <s v="11/30/2016"/>
    <d v="2016-09-01T00:00:00"/>
    <x v="2"/>
  </r>
  <r>
    <n v="2999"/>
    <x v="2"/>
    <s v="11/28/2016"/>
    <d v="2016-09-01T00:00:00"/>
    <x v="2"/>
  </r>
  <r>
    <n v="3225"/>
    <x v="2"/>
    <s v="12/13/2018"/>
    <d v="2018-09-01T00:00:00"/>
    <x v="1"/>
  </r>
  <r>
    <n v="3314"/>
    <x v="2"/>
    <s v="7/30/2016"/>
    <d v="2016-09-01T00:00:00"/>
    <x v="3"/>
  </r>
  <r>
    <n v="3642"/>
    <x v="2"/>
    <s v="11/22/2015"/>
    <d v="2015-09-01T00:00:00"/>
    <x v="3"/>
  </r>
  <r>
    <n v="3644"/>
    <x v="2"/>
    <s v="11/19/2015"/>
    <d v="2015-09-01T00:00:00"/>
    <x v="3"/>
  </r>
  <r>
    <n v="3871"/>
    <x v="2"/>
    <s v="4/2/2019"/>
    <d v="2019-09-01T00:00:00"/>
    <x v="1"/>
  </r>
  <r>
    <n v="3978"/>
    <x v="2"/>
    <s v="2/28/2015"/>
    <d v="2015-09-01T00:00:00"/>
    <x v="4"/>
  </r>
  <r>
    <n v="4225"/>
    <x v="2"/>
    <s v="6/19/2019"/>
    <d v="2019-09-01T00:00:00"/>
    <x v="1"/>
  </r>
  <r>
    <n v="4234"/>
    <x v="2"/>
    <s v="6/20/2019"/>
    <d v="2019-09-01T00:00:00"/>
    <x v="1"/>
  </r>
  <r>
    <n v="4283"/>
    <x v="2"/>
    <s v="7/17/2019"/>
    <d v="2019-09-01T00:00:00"/>
    <x v="1"/>
  </r>
  <r>
    <n v="4387"/>
    <x v="2"/>
    <s v="9/9/2019"/>
    <d v="2019-09-01T00:00:00"/>
    <x v="6"/>
  </r>
  <r>
    <n v="4534"/>
    <x v="2"/>
    <s v="11/1/2019"/>
    <d v="2019-09-01T00:00:00"/>
    <x v="6"/>
  </r>
  <r>
    <n v="4636"/>
    <x v="2"/>
    <s v="11/26/2019"/>
    <d v="2019-09-01T00:00:00"/>
    <x v="6"/>
  </r>
  <r>
    <n v="4658"/>
    <x v="2"/>
    <s v="12/2/2019"/>
    <d v="2019-09-01T00:00:00"/>
    <x v="6"/>
  </r>
  <r>
    <n v="4662"/>
    <x v="2"/>
    <s v="11/1/2019"/>
    <d v="2019-09-01T00:00:00"/>
    <x v="6"/>
  </r>
  <r>
    <n v="4794"/>
    <x v="2"/>
    <s v="2/19/2020"/>
    <d v="2020-09-01T00:00:00"/>
    <x v="6"/>
  </r>
  <r>
    <n v="4800"/>
    <x v="2"/>
    <s v="12/18/2019"/>
    <d v="2019-09-01T00:00:00"/>
    <x v="6"/>
  </r>
  <r>
    <n v="4883"/>
    <x v="2"/>
    <s v="4/9/2020"/>
    <d v="2020-09-01T00:00:00"/>
    <x v="6"/>
  </r>
  <r>
    <n v="4888"/>
    <x v="2"/>
    <s v="3/26/2020"/>
    <d v="2020-09-01T00:00:00"/>
    <x v="6"/>
  </r>
  <r>
    <n v="4924"/>
    <x v="2"/>
    <s v="5/26/2020"/>
    <d v="2020-09-01T00:00:00"/>
    <x v="6"/>
  </r>
  <r>
    <n v="4964"/>
    <x v="2"/>
    <s v="6/23/2020"/>
    <d v="2020-09-01T00:00:00"/>
    <x v="6"/>
  </r>
  <r>
    <n v="4998"/>
    <x v="2"/>
    <s v="7/14/2020"/>
    <d v="2020-09-01T00:00:00"/>
    <x v="6"/>
  </r>
  <r>
    <n v="5003"/>
    <x v="2"/>
    <s v="7/23/2020"/>
    <d v="2020-09-01T00:00:00"/>
    <x v="6"/>
  </r>
  <r>
    <n v="5016"/>
    <x v="2"/>
    <s v="8/5/2020"/>
    <d v="2020-09-01T00:00:00"/>
    <x v="6"/>
  </r>
  <r>
    <n v="5070"/>
    <x v="2"/>
    <s v="9/2/2020"/>
    <d v="2020-09-01T00:00:00"/>
    <x v="7"/>
  </r>
  <r>
    <n v="5523"/>
    <x v="2"/>
    <s v="10/29/2020"/>
    <d v="2020-09-01T00:00:00"/>
    <x v="7"/>
  </r>
  <r>
    <n v="5732"/>
    <x v="2"/>
    <s v="12/21/2020"/>
    <d v="2020-09-01T00:00:00"/>
    <x v="7"/>
  </r>
  <r>
    <n v="5761"/>
    <x v="2"/>
    <s v="1/15/2021"/>
    <d v="2021-09-01T00:00:00"/>
    <x v="7"/>
  </r>
  <r>
    <n v="5904"/>
    <x v="2"/>
    <s v="3/24/2021"/>
    <d v="2021-09-01T00:00:00"/>
    <x v="7"/>
  </r>
  <r>
    <n v="5939"/>
    <x v="2"/>
    <s v="4/12/2021"/>
    <d v="2021-09-01T00:00:00"/>
    <x v="7"/>
  </r>
  <r>
    <n v="5979"/>
    <x v="2"/>
    <s v="4/23/2021"/>
    <d v="2021-09-01T00:00:00"/>
    <x v="7"/>
  </r>
  <r>
    <n v="6073"/>
    <x v="2"/>
    <s v="5/17/2021"/>
    <d v="2021-09-01T00:00:00"/>
    <x v="7"/>
  </r>
  <r>
    <n v="6264"/>
    <x v="2"/>
    <s v="8/16/2021"/>
    <d v="2021-09-01T00:00:00"/>
    <x v="7"/>
  </r>
  <r>
    <n v="6267"/>
    <x v="2"/>
    <s v="8/17/2021"/>
    <d v="2021-09-01T00:00:00"/>
    <x v="7"/>
  </r>
  <r>
    <n v="6326"/>
    <x v="2"/>
    <s v="8/30/2021"/>
    <d v="2021-09-01T00:00:00"/>
    <x v="7"/>
  </r>
  <r>
    <n v="6553"/>
    <x v="2"/>
    <s v="10/14/2021"/>
    <d v="2021-09-01T00:00:00"/>
    <x v="8"/>
  </r>
  <r>
    <n v="6747"/>
    <x v="2"/>
    <s v="12/17/2021"/>
    <d v="2021-09-01T00:00:00"/>
    <x v="8"/>
  </r>
  <r>
    <n v="6776"/>
    <x v="2"/>
    <s v="1/6/2022"/>
    <d v="2022-09-01T00:00:00"/>
    <x v="8"/>
  </r>
  <r>
    <n v="6828"/>
    <x v="2"/>
    <s v="1/26/2022"/>
    <d v="2022-09-01T00:00:00"/>
    <x v="8"/>
  </r>
  <r>
    <n v="6871"/>
    <x v="2"/>
    <s v="2/9/2022"/>
    <d v="2022-09-01T00:00:00"/>
    <x v="8"/>
  </r>
  <r>
    <n v="6885"/>
    <x v="2"/>
    <s v="2/15/2022"/>
    <d v="2022-09-01T00:00:00"/>
    <x v="8"/>
  </r>
  <r>
    <n v="6944"/>
    <x v="2"/>
    <s v="2/28/2022"/>
    <d v="2022-09-01T00:00:00"/>
    <x v="8"/>
  </r>
  <r>
    <n v="7223"/>
    <x v="2"/>
    <s v="6/29/2022"/>
    <d v="2022-09-01T00:00:00"/>
    <x v="8"/>
  </r>
  <r>
    <n v="7265"/>
    <x v="2"/>
    <s v="7/12/2022"/>
    <d v="2022-09-01T00:00:00"/>
    <x v="8"/>
  </r>
  <r>
    <n v="7285"/>
    <x v="2"/>
    <s v="8/3/2022"/>
    <d v="2022-09-01T00:00:00"/>
    <x v="8"/>
  </r>
  <r>
    <n v="7325"/>
    <x v="2"/>
    <s v="8/11/2022"/>
    <d v="2022-09-01T00:00:00"/>
    <x v="8"/>
  </r>
  <r>
    <n v="7359"/>
    <x v="2"/>
    <s v="8/29/2022"/>
    <d v="2022-09-01T00:00:00"/>
    <x v="8"/>
  </r>
  <r>
    <n v="7449"/>
    <x v="2"/>
    <s v="8/29/2022"/>
    <d v="2022-09-01T00:00:00"/>
    <x v="8"/>
  </r>
  <r>
    <n v="7744"/>
    <x v="2"/>
    <s v="11/28/2022"/>
    <d v="2022-09-01T00:00:00"/>
    <x v="9"/>
  </r>
  <r>
    <n v="7768"/>
    <x v="2"/>
    <s v="12/7/2022"/>
    <d v="2022-09-01T00:00:00"/>
    <x v="9"/>
  </r>
  <r>
    <n v="7918"/>
    <x v="2"/>
    <s v="1/17/2023"/>
    <d v="2023-09-01T00:00:00"/>
    <x v="9"/>
  </r>
  <r>
    <n v="7996"/>
    <x v="2"/>
    <s v="1/31/2023"/>
    <d v="2023-09-01T00:00:00"/>
    <x v="9"/>
  </r>
  <r>
    <n v="8131"/>
    <x v="2"/>
    <s v="3/8/2023"/>
    <d v="2023-09-01T00:00:00"/>
    <x v="9"/>
  </r>
  <r>
    <n v="8247"/>
    <x v="2"/>
    <s v="4/25/2023"/>
    <d v="2023-09-01T00:00:00"/>
    <x v="9"/>
  </r>
  <r>
    <n v="8250"/>
    <x v="2"/>
    <s v="4/25/2023"/>
    <d v="2023-09-01T00:00:00"/>
    <x v="9"/>
  </r>
  <r>
    <n v="1372"/>
    <x v="2"/>
    <s v="10/5/2017"/>
    <d v="2017-09-01T00:00:00"/>
    <x v="0"/>
  </r>
  <r>
    <n v="2338"/>
    <x v="2"/>
    <s v="4/30/2017"/>
    <d v="2017-09-01T00:00:00"/>
    <x v="2"/>
  </r>
  <r>
    <n v="2989"/>
    <x v="2"/>
    <s v="12/1/2016"/>
    <d v="2016-09-01T00:00:00"/>
    <x v="2"/>
  </r>
  <r>
    <n v="3053"/>
    <x v="2"/>
    <s v="10/17/2016"/>
    <d v="2016-09-01T00:00:00"/>
    <x v="2"/>
  </r>
  <r>
    <n v="3250"/>
    <x v="2"/>
    <s v="9/1/2016"/>
    <d v="2016-09-01T00:00:00"/>
    <x v="2"/>
  </r>
  <r>
    <n v="3332"/>
    <x v="2"/>
    <s v="7/12/2016"/>
    <d v="2016-09-01T00:00:00"/>
    <x v="3"/>
  </r>
  <r>
    <n v="3338"/>
    <x v="2"/>
    <s v="6/27/2016"/>
    <d v="2016-09-01T00:00:00"/>
    <x v="3"/>
  </r>
  <r>
    <n v="3532"/>
    <x v="2"/>
    <s v="4/29/2016"/>
    <d v="2016-09-01T00:00:00"/>
    <x v="3"/>
  </r>
  <r>
    <n v="3534"/>
    <x v="2"/>
    <s v="4/28/2016"/>
    <d v="2016-09-01T00:00:00"/>
    <x v="3"/>
  </r>
  <r>
    <n v="3537"/>
    <x v="2"/>
    <s v="4/25/2016"/>
    <d v="2016-09-01T00:00:00"/>
    <x v="3"/>
  </r>
  <r>
    <n v="3941"/>
    <x v="2"/>
    <s v="4/25/2015"/>
    <d v="2015-09-01T00:00:00"/>
    <x v="4"/>
  </r>
  <r>
    <n v="3972"/>
    <x v="2"/>
    <s v="3/29/2015"/>
    <d v="2015-09-01T00:00:00"/>
    <x v="4"/>
  </r>
  <r>
    <n v="4045"/>
    <x v="2"/>
    <s v="11/6/2014"/>
    <d v="2014-09-01T00:00:00"/>
    <x v="4"/>
  </r>
  <r>
    <n v="4048"/>
    <x v="2"/>
    <s v="11/2/2014"/>
    <d v="2014-09-01T00:00:00"/>
    <x v="4"/>
  </r>
  <r>
    <n v="4073"/>
    <x v="2"/>
    <s v="9/30/2014"/>
    <d v="2014-09-01T00:00:00"/>
    <x v="4"/>
  </r>
  <r>
    <n v="4075"/>
    <x v="2"/>
    <s v="9/30/2014"/>
    <d v="2014-09-01T00:00:00"/>
    <x v="4"/>
  </r>
  <r>
    <n v="4468"/>
    <x v="2"/>
    <s v="5/4/2014"/>
    <d v="2014-09-01T00:00:00"/>
    <x v="5"/>
  </r>
  <r>
    <n v="1361"/>
    <x v="2"/>
    <s v="10/16/2017"/>
    <d v="2017-09-01T00:00:00"/>
    <x v="0"/>
  </r>
  <r>
    <n v="2007"/>
    <x v="2"/>
    <s v="8/22/2017"/>
    <d v="2017-09-01T00:00:00"/>
    <x v="2"/>
  </r>
  <r>
    <n v="2311"/>
    <x v="2"/>
    <s v="5/16/2017"/>
    <d v="2017-09-01T00:00:00"/>
    <x v="2"/>
  </r>
  <r>
    <n v="3334"/>
    <x v="2"/>
    <s v="6/30/2016"/>
    <d v="2016-09-01T00:00:00"/>
    <x v="3"/>
  </r>
  <r>
    <n v="3336"/>
    <x v="2"/>
    <s v="6/29/2016"/>
    <d v="2016-09-01T00:00:00"/>
    <x v="3"/>
  </r>
  <r>
    <n v="3562"/>
    <x v="2"/>
    <s v="2/15/2016"/>
    <d v="2016-09-01T00:00:00"/>
    <x v="3"/>
  </r>
  <r>
    <n v="3739"/>
    <x v="2"/>
    <s v="10/20/2015"/>
    <d v="2015-09-01T00:00:00"/>
    <x v="3"/>
  </r>
  <r>
    <n v="3791"/>
    <x v="2"/>
    <s v="7/30/2015"/>
    <d v="2015-09-01T00:00:00"/>
    <x v="4"/>
  </r>
  <r>
    <n v="4008"/>
    <x v="2"/>
    <s v="2/17/2015"/>
    <d v="2015-09-01T00:00:00"/>
    <x v="4"/>
  </r>
  <r>
    <n v="4058"/>
    <x v="2"/>
    <s v="10/27/2014"/>
    <d v="2014-09-01T00:00:00"/>
    <x v="4"/>
  </r>
  <r>
    <n v="1357"/>
    <x v="2"/>
    <s v="5/2/2018"/>
    <d v="2018-09-01T00:00:00"/>
    <x v="0"/>
  </r>
  <r>
    <n v="1436"/>
    <x v="2"/>
    <s v="2/12/2018"/>
    <d v="2018-09-01T00:00:00"/>
    <x v="0"/>
  </r>
  <r>
    <n v="1453"/>
    <x v="2"/>
    <s v="1/9/2018"/>
    <d v="2018-09-01T00:00:00"/>
    <x v="0"/>
  </r>
  <r>
    <n v="1465"/>
    <x v="2"/>
    <s v="12/1/2017"/>
    <d v="2017-09-01T00:00:00"/>
    <x v="0"/>
  </r>
  <r>
    <n v="2084"/>
    <x v="2"/>
    <s v="7/31/2017"/>
    <d v="2017-09-01T00:00:00"/>
    <x v="2"/>
  </r>
  <r>
    <n v="2087"/>
    <x v="2"/>
    <s v="7/31/2017"/>
    <d v="2017-09-01T00:00:00"/>
    <x v="2"/>
  </r>
  <r>
    <n v="2209"/>
    <x v="2"/>
    <s v="6/2/2017"/>
    <d v="2017-09-01T00:00:00"/>
    <x v="2"/>
  </r>
  <r>
    <n v="2783"/>
    <x v="2"/>
    <s v="11/27/2018"/>
    <d v="2018-09-01T00:00:00"/>
    <x v="1"/>
  </r>
  <r>
    <n v="2977"/>
    <x v="2"/>
    <s v="12/3/2018"/>
    <d v="2018-09-01T00:00:00"/>
    <x v="1"/>
  </r>
  <r>
    <n v="3274"/>
    <x v="2"/>
    <s v="1/10/2019"/>
    <d v="2019-09-01T00:00:00"/>
    <x v="1"/>
  </r>
  <r>
    <n v="3629"/>
    <x v="2"/>
    <s v="2/19/2019"/>
    <d v="2019-09-01T00:00:00"/>
    <x v="1"/>
  </r>
  <r>
    <n v="3823"/>
    <x v="2"/>
    <s v="3/13/2019"/>
    <d v="2019-09-01T00:00:00"/>
    <x v="1"/>
  </r>
  <r>
    <n v="4195"/>
    <x v="2"/>
    <s v="6/6/2019"/>
    <d v="2019-09-01T00:00:00"/>
    <x v="1"/>
  </r>
  <r>
    <n v="4411"/>
    <x v="2"/>
    <s v="9/12/2019"/>
    <d v="2019-09-01T00:00:00"/>
    <x v="6"/>
  </r>
  <r>
    <n v="4574"/>
    <x v="2"/>
    <s v="11/12/2019"/>
    <d v="2019-09-01T00:00:00"/>
    <x v="6"/>
  </r>
  <r>
    <n v="6033"/>
    <x v="2"/>
    <s v="5/5/2021"/>
    <d v="2021-09-01T00:00:00"/>
    <x v="7"/>
  </r>
  <r>
    <n v="6078"/>
    <x v="2"/>
    <s v="5/17/2021"/>
    <d v="2021-09-01T00:00:00"/>
    <x v="7"/>
  </r>
  <r>
    <n v="6094"/>
    <x v="2"/>
    <s v="5/20/2021"/>
    <d v="2021-09-01T00:00:00"/>
    <x v="7"/>
  </r>
  <r>
    <n v="6180"/>
    <x v="2"/>
    <s v="6/29/2021"/>
    <d v="2021-09-01T00:00:00"/>
    <x v="7"/>
  </r>
  <r>
    <n v="6642"/>
    <x v="2"/>
    <s v="11/8/2021"/>
    <d v="2021-09-01T00:00:00"/>
    <x v="8"/>
  </r>
  <r>
    <n v="7066"/>
    <x v="2"/>
    <s v="4/20/2022"/>
    <d v="2022-09-01T00:00:00"/>
    <x v="8"/>
  </r>
  <r>
    <n v="7177"/>
    <x v="2"/>
    <s v="6/13/2022"/>
    <d v="2022-09-01T00:00:00"/>
    <x v="8"/>
  </r>
  <r>
    <n v="7296"/>
    <x v="2"/>
    <s v="8/8/2022"/>
    <d v="2022-09-01T00:00:00"/>
    <x v="8"/>
  </r>
  <r>
    <n v="7385"/>
    <x v="2"/>
    <s v="9/1/2022"/>
    <d v="2022-09-01T00:00:00"/>
    <x v="9"/>
  </r>
  <r>
    <n v="7643"/>
    <x v="2"/>
    <s v="10/18/2022"/>
    <d v="2022-09-01T00:00:00"/>
    <x v="9"/>
  </r>
  <r>
    <n v="7735"/>
    <x v="2"/>
    <s v="11/21/2022"/>
    <d v="2022-09-01T00:00:00"/>
    <x v="9"/>
  </r>
  <r>
    <n v="8061"/>
    <x v="2"/>
    <s v="2/16/2023"/>
    <d v="2023-09-01T00:00:00"/>
    <x v="9"/>
  </r>
  <r>
    <m/>
    <x v="3"/>
    <e v="#N/A"/>
    <e v="#N/A"/>
    <x v="10"/>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1295"/>
    <x v="0"/>
    <s v="9/1/2017"/>
    <d v="2017-09-01T00:00:00"/>
    <x v="0"/>
  </r>
  <r>
    <n v="1315"/>
    <x v="0"/>
    <s v="9/1/2017"/>
    <d v="2017-09-01T00:00:00"/>
    <x v="0"/>
  </r>
  <r>
    <n v="1324"/>
    <x v="0"/>
    <s v="9/1/2017"/>
    <d v="2017-09-01T00:00:00"/>
    <x v="0"/>
  </r>
  <r>
    <n v="1351"/>
    <x v="0"/>
    <s v="5/10/2018"/>
    <d v="2018-09-01T00:00:00"/>
    <x v="0"/>
  </r>
  <r>
    <n v="1353"/>
    <x v="0"/>
    <s v="5/9/2018"/>
    <d v="2018-09-01T00:00:00"/>
    <x v="0"/>
  </r>
  <r>
    <n v="1357"/>
    <x v="0"/>
    <s v="5/2/2018"/>
    <d v="2018-09-01T00:00:00"/>
    <x v="0"/>
  </r>
  <r>
    <n v="1368"/>
    <x v="0"/>
    <s v="10/14/2017"/>
    <d v="2017-09-01T00:00:00"/>
    <x v="0"/>
  </r>
  <r>
    <n v="1370"/>
    <x v="0"/>
    <s v="10/15/2017"/>
    <d v="2017-09-01T00:00:00"/>
    <x v="0"/>
  </r>
  <r>
    <n v="1390"/>
    <x v="0"/>
    <s v="4/20/2018"/>
    <d v="2018-09-01T00:00:00"/>
    <x v="0"/>
  </r>
  <r>
    <n v="1399"/>
    <x v="0"/>
    <s v="3/27/2018"/>
    <d v="2018-09-01T00:00:00"/>
    <x v="0"/>
  </r>
  <r>
    <n v="1436"/>
    <x v="0"/>
    <s v="2/12/2018"/>
    <d v="2018-09-01T00:00:00"/>
    <x v="0"/>
  </r>
  <r>
    <n v="1438"/>
    <x v="0"/>
    <s v="1/31/2018"/>
    <d v="2018-09-01T00:00:00"/>
    <x v="0"/>
  </r>
  <r>
    <n v="1452"/>
    <x v="0"/>
    <s v="1/10/2018"/>
    <d v="2018-09-01T00:00:00"/>
    <x v="0"/>
  </r>
  <r>
    <n v="1696"/>
    <x v="0"/>
    <s v="9/1/2018"/>
    <d v="2018-09-01T00:00:00"/>
    <x v="1"/>
  </r>
  <r>
    <n v="1698"/>
    <x v="0"/>
    <s v="9/20/2018"/>
    <d v="2018-09-01T00:00:00"/>
    <x v="1"/>
  </r>
  <r>
    <n v="1928"/>
    <x v="0"/>
    <s v="8/31/2017"/>
    <d v="2017-09-01T00:00:00"/>
    <x v="2"/>
  </r>
  <r>
    <n v="1940"/>
    <x v="0"/>
    <s v="8/31/2017"/>
    <d v="2017-09-01T00:00:00"/>
    <x v="2"/>
  </r>
  <r>
    <n v="2088"/>
    <x v="0"/>
    <s v="7/20/2017"/>
    <d v="2017-09-01T00:00:00"/>
    <x v="2"/>
  </r>
  <r>
    <n v="2199"/>
    <x v="0"/>
    <s v="6/12/2017"/>
    <d v="2017-09-01T00:00:00"/>
    <x v="2"/>
  </r>
  <r>
    <n v="2201"/>
    <x v="0"/>
    <s v="6/10/2017"/>
    <d v="2017-09-01T00:00:00"/>
    <x v="2"/>
  </r>
  <r>
    <n v="2210"/>
    <x v="0"/>
    <s v="5/30/2017"/>
    <d v="2017-09-01T00:00:00"/>
    <x v="2"/>
  </r>
  <r>
    <n v="2321"/>
    <x v="0"/>
    <s v="5/6/2017"/>
    <d v="2017-09-01T00:00:00"/>
    <x v="2"/>
  </r>
  <r>
    <n v="2337"/>
    <x v="0"/>
    <s v="5/1/2017"/>
    <d v="2017-09-01T00:00:00"/>
    <x v="2"/>
  </r>
  <r>
    <n v="2340"/>
    <x v="0"/>
    <s v="4/29/2017"/>
    <d v="2017-09-01T00:00:00"/>
    <x v="2"/>
  </r>
  <r>
    <n v="2343"/>
    <x v="0"/>
    <s v="4/27/2017"/>
    <d v="2017-09-01T00:00:00"/>
    <x v="2"/>
  </r>
  <r>
    <n v="2442"/>
    <x v="0"/>
    <s v="3/12/2017"/>
    <d v="2017-09-01T00:00:00"/>
    <x v="2"/>
  </r>
  <r>
    <n v="2521"/>
    <x v="0"/>
    <s v="1/30/2017"/>
    <d v="2017-09-01T00:00:00"/>
    <x v="2"/>
  </r>
  <r>
    <n v="2536"/>
    <x v="0"/>
    <s v="1/27/2017"/>
    <d v="2017-09-01T00:00:00"/>
    <x v="2"/>
  </r>
  <r>
    <n v="2768"/>
    <x v="0"/>
    <s v="12/31/2016"/>
    <d v="2016-09-01T00:00:00"/>
    <x v="2"/>
  </r>
  <r>
    <n v="2783"/>
    <x v="0"/>
    <s v="11/27/2018"/>
    <d v="2018-09-01T00:00:00"/>
    <x v="1"/>
  </r>
  <r>
    <n v="2819"/>
    <x v="0"/>
    <s v="12/30/2016"/>
    <d v="2016-09-01T00:00:00"/>
    <x v="2"/>
  </r>
  <r>
    <n v="2828"/>
    <x v="0"/>
    <s v="12/28/2016"/>
    <d v="2016-09-01T00:00:00"/>
    <x v="2"/>
  </r>
  <r>
    <n v="2995"/>
    <x v="0"/>
    <s v="11/30/2016"/>
    <d v="2016-09-01T00:00:00"/>
    <x v="2"/>
  </r>
  <r>
    <n v="2996"/>
    <x v="0"/>
    <s v="11/29/2016"/>
    <d v="2016-09-01T00:00:00"/>
    <x v="2"/>
  </r>
  <r>
    <n v="3065"/>
    <x v="0"/>
    <s v="9/30/2016"/>
    <d v="2016-09-01T00:00:00"/>
    <x v="2"/>
  </r>
  <r>
    <n v="3208"/>
    <x v="0"/>
    <s v="9/27/2016"/>
    <d v="2016-09-01T00:00:00"/>
    <x v="2"/>
  </r>
  <r>
    <n v="3250"/>
    <x v="0"/>
    <s v="9/1/2016"/>
    <d v="2016-09-01T00:00:00"/>
    <x v="2"/>
  </r>
  <r>
    <n v="3314"/>
    <x v="0"/>
    <s v="7/30/2016"/>
    <d v="2016-09-01T00:00:00"/>
    <x v="3"/>
  </r>
  <r>
    <n v="3338"/>
    <x v="0"/>
    <s v="6/27/2016"/>
    <d v="2016-09-01T00:00:00"/>
    <x v="3"/>
  </r>
  <r>
    <n v="3549"/>
    <x v="0"/>
    <s v="3/31/2016"/>
    <d v="2016-09-01T00:00:00"/>
    <x v="3"/>
  </r>
  <r>
    <n v="3629"/>
    <x v="0"/>
    <s v="2/19/2019"/>
    <d v="2019-09-01T00:00:00"/>
    <x v="1"/>
  </r>
  <r>
    <n v="3637"/>
    <x v="0"/>
    <s v="11/30/2015"/>
    <d v="2015-09-01T00:00:00"/>
    <x v="3"/>
  </r>
  <r>
    <n v="3717"/>
    <x v="0"/>
    <s v="2/22/2019"/>
    <d v="2019-09-01T00:00:00"/>
    <x v="1"/>
  </r>
  <r>
    <n v="3724"/>
    <x v="0"/>
    <s v="2/25/2019"/>
    <d v="2019-09-01T00:00:00"/>
    <x v="1"/>
  </r>
  <r>
    <n v="3732"/>
    <x v="0"/>
    <s v="11/1/2015"/>
    <d v="2015-09-01T00:00:00"/>
    <x v="3"/>
  </r>
  <r>
    <n v="3739"/>
    <x v="0"/>
    <s v="10/20/2015"/>
    <d v="2015-09-01T00:00:00"/>
    <x v="3"/>
  </r>
  <r>
    <n v="3741"/>
    <x v="0"/>
    <s v="10/15/2015"/>
    <d v="2015-09-01T00:00:00"/>
    <x v="3"/>
  </r>
  <r>
    <n v="3757"/>
    <x v="0"/>
    <s v="11/22/2015"/>
    <d v="2015-09-01T00:00:00"/>
    <x v="3"/>
  </r>
  <r>
    <n v="3795"/>
    <x v="0"/>
    <s v="7/22/2015"/>
    <d v="2015-09-01T00:00:00"/>
    <x v="4"/>
  </r>
  <r>
    <n v="3815"/>
    <x v="0"/>
    <s v="2/27/2019"/>
    <d v="2019-09-01T00:00:00"/>
    <x v="1"/>
  </r>
  <r>
    <n v="3843"/>
    <x v="0"/>
    <s v="4/1/2019"/>
    <d v="2019-09-01T00:00:00"/>
    <x v="1"/>
  </r>
  <r>
    <n v="3856"/>
    <x v="0"/>
    <s v="3/28/2019"/>
    <d v="2019-09-01T00:00:00"/>
    <x v="1"/>
  </r>
  <r>
    <n v="3872"/>
    <x v="0"/>
    <s v="4/3/2019"/>
    <d v="2019-09-01T00:00:00"/>
    <x v="1"/>
  </r>
  <r>
    <n v="3885"/>
    <x v="0"/>
    <s v="6/10/2015"/>
    <d v="2015-09-01T00:00:00"/>
    <x v="4"/>
  </r>
  <r>
    <n v="3931"/>
    <x v="0"/>
    <s v="4/29/2015"/>
    <d v="2015-09-01T00:00:00"/>
    <x v="4"/>
  </r>
  <r>
    <n v="3945"/>
    <x v="0"/>
    <s v="4/18/2015"/>
    <d v="2015-09-01T00:00:00"/>
    <x v="4"/>
  </r>
  <r>
    <n v="3974"/>
    <x v="0"/>
    <s v="3/19/2015"/>
    <d v="2015-09-01T00:00:00"/>
    <x v="4"/>
  </r>
  <r>
    <n v="4006"/>
    <x v="0"/>
    <s v="2/20/2015"/>
    <d v="2015-09-01T00:00:00"/>
    <x v="4"/>
  </r>
  <r>
    <n v="4082"/>
    <x v="0"/>
    <s v="9/9/2014"/>
    <d v="2014-09-01T00:00:00"/>
    <x v="4"/>
  </r>
  <r>
    <n v="4129"/>
    <x v="0"/>
    <s v="7/15/2014"/>
    <d v="2014-09-01T00:00:00"/>
    <x v="5"/>
  </r>
  <r>
    <n v="4164"/>
    <x v="0"/>
    <s v="6/4/2019"/>
    <d v="2019-09-01T00:00:00"/>
    <x v="1"/>
  </r>
  <r>
    <n v="4167"/>
    <x v="0"/>
    <s v="6/4/2019"/>
    <d v="2019-09-01T00:00:00"/>
    <x v="1"/>
  </r>
  <r>
    <n v="4234"/>
    <x v="0"/>
    <s v="6/20/2019"/>
    <d v="2019-09-01T00:00:00"/>
    <x v="1"/>
  </r>
  <r>
    <n v="4280"/>
    <x v="0"/>
    <s v="7/10/2019"/>
    <d v="2019-09-01T00:00:00"/>
    <x v="1"/>
  </r>
  <r>
    <n v="4368"/>
    <x v="0"/>
    <s v="9/5/2019"/>
    <d v="2019-09-01T00:00:00"/>
    <x v="6"/>
  </r>
  <r>
    <n v="4471"/>
    <x v="0"/>
    <s v="5/1/2014"/>
    <d v="2014-09-01T00:00:00"/>
    <x v="5"/>
  </r>
  <r>
    <n v="4534"/>
    <x v="0"/>
    <s v="11/1/2019"/>
    <d v="2019-09-01T00:00:00"/>
    <x v="6"/>
  </r>
  <r>
    <n v="4591"/>
    <x v="0"/>
    <s v="9/1/2019"/>
    <d v="2019-09-01T00:00:00"/>
    <x v="6"/>
  </r>
  <r>
    <n v="4636"/>
    <x v="0"/>
    <s v="11/26/2019"/>
    <d v="2019-09-01T00:00:00"/>
    <x v="6"/>
  </r>
  <r>
    <n v="4658"/>
    <x v="0"/>
    <s v="12/2/2019"/>
    <d v="2019-09-01T00:00:00"/>
    <x v="6"/>
  </r>
  <r>
    <n v="4762"/>
    <x v="0"/>
    <s v="9/1/2019"/>
    <d v="2019-09-01T00:00:00"/>
    <x v="6"/>
  </r>
  <r>
    <n v="4833"/>
    <x v="0"/>
    <s v="2/25/2020"/>
    <d v="2020-09-01T00:00:00"/>
    <x v="6"/>
  </r>
  <r>
    <n v="4875"/>
    <x v="0"/>
    <s v="4/1/2020"/>
    <d v="2020-09-01T00:00:00"/>
    <x v="6"/>
  </r>
  <r>
    <n v="4888"/>
    <x v="0"/>
    <s v="3/26/2020"/>
    <d v="2020-09-01T00:00:00"/>
    <x v="6"/>
  </r>
  <r>
    <n v="4901"/>
    <x v="0"/>
    <s v="4/21/2020"/>
    <d v="2020-09-01T00:00:00"/>
    <x v="6"/>
  </r>
  <r>
    <n v="4910"/>
    <x v="0"/>
    <s v="4/1/2020"/>
    <d v="2020-09-01T00:00:00"/>
    <x v="6"/>
  </r>
  <r>
    <n v="4915"/>
    <x v="0"/>
    <s v="5/9/2020"/>
    <d v="2020-09-01T00:00:00"/>
    <x v="6"/>
  </r>
  <r>
    <n v="4937"/>
    <x v="0"/>
    <s v="5/7/2020"/>
    <d v="2020-09-01T00:00:00"/>
    <x v="6"/>
  </r>
  <r>
    <n v="4944"/>
    <x v="0"/>
    <s v="6/1/2020"/>
    <d v="2020-09-01T00:00:00"/>
    <x v="6"/>
  </r>
  <r>
    <n v="4977"/>
    <x v="0"/>
    <s v="6/18/2020"/>
    <d v="2020-09-01T00:00:00"/>
    <x v="6"/>
  </r>
  <r>
    <n v="4978"/>
    <x v="0"/>
    <s v="5/29/2020"/>
    <d v="2020-09-01T00:00:00"/>
    <x v="6"/>
  </r>
  <r>
    <n v="4982"/>
    <x v="0"/>
    <s v="6/19/2020"/>
    <d v="2020-09-01T00:00:00"/>
    <x v="6"/>
  </r>
  <r>
    <n v="5078"/>
    <x v="0"/>
    <s v="9/17/2020"/>
    <d v="2020-09-01T00:00:00"/>
    <x v="7"/>
  </r>
  <r>
    <n v="5112"/>
    <x v="0"/>
    <s v="9/17/2020"/>
    <d v="2020-09-01T00:00:00"/>
    <x v="7"/>
  </r>
  <r>
    <n v="5624"/>
    <x v="0"/>
    <s v="11/30/2020"/>
    <d v="2020-09-01T00:00:00"/>
    <x v="7"/>
  </r>
  <r>
    <n v="5726"/>
    <x v="0"/>
    <s v="12/21/2020"/>
    <d v="2020-09-01T00:00:00"/>
    <x v="7"/>
  </r>
  <r>
    <n v="5759"/>
    <x v="0"/>
    <s v="10/25/2020"/>
    <d v="2020-09-01T00:00:00"/>
    <x v="7"/>
  </r>
  <r>
    <n v="5863"/>
    <x v="0"/>
    <s v="3/15/2021"/>
    <d v="2021-09-01T00:00:00"/>
    <x v="7"/>
  </r>
  <r>
    <n v="5883"/>
    <x v="0"/>
    <s v="3/18/2021"/>
    <d v="2021-09-01T00:00:00"/>
    <x v="7"/>
  </r>
  <r>
    <n v="5904"/>
    <x v="0"/>
    <s v="3/24/2021"/>
    <d v="2021-09-01T00:00:00"/>
    <x v="7"/>
  </r>
  <r>
    <n v="5939"/>
    <x v="0"/>
    <s v="4/12/2021"/>
    <d v="2021-09-01T00:00:00"/>
    <x v="7"/>
  </r>
  <r>
    <n v="6010"/>
    <x v="0"/>
    <s v="4/17/2021"/>
    <d v="2021-09-01T00:00:00"/>
    <x v="7"/>
  </r>
  <r>
    <n v="5979"/>
    <x v="0"/>
    <s v="4/23/2021"/>
    <d v="2021-09-01T00:00:00"/>
    <x v="7"/>
  </r>
  <r>
    <n v="6083"/>
    <x v="0"/>
    <s v="5/18/2021"/>
    <d v="2021-09-01T00:00:00"/>
    <x v="7"/>
  </r>
  <r>
    <n v="6662"/>
    <x v="0"/>
    <s v="9/1/2021"/>
    <d v="2021-09-01T00:00:00"/>
    <x v="8"/>
  </r>
  <r>
    <n v="6358"/>
    <x v="0"/>
    <s v="9/8/2021"/>
    <d v="2021-09-01T00:00:00"/>
    <x v="8"/>
  </r>
  <r>
    <n v="6553"/>
    <x v="0"/>
    <s v="10/14/2021"/>
    <d v="2021-09-01T00:00:00"/>
    <x v="8"/>
  </r>
  <r>
    <n v="6885"/>
    <x v="0"/>
    <s v="2/15/2022"/>
    <d v="2022-09-01T00:00:00"/>
    <x v="8"/>
  </r>
  <r>
    <n v="7024"/>
    <x v="0"/>
    <s v="4/1/2022"/>
    <d v="2022-09-01T00:00:00"/>
    <x v="8"/>
  </r>
  <r>
    <n v="7031"/>
    <x v="0"/>
    <s v="4/6/2022"/>
    <d v="2022-09-01T00:00:00"/>
    <x v="8"/>
  </r>
  <r>
    <n v="7040"/>
    <x v="0"/>
    <s v="4/8/2022"/>
    <d v="2022-09-01T00:00:00"/>
    <x v="8"/>
  </r>
  <r>
    <n v="7084"/>
    <x v="0"/>
    <s v="4/29/2022"/>
    <d v="2022-09-01T00:00:00"/>
    <x v="8"/>
  </r>
  <r>
    <n v="7104"/>
    <x v="0"/>
    <s v="5/3/2022"/>
    <d v="2022-09-01T00:00:00"/>
    <x v="8"/>
  </r>
  <r>
    <n v="7376"/>
    <x v="0"/>
    <s v="8/31/2022"/>
    <d v="2022-09-01T00:00:00"/>
    <x v="8"/>
  </r>
  <r>
    <n v="7400"/>
    <x v="0"/>
    <s v="9/6/2022"/>
    <d v="2022-09-01T00:00:00"/>
    <x v="9"/>
  </r>
  <r>
    <n v="7350"/>
    <x v="0"/>
    <s v="9/14/2022"/>
    <d v="2022-09-01T00:00:00"/>
    <x v="9"/>
  </r>
  <r>
    <n v="7631"/>
    <x v="0"/>
    <s v="10/13/2022"/>
    <d v="2022-09-01T00:00:00"/>
    <x v="9"/>
  </r>
  <r>
    <n v="7657"/>
    <x v="0"/>
    <s v="10/20/2022"/>
    <d v="2022-09-01T00:00:00"/>
    <x v="9"/>
  </r>
  <r>
    <n v="7845"/>
    <x v="0"/>
    <s v="1/5/2023"/>
    <d v="2023-09-01T00:00:00"/>
    <x v="9"/>
  </r>
  <r>
    <n v="7894"/>
    <x v="0"/>
    <s v="1/11/2023"/>
    <d v="2023-09-01T00:00:00"/>
    <x v="9"/>
  </r>
  <r>
    <n v="8056"/>
    <x v="0"/>
    <s v="2/16/2023"/>
    <d v="2023-09-01T00:00:00"/>
    <x v="9"/>
  </r>
  <r>
    <n v="8061"/>
    <x v="0"/>
    <s v="2/16/2023"/>
    <d v="2023-09-01T00:00:00"/>
    <x v="9"/>
  </r>
  <r>
    <n v="8271"/>
    <x v="0"/>
    <s v="4/28/2023"/>
    <d v="2023-09-01T00:00:00"/>
    <x v="9"/>
  </r>
  <r>
    <n v="8204"/>
    <x v="0"/>
    <s v="4/18/2023"/>
    <d v="2023-09-01T00:00:00"/>
    <x v="9"/>
  </r>
  <r>
    <n v="1396"/>
    <x v="0"/>
    <s v="3/29/2018"/>
    <d v="2018-09-01T00:00:00"/>
    <x v="0"/>
  </r>
  <r>
    <n v="3609"/>
    <x v="0"/>
    <s v="1/30/2016"/>
    <d v="2016-09-01T00:00:00"/>
    <x v="3"/>
  </r>
  <r>
    <n v="4013"/>
    <x v="0"/>
    <s v="2/5/2015"/>
    <d v="2015-09-01T00:00:00"/>
    <x v="4"/>
  </r>
  <r>
    <n v="4474"/>
    <x v="0"/>
    <s v="4/27/2014"/>
    <d v="2014-09-01T00:00:00"/>
    <x v="5"/>
  </r>
  <r>
    <n v="7060"/>
    <x v="0"/>
    <s v="4/18/2022"/>
    <d v="2022-09-01T00:00:00"/>
    <x v="8"/>
  </r>
  <r>
    <n v="1935"/>
    <x v="0"/>
    <s v="10/26/2018"/>
    <d v="2018-09-01T00:00:00"/>
    <x v="1"/>
  </r>
  <r>
    <n v="3972"/>
    <x v="0"/>
    <s v="3/29/2015"/>
    <d v="2015-09-01T00:00:00"/>
    <x v="4"/>
  </r>
  <r>
    <n v="4160"/>
    <x v="0"/>
    <s v="5/29/2014"/>
    <d v="2014-09-01T00:00:00"/>
    <x v="5"/>
  </r>
  <r>
    <n v="7706"/>
    <x v="0"/>
    <s v="11/11/2022"/>
    <d v="2022-09-01T00:00:00"/>
    <x v="9"/>
  </r>
  <r>
    <n v="1615"/>
    <x v="0"/>
    <s v="8/24/2018"/>
    <d v="2018-09-01T00:00:00"/>
    <x v="0"/>
  </r>
  <r>
    <n v="4018"/>
    <x v="0"/>
    <s v="1/11/2015"/>
    <d v="2015-09-01T00:00:00"/>
    <x v="4"/>
  </r>
  <r>
    <n v="4130"/>
    <x v="0"/>
    <s v="7/10/2014"/>
    <d v="2014-09-01T00:00:00"/>
    <x v="5"/>
  </r>
  <r>
    <n v="1355"/>
    <x v="0"/>
    <s v="10/3/2017"/>
    <d v="2017-09-01T00:00:00"/>
    <x v="0"/>
  </r>
  <r>
    <n v="1379"/>
    <x v="0"/>
    <s v="10/26/2017"/>
    <d v="2017-09-01T00:00:00"/>
    <x v="0"/>
  </r>
  <r>
    <n v="2305"/>
    <x v="0"/>
    <s v="5/19/2017"/>
    <d v="2017-09-01T00:00:00"/>
    <x v="2"/>
  </r>
  <r>
    <n v="2549"/>
    <x v="0"/>
    <s v="1/20/2017"/>
    <d v="2017-09-01T00:00:00"/>
    <x v="2"/>
  </r>
  <r>
    <n v="3062"/>
    <x v="0"/>
    <s v="10/3/2016"/>
    <d v="2016-09-01T00:00:00"/>
    <x v="2"/>
  </r>
  <r>
    <n v="3225"/>
    <x v="0"/>
    <s v="12/13/2018"/>
    <d v="2018-09-01T00:00:00"/>
    <x v="1"/>
  </r>
  <r>
    <n v="3644"/>
    <x v="0"/>
    <s v="11/19/2015"/>
    <d v="2015-09-01T00:00:00"/>
    <x v="3"/>
  </r>
  <r>
    <n v="4071"/>
    <x v="0"/>
    <s v="10/3/2014"/>
    <d v="2014-09-01T00:00:00"/>
    <x v="4"/>
  </r>
  <r>
    <n v="4150"/>
    <x v="0"/>
    <s v="6/30/2014"/>
    <d v="2014-09-01T00:00:00"/>
    <x v="5"/>
  </r>
  <r>
    <n v="4170"/>
    <x v="0"/>
    <s v="6/4/2019"/>
    <d v="2019-09-01T00:00:00"/>
    <x v="1"/>
  </r>
  <r>
    <n v="4200"/>
    <x v="0"/>
    <s v="5/27/2014"/>
    <d v="2014-09-01T00:00:00"/>
    <x v="5"/>
  </r>
  <r>
    <n v="6326"/>
    <x v="0"/>
    <s v="8/30/2021"/>
    <d v="2021-09-01T00:00:00"/>
    <x v="7"/>
  </r>
  <r>
    <n v="8247"/>
    <x v="0"/>
    <s v="4/25/2023"/>
    <d v="2023-09-01T00:00:00"/>
    <x v="9"/>
  </r>
  <r>
    <n v="1317"/>
    <x v="0"/>
    <s v="9/15/2017"/>
    <d v="2017-09-01T00:00:00"/>
    <x v="0"/>
  </r>
  <r>
    <n v="1490"/>
    <x v="0"/>
    <s v="2/5/2018"/>
    <d v="2018-09-01T00:00:00"/>
    <x v="0"/>
  </r>
  <r>
    <n v="2642"/>
    <x v="0"/>
    <s v="11/20/2018"/>
    <d v="2018-09-01T00:00:00"/>
    <x v="1"/>
  </r>
  <r>
    <n v="2747"/>
    <x v="0"/>
    <s v="11/26/2018"/>
    <d v="2018-09-01T00:00:00"/>
    <x v="1"/>
  </r>
  <r>
    <n v="4468"/>
    <x v="0"/>
    <s v="5/4/2014"/>
    <d v="2014-09-01T00:00:00"/>
    <x v="5"/>
  </r>
  <r>
    <n v="4469"/>
    <x v="0"/>
    <s v="5/2/2014"/>
    <d v="2014-09-01T00:00:00"/>
    <x v="5"/>
  </r>
  <r>
    <n v="5906"/>
    <x v="0"/>
    <s v="3/25/2021"/>
    <d v="2021-09-01T00:00:00"/>
    <x v="7"/>
  </r>
  <r>
    <n v="7162"/>
    <x v="0"/>
    <s v="6/1/2022"/>
    <d v="2022-09-01T00:00:00"/>
    <x v="8"/>
  </r>
  <r>
    <n v="7306"/>
    <x v="0"/>
    <s v="8/11/2022"/>
    <d v="2022-09-01T00:00:00"/>
    <x v="8"/>
  </r>
  <r>
    <n v="1381"/>
    <x v="0"/>
    <s v="11/2/2017"/>
    <d v="2017-09-01T00:00:00"/>
    <x v="0"/>
  </r>
  <r>
    <n v="1392"/>
    <x v="0"/>
    <s v="4/5/2018"/>
    <d v="2018-09-01T00:00:00"/>
    <x v="0"/>
  </r>
  <r>
    <n v="1413"/>
    <x v="0"/>
    <s v="11/10/2017"/>
    <d v="2017-09-01T00:00:00"/>
    <x v="0"/>
  </r>
  <r>
    <n v="1681"/>
    <x v="0"/>
    <s v="8/24/2018"/>
    <d v="2018-09-01T00:00:00"/>
    <x v="0"/>
  </r>
  <r>
    <n v="3002"/>
    <x v="0"/>
    <s v="11/26/2016"/>
    <d v="2016-09-01T00:00:00"/>
    <x v="2"/>
  </r>
  <r>
    <n v="3345"/>
    <x v="0"/>
    <s v="5/29/2016"/>
    <d v="2016-09-01T00:00:00"/>
    <x v="3"/>
  </r>
  <r>
    <n v="3376"/>
    <x v="0"/>
    <s v="1/28/2019"/>
    <d v="2019-09-01T00:00:00"/>
    <x v="1"/>
  </r>
  <r>
    <n v="3539"/>
    <x v="0"/>
    <s v="4/22/2016"/>
    <d v="2016-09-01T00:00:00"/>
    <x v="3"/>
  </r>
  <r>
    <n v="3612"/>
    <x v="0"/>
    <s v="1/29/2016"/>
    <d v="2016-09-01T00:00:00"/>
    <x v="3"/>
  </r>
  <r>
    <n v="3797"/>
    <x v="0"/>
    <s v="7/20/2015"/>
    <d v="2015-09-01T00:00:00"/>
    <x v="4"/>
  </r>
  <r>
    <n v="3801"/>
    <x v="0"/>
    <s v="7/4/2015"/>
    <d v="2015-09-01T00:00:00"/>
    <x v="4"/>
  </r>
  <r>
    <n v="3887"/>
    <x v="0"/>
    <s v="6/5/2015"/>
    <d v="2015-09-01T00:00:00"/>
    <x v="4"/>
  </r>
  <r>
    <n v="3943"/>
    <x v="0"/>
    <s v="4/24/2015"/>
    <d v="2015-09-01T00:00:00"/>
    <x v="4"/>
  </r>
  <r>
    <n v="4081"/>
    <x v="0"/>
    <s v="9/25/2014"/>
    <d v="2014-09-01T00:00:00"/>
    <x v="4"/>
  </r>
  <r>
    <n v="4085"/>
    <x v="0"/>
    <s v="8/31/2014"/>
    <d v="2014-09-01T00:00:00"/>
    <x v="5"/>
  </r>
  <r>
    <n v="4089"/>
    <x v="0"/>
    <s v="8/22/2014"/>
    <d v="2014-09-01T00:00:00"/>
    <x v="5"/>
  </r>
  <r>
    <n v="4133"/>
    <x v="0"/>
    <s v="7/1/2014"/>
    <d v="2014-09-01T00:00:00"/>
    <x v="5"/>
  </r>
  <r>
    <n v="4151"/>
    <x v="0"/>
    <s v="6/15/2014"/>
    <d v="2014-09-01T00:00:00"/>
    <x v="5"/>
  </r>
  <r>
    <n v="4466"/>
    <x v="0"/>
    <s v="5/5/2014"/>
    <d v="2014-09-01T00:00:00"/>
    <x v="5"/>
  </r>
  <r>
    <n v="4662"/>
    <x v="0"/>
    <s v="11/1/2019"/>
    <d v="2019-09-01T00:00:00"/>
    <x v="6"/>
  </r>
  <r>
    <n v="6606"/>
    <x v="0"/>
    <s v="11/1/2021"/>
    <d v="2021-09-01T00:00:00"/>
    <x v="8"/>
  </r>
  <r>
    <n v="6747"/>
    <x v="0"/>
    <s v="12/17/2021"/>
    <d v="2021-09-01T00:00:00"/>
    <x v="8"/>
  </r>
  <r>
    <n v="7265"/>
    <x v="0"/>
    <s v="7/12/2022"/>
    <d v="2022-09-01T00:00:00"/>
    <x v="8"/>
  </r>
  <r>
    <n v="7744"/>
    <x v="0"/>
    <s v="11/28/2022"/>
    <d v="2022-09-01T00:00:00"/>
    <x v="9"/>
  </r>
  <r>
    <n v="3895"/>
    <x v="0"/>
    <s v="6/1/2015"/>
    <d v="2015-09-01T00:00:00"/>
    <x v="4"/>
  </r>
  <r>
    <n v="4073"/>
    <x v="0"/>
    <s v="9/30/2014"/>
    <d v="2014-09-01T00:00:00"/>
    <x v="4"/>
  </r>
  <r>
    <n v="3316"/>
    <x v="0"/>
    <s v="7/29/2016"/>
    <d v="2016-09-01T00:00:00"/>
    <x v="3"/>
  </r>
  <r>
    <n v="4045"/>
    <x v="0"/>
    <s v="11/6/2014"/>
    <d v="2014-09-01T00:00:00"/>
    <x v="4"/>
  </r>
  <r>
    <n v="1294"/>
    <x v="0"/>
    <s v="8/13/2018"/>
    <d v="2018-09-01T00:00:00"/>
    <x v="0"/>
  </r>
  <r>
    <n v="1360"/>
    <x v="0"/>
    <s v="5/2/2018"/>
    <d v="2018-09-01T00:00:00"/>
    <x v="0"/>
  </r>
  <r>
    <n v="1377"/>
    <x v="0"/>
    <s v="10/21/2017"/>
    <d v="2017-09-01T00:00:00"/>
    <x v="0"/>
  </r>
  <r>
    <n v="3000"/>
    <x v="0"/>
    <s v="11/27/2016"/>
    <d v="2016-09-01T00:00:00"/>
    <x v="2"/>
  </r>
  <r>
    <n v="3063"/>
    <x v="0"/>
    <s v="10/1/2016"/>
    <d v="2016-09-01T00:00:00"/>
    <x v="2"/>
  </r>
  <r>
    <n v="3897"/>
    <x v="0"/>
    <s v="5/31/2015"/>
    <d v="2015-09-01T00:00:00"/>
    <x v="4"/>
  </r>
  <r>
    <n v="3949"/>
    <x v="0"/>
    <s v="4/18/2019"/>
    <d v="2019-09-01T00:00:00"/>
    <x v="1"/>
  </r>
  <r>
    <n v="4254"/>
    <x v="0"/>
    <s v="6/21/2019"/>
    <d v="2019-09-01T00:00:00"/>
    <x v="1"/>
  </r>
  <r>
    <n v="4577"/>
    <x v="0"/>
    <s v="4/15/2019"/>
    <d v="2019-09-01T00:00:00"/>
    <x v="1"/>
  </r>
  <r>
    <n v="4934"/>
    <x v="0"/>
    <s v="5/27/2020"/>
    <d v="2020-09-01T00:00:00"/>
    <x v="6"/>
  </r>
  <r>
    <n v="5025"/>
    <x v="0"/>
    <s v="8/6/2020"/>
    <d v="2020-09-01T00:00:00"/>
    <x v="6"/>
  </r>
  <r>
    <n v="5958"/>
    <x v="0"/>
    <s v="4/19/2021"/>
    <d v="2021-09-01T00:00:00"/>
    <x v="7"/>
  </r>
  <r>
    <n v="6871"/>
    <x v="0"/>
    <s v="2/9/2022"/>
    <d v="2022-09-01T00:00:00"/>
    <x v="8"/>
  </r>
  <r>
    <n v="7914"/>
    <x v="0"/>
    <s v="1/13/2023"/>
    <d v="2023-09-01T00:00:00"/>
    <x v="9"/>
  </r>
  <r>
    <n v="3003"/>
    <x v="0"/>
    <s v="11/1/2016"/>
    <d v="2016-09-01T00:00:00"/>
    <x v="2"/>
  </r>
  <r>
    <n v="3537"/>
    <x v="0"/>
    <s v="4/25/2016"/>
    <d v="2016-09-01T00:00:00"/>
    <x v="3"/>
  </r>
  <r>
    <n v="4069"/>
    <x v="0"/>
    <s v="10/20/2014"/>
    <d v="2014-09-01T00:00:00"/>
    <x v="4"/>
  </r>
  <r>
    <n v="1445"/>
    <x v="0"/>
    <s v="1/31/2018"/>
    <d v="2018-09-01T00:00:00"/>
    <x v="0"/>
  </r>
  <r>
    <n v="4048"/>
    <x v="0"/>
    <s v="11/2/2014"/>
    <d v="2014-09-01T00:00:00"/>
    <x v="4"/>
  </r>
  <r>
    <n v="2015"/>
    <x v="0"/>
    <s v="8/18/2017"/>
    <d v="2017-09-01T00:00:00"/>
    <x v="2"/>
  </r>
  <r>
    <n v="4204"/>
    <x v="0"/>
    <s v="6/3/2014"/>
    <d v="2014-09-01T00:00:00"/>
    <x v="5"/>
  </r>
  <r>
    <n v="2525"/>
    <x v="0"/>
    <s v="1/28/2017"/>
    <d v="2017-09-01T00:00:00"/>
    <x v="2"/>
  </r>
  <r>
    <n v="3005"/>
    <x v="0"/>
    <s v="10/31/2016"/>
    <d v="2016-09-01T00:00:00"/>
    <x v="2"/>
  </r>
  <r>
    <n v="3317"/>
    <x v="0"/>
    <s v="7/14/2016"/>
    <d v="2016-09-01T00:00:00"/>
    <x v="3"/>
  </r>
  <r>
    <n v="4132"/>
    <x v="0"/>
    <s v="7/6/2014"/>
    <d v="2014-09-01T00:00:00"/>
    <x v="5"/>
  </r>
  <r>
    <n v="3620"/>
    <x v="0"/>
    <s v="1/5/2016"/>
    <d v="2016-09-01T00:00:00"/>
    <x v="3"/>
  </r>
  <r>
    <n v="4154"/>
    <x v="0"/>
    <s v="6/1/2014"/>
    <d v="2014-09-01T00:00:00"/>
    <x v="5"/>
  </r>
  <r>
    <n v="6999"/>
    <x v="0"/>
    <s v="3/16/2022"/>
    <d v="2022-09-01T00:00:00"/>
    <x v="8"/>
  </r>
  <r>
    <n v="3257"/>
    <x v="0"/>
    <s v="12/18/2018"/>
    <d v="2018-09-01T00:00:00"/>
    <x v="1"/>
  </r>
  <r>
    <n v="3978"/>
    <x v="0"/>
    <s v="2/28/2015"/>
    <d v="2015-09-01T00:00:00"/>
    <x v="4"/>
  </r>
  <r>
    <n v="2551"/>
    <x v="0"/>
    <s v="1/1/2017"/>
    <d v="2017-09-01T00:00:00"/>
    <x v="2"/>
  </r>
  <r>
    <n v="3947"/>
    <x v="0"/>
    <s v="4/10/2015"/>
    <d v="2015-09-01T00:00:00"/>
    <x v="4"/>
  </r>
  <r>
    <n v="4242"/>
    <x v="0"/>
    <s v="6/21/2019"/>
    <d v="2019-09-01T00:00:00"/>
    <x v="1"/>
  </r>
  <r>
    <n v="4912"/>
    <x v="0"/>
    <s v="3/24/2020"/>
    <d v="2020-09-01T00:00:00"/>
    <x v="6"/>
  </r>
  <r>
    <n v="3622"/>
    <x v="0"/>
    <s v="1/1/2016"/>
    <d v="2016-09-01T00:00:00"/>
    <x v="3"/>
  </r>
  <r>
    <n v="2437"/>
    <x v="0"/>
    <s v="3/15/2017"/>
    <d v="2017-09-01T00:00:00"/>
    <x v="2"/>
  </r>
  <r>
    <n v="1309"/>
    <x v="0"/>
    <s v="6/10/2018"/>
    <d v="2018-09-01T00:00:00"/>
    <x v="0"/>
  </r>
  <r>
    <n v="2341"/>
    <x v="0"/>
    <s v="4/28/2017"/>
    <d v="2017-09-01T00:00:00"/>
    <x v="2"/>
  </r>
  <r>
    <n v="5641"/>
    <x v="0"/>
    <s v="11/16/2020"/>
    <d v="2020-09-01T00:00:00"/>
    <x v="7"/>
  </r>
  <r>
    <n v="7155"/>
    <x v="0"/>
    <s v="6/7/2022"/>
    <d v="2022-09-01T00:00:00"/>
    <x v="8"/>
  </r>
  <r>
    <n v="2338"/>
    <x v="0"/>
    <s v="4/30/2017"/>
    <d v="2017-09-01T00:00:00"/>
    <x v="2"/>
  </r>
  <r>
    <n v="1391"/>
    <x v="0"/>
    <s v="4/10/2018"/>
    <d v="2018-09-01T00:00:00"/>
    <x v="0"/>
  </r>
  <r>
    <n v="3254"/>
    <x v="0"/>
    <s v="12/18/2018"/>
    <d v="2018-09-01T00:00:00"/>
    <x v="1"/>
  </r>
  <r>
    <n v="4881"/>
    <x v="0"/>
    <s v="4/9/2020"/>
    <d v="2020-09-01T00:00:00"/>
    <x v="6"/>
  </r>
  <r>
    <n v="8125"/>
    <x v="0"/>
    <s v="3/28/2023"/>
    <d v="2023-09-01T00:00:00"/>
    <x v="9"/>
  </r>
  <r>
    <n v="1310"/>
    <x v="1"/>
    <s v="6/4/2018"/>
    <d v="2018-09-01T00:00:00"/>
    <x v="0"/>
  </r>
  <r>
    <n v="2203"/>
    <x v="1"/>
    <s v="6/3/2017"/>
    <d v="2017-09-01T00:00:00"/>
    <x v="2"/>
  </r>
  <r>
    <n v="2306"/>
    <x v="1"/>
    <s v="5/18/2017"/>
    <d v="2017-09-01T00:00:00"/>
    <x v="2"/>
  </r>
  <r>
    <n v="2408"/>
    <x v="1"/>
    <s v="11/12/2018"/>
    <d v="2018-09-01T00:00:00"/>
    <x v="1"/>
  </r>
  <r>
    <n v="3534"/>
    <x v="1"/>
    <s v="4/28/2016"/>
    <d v="2016-09-01T00:00:00"/>
    <x v="3"/>
  </r>
  <r>
    <n v="4359"/>
    <x v="1"/>
    <s v="8/23/2019"/>
    <d v="2019-09-01T00:00:00"/>
    <x v="1"/>
  </r>
  <r>
    <n v="4460"/>
    <x v="1"/>
    <s v="5/8/2014"/>
    <d v="2014-09-01T00:00:00"/>
    <x v="5"/>
  </r>
  <r>
    <n v="8226"/>
    <x v="1"/>
    <s v="4/20/2023"/>
    <d v="2023-09-01T00:00:00"/>
    <x v="9"/>
  </r>
  <r>
    <n v="3978"/>
    <x v="1"/>
    <s v="2/28/2015"/>
    <d v="2015-09-01T00:00:00"/>
    <x v="4"/>
  </r>
  <r>
    <n v="2551"/>
    <x v="1"/>
    <s v="1/1/2017"/>
    <d v="2017-09-01T00:00:00"/>
    <x v="2"/>
  </r>
  <r>
    <n v="3947"/>
    <x v="1"/>
    <s v="4/10/2015"/>
    <d v="2015-09-01T00:00:00"/>
    <x v="4"/>
  </r>
  <r>
    <n v="4242"/>
    <x v="1"/>
    <s v="6/21/2019"/>
    <d v="2019-09-01T00:00:00"/>
    <x v="1"/>
  </r>
  <r>
    <n v="4912"/>
    <x v="1"/>
    <s v="3/24/2020"/>
    <d v="2020-09-01T00:00:00"/>
    <x v="6"/>
  </r>
  <r>
    <n v="3622"/>
    <x v="1"/>
    <s v="1/1/2016"/>
    <d v="2016-09-01T00:00:00"/>
    <x v="3"/>
  </r>
  <r>
    <n v="3329"/>
    <x v="1"/>
    <s v="7/13/2016"/>
    <d v="2016-09-01T00:00:00"/>
    <x v="3"/>
  </r>
  <r>
    <n v="3426"/>
    <x v="1"/>
    <s v="5/20/2016"/>
    <d v="2016-09-01T00:00:00"/>
    <x v="3"/>
  </r>
  <r>
    <n v="3332"/>
    <x v="1"/>
    <s v="7/12/2016"/>
    <d v="2016-09-01T00:00:00"/>
    <x v="3"/>
  </r>
  <r>
    <n v="3311"/>
    <x v="1"/>
    <s v="8/27/2016"/>
    <d v="2016-09-01T00:00:00"/>
    <x v="3"/>
  </r>
  <r>
    <n v="3838"/>
    <x v="1"/>
    <s v="3/25/2019"/>
    <d v="2019-09-01T00:00:00"/>
    <x v="1"/>
  </r>
  <r>
    <n v="7881"/>
    <x v="1"/>
    <s v="1/10/2023"/>
    <d v="2023-09-01T00:00:00"/>
    <x v="9"/>
  </r>
  <r>
    <n v="3278"/>
    <x v="1"/>
    <s v="8/31/2016"/>
    <d v="2016-09-01T00:00:00"/>
    <x v="3"/>
  </r>
  <r>
    <n v="3059"/>
    <x v="1"/>
    <s v="10/14/2016"/>
    <d v="2016-09-01T00:00:00"/>
    <x v="2"/>
  </r>
  <r>
    <n v="2437"/>
    <x v="1"/>
    <s v="3/15/2017"/>
    <d v="2017-09-01T00:00:00"/>
    <x v="2"/>
  </r>
  <r>
    <n v="1309"/>
    <x v="1"/>
    <s v="6/10/2018"/>
    <d v="2018-09-01T00:00:00"/>
    <x v="0"/>
  </r>
  <r>
    <n v="2341"/>
    <x v="1"/>
    <s v="4/28/2017"/>
    <d v="2017-09-01T00:00:00"/>
    <x v="2"/>
  </r>
  <r>
    <n v="5641"/>
    <x v="1"/>
    <s v="11/16/2020"/>
    <d v="2020-09-01T00:00:00"/>
    <x v="7"/>
  </r>
  <r>
    <n v="7155"/>
    <x v="1"/>
    <s v="6/7/2022"/>
    <d v="2022-09-01T00:00:00"/>
    <x v="8"/>
  </r>
  <r>
    <n v="2338"/>
    <x v="1"/>
    <s v="4/30/2017"/>
    <d v="2017-09-01T00:00:00"/>
    <x v="2"/>
  </r>
  <r>
    <n v="1391"/>
    <x v="1"/>
    <s v="4/10/2018"/>
    <d v="2018-09-01T00:00:00"/>
    <x v="0"/>
  </r>
  <r>
    <n v="1626"/>
    <x v="1"/>
    <s v="6/1/2018"/>
    <d v="2018-09-01T00:00:00"/>
    <x v="0"/>
  </r>
  <r>
    <n v="3254"/>
    <x v="1"/>
    <s v="12/18/2018"/>
    <d v="2018-09-01T00:00:00"/>
    <x v="1"/>
  </r>
  <r>
    <n v="4881"/>
    <x v="1"/>
    <s v="4/9/2020"/>
    <d v="2020-09-01T00:00:00"/>
    <x v="6"/>
  </r>
  <r>
    <n v="3507"/>
    <x v="1"/>
    <s v="2/7/2019"/>
    <d v="2019-09-01T00:00:00"/>
    <x v="1"/>
  </r>
  <r>
    <n v="3823"/>
    <x v="1"/>
    <s v="3/13/2019"/>
    <d v="2019-09-01T00:00:00"/>
    <x v="1"/>
  </r>
  <r>
    <n v="3859"/>
    <x v="1"/>
    <s v="3/29/2019"/>
    <d v="2019-09-01T00:00:00"/>
    <x v="1"/>
  </r>
  <r>
    <n v="4769"/>
    <x v="1"/>
    <s v="1/22/2020"/>
    <d v="2020-09-01T00:00:00"/>
    <x v="6"/>
  </r>
  <r>
    <n v="4863"/>
    <x v="1"/>
    <s v="2/6/2020"/>
    <d v="2020-09-01T00:00:00"/>
    <x v="6"/>
  </r>
  <r>
    <n v="4829"/>
    <x v="1"/>
    <s v="2/18/2020"/>
    <d v="2020-09-01T00:00:00"/>
    <x v="6"/>
  </r>
  <r>
    <n v="4493"/>
    <x v="1"/>
    <s v="10/10/2019"/>
    <d v="2019-09-01T00:00:00"/>
    <x v="6"/>
  </r>
  <r>
    <n v="4579"/>
    <x v="1"/>
    <s v="9/30/2019"/>
    <d v="2019-09-01T00:00:00"/>
    <x v="6"/>
  </r>
  <r>
    <n v="7610"/>
    <x v="1"/>
    <s v="10/12/2022"/>
    <d v="2022-09-01T00:00:00"/>
    <x v="9"/>
  </r>
  <r>
    <n v="8223"/>
    <x v="1"/>
    <s v="4/20/2023"/>
    <d v="2023-09-01T00:00:00"/>
    <x v="9"/>
  </r>
  <r>
    <n v="6078"/>
    <x v="1"/>
    <s v="5/17/2021"/>
    <d v="2021-09-01T00:00:00"/>
    <x v="7"/>
  </r>
  <r>
    <n v="6267"/>
    <x v="1"/>
    <s v="8/17/2021"/>
    <d v="2021-09-01T00:00:00"/>
    <x v="7"/>
  </r>
  <r>
    <n v="6264"/>
    <x v="1"/>
    <s v="8/16/2021"/>
    <d v="2021-09-01T00:00:00"/>
    <x v="7"/>
  </r>
  <r>
    <n v="6919"/>
    <x v="1"/>
    <s v="2/23/2022"/>
    <d v="2022-09-01T00:00:00"/>
    <x v="8"/>
  </r>
  <r>
    <n v="8125"/>
    <x v="1"/>
    <s v="3/28/2023"/>
    <d v="2023-09-01T00:00:00"/>
    <x v="9"/>
  </r>
  <r>
    <n v="1613"/>
    <x v="2"/>
    <s v="8/6/2018"/>
    <d v="2018-09-01T00:00:00"/>
    <x v="0"/>
  </r>
  <r>
    <n v="2439"/>
    <x v="2"/>
    <s v="3/13/2017"/>
    <d v="2017-09-01T00:00:00"/>
    <x v="2"/>
  </r>
  <r>
    <n v="3308"/>
    <x v="2"/>
    <s v="8/28/2016"/>
    <d v="2016-09-01T00:00:00"/>
    <x v="3"/>
  </r>
  <r>
    <n v="3784"/>
    <x v="2"/>
    <s v="8/31/2015"/>
    <d v="2015-09-01T00:00:00"/>
    <x v="4"/>
  </r>
  <r>
    <n v="3976"/>
    <x v="2"/>
    <s v="3/1/2015"/>
    <d v="2015-09-01T00:00:00"/>
    <x v="4"/>
  </r>
  <r>
    <n v="4406"/>
    <x v="2"/>
    <s v="6/1/2019"/>
    <d v="2019-09-01T00:00:00"/>
    <x v="1"/>
  </r>
  <r>
    <n v="5535"/>
    <x v="2"/>
    <s v="10/30/2020"/>
    <d v="2020-09-01T00:00:00"/>
    <x v="7"/>
  </r>
  <r>
    <n v="1294"/>
    <x v="2"/>
    <s v="8/13/2018"/>
    <d v="2018-09-01T00:00:00"/>
    <x v="0"/>
  </r>
  <r>
    <n v="1360"/>
    <x v="2"/>
    <s v="5/2/2018"/>
    <d v="2018-09-01T00:00:00"/>
    <x v="0"/>
  </r>
  <r>
    <n v="1377"/>
    <x v="2"/>
    <s v="10/21/2017"/>
    <d v="2017-09-01T00:00:00"/>
    <x v="0"/>
  </r>
  <r>
    <n v="3000"/>
    <x v="2"/>
    <s v="11/27/2016"/>
    <d v="2016-09-01T00:00:00"/>
    <x v="2"/>
  </r>
  <r>
    <n v="3063"/>
    <x v="2"/>
    <s v="10/1/2016"/>
    <d v="2016-09-01T00:00:00"/>
    <x v="2"/>
  </r>
  <r>
    <n v="3897"/>
    <x v="2"/>
    <s v="5/31/2015"/>
    <d v="2015-09-01T00:00:00"/>
    <x v="4"/>
  </r>
  <r>
    <n v="3949"/>
    <x v="2"/>
    <s v="4/18/2019"/>
    <d v="2019-09-01T00:00:00"/>
    <x v="1"/>
  </r>
  <r>
    <n v="4254"/>
    <x v="2"/>
    <s v="6/21/2019"/>
    <d v="2019-09-01T00:00:00"/>
    <x v="1"/>
  </r>
  <r>
    <n v="4577"/>
    <x v="2"/>
    <s v="4/15/2019"/>
    <d v="2019-09-01T00:00:00"/>
    <x v="1"/>
  </r>
  <r>
    <n v="4934"/>
    <x v="2"/>
    <s v="5/27/2020"/>
    <d v="2020-09-01T00:00:00"/>
    <x v="6"/>
  </r>
  <r>
    <n v="5025"/>
    <x v="2"/>
    <s v="8/6/2020"/>
    <d v="2020-09-01T00:00:00"/>
    <x v="6"/>
  </r>
  <r>
    <n v="5958"/>
    <x v="2"/>
    <s v="4/19/2021"/>
    <d v="2021-09-01T00:00:00"/>
    <x v="7"/>
  </r>
  <r>
    <n v="6871"/>
    <x v="2"/>
    <s v="2/9/2022"/>
    <d v="2022-09-01T00:00:00"/>
    <x v="8"/>
  </r>
  <r>
    <n v="7914"/>
    <x v="2"/>
    <s v="1/13/2023"/>
    <d v="2023-09-01T00:00:00"/>
    <x v="9"/>
  </r>
  <r>
    <n v="3003"/>
    <x v="2"/>
    <s v="11/1/2016"/>
    <d v="2016-09-01T00:00:00"/>
    <x v="2"/>
  </r>
  <r>
    <n v="3537"/>
    <x v="2"/>
    <s v="4/25/2016"/>
    <d v="2016-09-01T00:00:00"/>
    <x v="3"/>
  </r>
  <r>
    <n v="4069"/>
    <x v="2"/>
    <s v="10/20/2014"/>
    <d v="2014-09-01T00:00:00"/>
    <x v="4"/>
  </r>
  <r>
    <n v="1445"/>
    <x v="2"/>
    <s v="1/31/2018"/>
    <d v="2018-09-01T00:00:00"/>
    <x v="0"/>
  </r>
  <r>
    <n v="4048"/>
    <x v="2"/>
    <s v="11/2/2014"/>
    <d v="2014-09-01T00:00:00"/>
    <x v="4"/>
  </r>
  <r>
    <n v="2015"/>
    <x v="2"/>
    <s v="8/18/2017"/>
    <d v="2017-09-01T00:00:00"/>
    <x v="2"/>
  </r>
  <r>
    <n v="4204"/>
    <x v="2"/>
    <s v="6/3/2014"/>
    <d v="2014-09-01T00:00:00"/>
    <x v="5"/>
  </r>
  <r>
    <n v="2525"/>
    <x v="2"/>
    <s v="1/28/2017"/>
    <d v="2017-09-01T00:00:00"/>
    <x v="2"/>
  </r>
  <r>
    <n v="3005"/>
    <x v="2"/>
    <s v="10/31/2016"/>
    <d v="2016-09-01T00:00:00"/>
    <x v="2"/>
  </r>
  <r>
    <n v="3317"/>
    <x v="2"/>
    <s v="7/14/2016"/>
    <d v="2016-09-01T00:00:00"/>
    <x v="3"/>
  </r>
  <r>
    <n v="4132"/>
    <x v="2"/>
    <s v="7/6/2014"/>
    <d v="2014-09-01T00:00:00"/>
    <x v="5"/>
  </r>
  <r>
    <n v="3620"/>
    <x v="2"/>
    <s v="1/5/2016"/>
    <d v="2016-09-01T00:00:00"/>
    <x v="3"/>
  </r>
  <r>
    <n v="4154"/>
    <x v="2"/>
    <s v="6/1/2014"/>
    <d v="2014-09-01T00:00:00"/>
    <x v="5"/>
  </r>
  <r>
    <n v="6999"/>
    <x v="2"/>
    <s v="3/16/2022"/>
    <d v="2022-09-01T00:00:00"/>
    <x v="8"/>
  </r>
  <r>
    <n v="3257"/>
    <x v="2"/>
    <s v="12/18/2018"/>
    <d v="2018-09-01T00:00:00"/>
    <x v="1"/>
  </r>
  <r>
    <n v="2032"/>
    <x v="2"/>
    <s v="7/31/2017"/>
    <d v="2017-09-01T00:00:00"/>
    <x v="2"/>
  </r>
  <r>
    <n v="2515"/>
    <x v="2"/>
    <s v="2/25/2017"/>
    <d v="2017-09-01T00:00:00"/>
    <x v="2"/>
  </r>
  <r>
    <n v="3343"/>
    <x v="2"/>
    <s v="6/1/2016"/>
    <d v="2016-09-01T00:00:00"/>
    <x v="3"/>
  </r>
  <r>
    <n v="3551"/>
    <x v="2"/>
    <s v="3/29/2016"/>
    <d v="2016-09-01T00:00:00"/>
    <x v="3"/>
  </r>
  <r>
    <n v="3642"/>
    <x v="2"/>
    <s v="11/22/2015"/>
    <d v="2015-09-01T00:00:00"/>
    <x v="3"/>
  </r>
  <r>
    <n v="3735"/>
    <x v="2"/>
    <s v="10/31/2015"/>
    <d v="2015-09-01T00:00:00"/>
    <x v="3"/>
  </r>
  <r>
    <n v="3743"/>
    <x v="2"/>
    <s v="10/5/2015"/>
    <d v="2015-09-01T00:00:00"/>
    <x v="3"/>
  </r>
  <r>
    <n v="3760"/>
    <x v="2"/>
    <s v="9/12/2015"/>
    <d v="2015-09-01T00:00:00"/>
    <x v="3"/>
  </r>
  <r>
    <n v="3799"/>
    <x v="2"/>
    <s v="7/12/2015"/>
    <d v="2015-09-01T00:00:00"/>
    <x v="4"/>
  </r>
  <r>
    <n v="3921"/>
    <x v="2"/>
    <s v="4/30/2015"/>
    <d v="2015-09-01T00:00:00"/>
    <x v="4"/>
  </r>
  <r>
    <n v="3951"/>
    <x v="2"/>
    <s v="1/31/2019"/>
    <d v="2019-09-01T00:00:00"/>
    <x v="1"/>
  </r>
  <r>
    <n v="4010"/>
    <x v="2"/>
    <s v="2/10/2015"/>
    <d v="2015-09-01T00:00:00"/>
    <x v="4"/>
  </r>
  <r>
    <n v="7705"/>
    <x v="2"/>
    <s v="11/14/2022"/>
    <d v="2022-09-01T00:00:00"/>
    <x v="9"/>
  </r>
  <r>
    <n v="3280"/>
    <x v="2"/>
    <s v="8/30/2016"/>
    <d v="2016-09-01T00:00:00"/>
    <x v="3"/>
  </r>
  <r>
    <n v="3301"/>
    <x v="2"/>
    <s v="8/29/2016"/>
    <d v="2016-09-01T00:00:00"/>
    <x v="3"/>
  </r>
  <r>
    <n v="3452"/>
    <x v="2"/>
    <s v="5/10/2016"/>
    <d v="2016-09-01T00:00:00"/>
    <x v="3"/>
  </r>
  <r>
    <n v="4816"/>
    <x v="2"/>
    <s v="1/10/2020"/>
    <d v="2020-09-01T00:00:00"/>
    <x v="6"/>
  </r>
  <r>
    <n v="7757"/>
    <x v="2"/>
    <s v="12/8/2022"/>
    <d v="2022-09-01T00:00:00"/>
    <x v="9"/>
  </r>
  <r>
    <n v="7954"/>
    <x v="2"/>
    <s v="1/23/2023"/>
    <d v="2023-09-01T00:00:00"/>
    <x v="9"/>
  </r>
  <r>
    <n v="3330"/>
    <x v="2"/>
    <s v="7/13/2016"/>
    <d v="2016-09-01T00:00:00"/>
    <x v="3"/>
  </r>
  <r>
    <n v="3339"/>
    <x v="2"/>
    <s v="6/24/2016"/>
    <d v="2016-09-01T00:00:00"/>
    <x v="3"/>
  </r>
  <r>
    <n v="3428"/>
    <x v="2"/>
    <s v="5/19/2016"/>
    <d v="2016-09-01T00:00:00"/>
    <x v="3"/>
  </r>
  <r>
    <n v="3458"/>
    <x v="2"/>
    <s v="5/6/2016"/>
    <d v="2016-09-01T00:00:00"/>
    <x v="3"/>
  </r>
  <r>
    <n v="3529"/>
    <x v="2"/>
    <s v="4/30/2016"/>
    <d v="2016-09-01T00:00:00"/>
    <x v="3"/>
  </r>
  <r>
    <n v="3563"/>
    <x v="2"/>
    <s v="2/11/2016"/>
    <d v="2016-09-01T00:00:00"/>
    <x v="3"/>
  </r>
  <r>
    <n v="3639"/>
    <x v="2"/>
    <s v="11/25/2015"/>
    <d v="2015-09-01T00:00:00"/>
    <x v="3"/>
  </r>
  <r>
    <n v="3659"/>
    <x v="2"/>
    <s v="11/11/2015"/>
    <d v="2015-09-01T00:00:00"/>
    <x v="3"/>
  </r>
  <r>
    <n v="3663"/>
    <x v="2"/>
    <s v="11/3/2015"/>
    <d v="2015-09-01T00:00:00"/>
    <x v="3"/>
  </r>
  <r>
    <n v="3746"/>
    <x v="2"/>
    <s v="9/30/2015"/>
    <d v="2015-09-01T00:00:00"/>
    <x v="3"/>
  </r>
  <r>
    <n v="3755"/>
    <x v="2"/>
    <s v="11/25/2015"/>
    <d v="2015-09-01T00:00:00"/>
    <x v="3"/>
  </r>
  <r>
    <n v="3758"/>
    <x v="2"/>
    <s v="9/13/2015"/>
    <d v="2015-09-01T00:00:00"/>
    <x v="3"/>
  </r>
  <r>
    <n v="3803"/>
    <x v="2"/>
    <s v="6/30/2015"/>
    <d v="2015-09-01T00:00:00"/>
    <x v="4"/>
  </r>
  <r>
    <n v="3883"/>
    <x v="2"/>
    <s v="6/15/2015"/>
    <d v="2015-09-01T00:00:00"/>
    <x v="4"/>
  </r>
  <r>
    <n v="3899"/>
    <x v="2"/>
    <s v="5/15/2015"/>
    <d v="2015-09-01T00:00:00"/>
    <x v="4"/>
  </r>
  <r>
    <n v="3970"/>
    <x v="2"/>
    <s v="3/31/2015"/>
    <d v="2015-09-01T00:00:00"/>
    <x v="4"/>
  </r>
  <r>
    <n v="4016"/>
    <x v="2"/>
    <s v="1/25/2015"/>
    <d v="2015-09-01T00:00:00"/>
    <x v="4"/>
  </r>
  <r>
    <n v="4075"/>
    <x v="2"/>
    <s v="9/30/2014"/>
    <d v="2014-09-01T00:00:00"/>
    <x v="4"/>
  </r>
  <r>
    <n v="4125"/>
    <x v="2"/>
    <s v="7/29/2014"/>
    <d v="2014-09-01T00:00:00"/>
    <x v="5"/>
  </r>
  <r>
    <n v="4155"/>
    <x v="2"/>
    <s v="5/31/2014"/>
    <d v="2014-09-01T00:00:00"/>
    <x v="5"/>
  </r>
  <r>
    <n v="4357"/>
    <x v="2"/>
    <s v="7/18/2019"/>
    <d v="2019-09-01T00:00:00"/>
    <x v="1"/>
  </r>
  <r>
    <n v="4435"/>
    <x v="2"/>
    <s v="8/2/2019"/>
    <d v="2019-09-01T00:00:00"/>
    <x v="1"/>
  </r>
  <r>
    <n v="4458"/>
    <x v="2"/>
    <s v="6/3/2014"/>
    <d v="2014-09-01T00:00:00"/>
    <x v="5"/>
  </r>
  <r>
    <n v="4592"/>
    <x v="2"/>
    <s v="10/8/2019"/>
    <d v="2019-09-01T00:00:00"/>
    <x v="6"/>
  </r>
  <r>
    <n v="1460"/>
    <x v="2"/>
    <s v="12/6/2017"/>
    <d v="2017-09-01T00:00:00"/>
    <x v="0"/>
  </r>
  <r>
    <n v="2344"/>
    <x v="2"/>
    <s v="3/17/2017"/>
    <d v="2017-09-01T00:00:00"/>
    <x v="2"/>
  </r>
  <r>
    <n v="3212"/>
    <x v="2"/>
    <s v="9/14/2016"/>
    <d v="2016-09-01T00:00:00"/>
    <x v="2"/>
  </r>
  <r>
    <n v="4036"/>
    <x v="2"/>
    <s v="11/16/2014"/>
    <d v="2014-09-01T00:00:00"/>
    <x v="4"/>
  </r>
  <r>
    <n v="4141"/>
    <x v="2"/>
    <s v="5/28/2019"/>
    <d v="2019-09-01T00:00:00"/>
    <x v="1"/>
  </r>
  <r>
    <n v="4093"/>
    <x v="2"/>
    <s v="8/1/2014"/>
    <d v="2014-09-01T00:00:00"/>
    <x v="5"/>
  </r>
  <r>
    <n v="4202"/>
    <x v="2"/>
    <s v="5/25/2014"/>
    <d v="2014-09-01T00:00:00"/>
    <x v="5"/>
  </r>
  <r>
    <n v="4058"/>
    <x v="2"/>
    <s v="10/27/2014"/>
    <d v="2014-09-01T00:00:00"/>
    <x v="4"/>
  </r>
  <r>
    <n v="2034"/>
    <x v="2"/>
    <s v="7/30/2017"/>
    <d v="2017-09-01T00:00:00"/>
    <x v="2"/>
  </r>
  <r>
    <n v="4956"/>
    <x v="2"/>
    <s v="6/12/2020"/>
    <d v="2020-09-01T00:00:00"/>
    <x v="6"/>
  </r>
  <r>
    <n v="5129"/>
    <x v="2"/>
    <s v="8/31/2020"/>
    <d v="2020-09-01T00:00:00"/>
    <x v="6"/>
  </r>
  <r>
    <n v="6435"/>
    <x v="2"/>
    <s v="10/20/2021"/>
    <d v="2021-09-01T00:00:00"/>
    <x v="8"/>
  </r>
  <r>
    <n v="7205"/>
    <x v="2"/>
    <s v="6/21/2022"/>
    <d v="2022-09-01T00:00:00"/>
    <x v="8"/>
  </r>
  <r>
    <n v="3421"/>
    <x v="2"/>
    <s v="1/22/2019"/>
    <d v="2019-09-01T00:00:00"/>
    <x v="1"/>
  </r>
  <r>
    <n v="4091"/>
    <x v="2"/>
    <s v="8/17/2014"/>
    <d v="2014-09-01T00:00:00"/>
    <x v="5"/>
  </r>
  <r>
    <n v="4942"/>
    <x v="2"/>
    <s v="5/28/2020"/>
    <d v="2020-09-01T00:00:00"/>
    <x v="6"/>
  </r>
  <r>
    <n v="5114"/>
    <x v="2"/>
    <s v="8/14/2020"/>
    <d v="2020-09-01T00:00:00"/>
    <x v="6"/>
  </r>
  <r>
    <n v="6436"/>
    <x v="2"/>
    <s v="10/20/2021"/>
    <d v="2021-09-01T00:00:00"/>
    <x v="8"/>
  </r>
  <r>
    <n v="7357"/>
    <x v="2"/>
    <s v="9/1/2022"/>
    <d v="2022-09-01T00:00:00"/>
    <x v="9"/>
  </r>
  <r>
    <n v="7355"/>
    <x v="2"/>
    <s v="9/16/2022"/>
    <d v="2022-09-01T00:00:00"/>
    <x v="9"/>
  </r>
  <r>
    <n v="3817"/>
    <x v="2"/>
    <s v="3/10/2019"/>
    <d v="2019-09-01T00:00:00"/>
    <x v="1"/>
  </r>
  <r>
    <n v="6073"/>
    <x v="2"/>
    <s v="5/17/2021"/>
    <d v="2021-09-01T00:00:00"/>
    <x v="7"/>
  </r>
  <r>
    <n v="7358"/>
    <x v="2"/>
    <s v="9/12/2022"/>
    <d v="2022-09-01T00:00:00"/>
    <x v="9"/>
  </r>
  <r>
    <n v="3617"/>
    <x v="2"/>
    <s v="1/10/2016"/>
    <d v="2016-09-01T00:00:00"/>
    <x v="3"/>
  </r>
  <r>
    <n v="7797"/>
    <x v="2"/>
    <s v="1/6/2023"/>
    <d v="2023-09-01T00:00:00"/>
    <x v="9"/>
  </r>
  <r>
    <n v="3622"/>
    <x v="2"/>
    <s v="1/1/2016"/>
    <d v="2016-09-01T00:00:00"/>
    <x v="3"/>
  </r>
  <r>
    <n v="3329"/>
    <x v="2"/>
    <s v="7/13/2016"/>
    <d v="2016-09-01T00:00:00"/>
    <x v="3"/>
  </r>
  <r>
    <n v="3426"/>
    <x v="2"/>
    <s v="5/20/2016"/>
    <d v="2016-09-01T00:00:00"/>
    <x v="3"/>
  </r>
  <r>
    <n v="3311"/>
    <x v="2"/>
    <s v="8/27/2016"/>
    <d v="2016-09-01T00:00:00"/>
    <x v="3"/>
  </r>
  <r>
    <n v="3838"/>
    <x v="2"/>
    <s v="3/25/2019"/>
    <d v="2019-09-01T00:00:00"/>
    <x v="1"/>
  </r>
  <r>
    <n v="7881"/>
    <x v="2"/>
    <s v="1/10/2023"/>
    <d v="2023-09-01T00:00:00"/>
    <x v="9"/>
  </r>
  <r>
    <n v="1391"/>
    <x v="2"/>
    <s v="4/10/2018"/>
    <d v="2018-09-01T00:00:00"/>
    <x v="0"/>
  </r>
  <r>
    <n v="1626"/>
    <x v="2"/>
    <s v="6/1/2018"/>
    <d v="2018-09-01T00:00:00"/>
    <x v="0"/>
  </r>
  <r>
    <n v="3823"/>
    <x v="2"/>
    <s v="3/13/2019"/>
    <d v="2019-09-01T00:00:00"/>
    <x v="1"/>
  </r>
  <r>
    <n v="4863"/>
    <x v="2"/>
    <s v="2/6/2020"/>
    <d v="2020-09-01T00:00:00"/>
    <x v="6"/>
  </r>
  <r>
    <n v="4493"/>
    <x v="2"/>
    <s v="10/10/2019"/>
    <d v="2019-09-01T00:00:00"/>
    <x v="6"/>
  </r>
  <r>
    <n v="4579"/>
    <x v="2"/>
    <s v="9/30/2019"/>
    <d v="2019-09-01T00:00:00"/>
    <x v="6"/>
  </r>
  <r>
    <n v="7610"/>
    <x v="2"/>
    <s v="10/12/2022"/>
    <d v="2022-09-01T00:00:00"/>
    <x v="9"/>
  </r>
  <r>
    <n v="8223"/>
    <x v="2"/>
    <s v="4/20/2023"/>
    <d v="2023-09-01T00:00:00"/>
    <x v="9"/>
  </r>
  <r>
    <n v="6919"/>
    <x v="2"/>
    <s v="2/23/2022"/>
    <d v="2022-09-01T00:00:00"/>
    <x v="8"/>
  </r>
  <r>
    <n v="8125"/>
    <x v="2"/>
    <s v="3/28/2023"/>
    <d v="2023-09-01T00:00:00"/>
    <x v="9"/>
  </r>
  <r>
    <n v="1396"/>
    <x v="3"/>
    <s v="3/29/2018"/>
    <d v="2018-09-01T00:00:00"/>
    <x v="0"/>
  </r>
  <r>
    <n v="3609"/>
    <x v="3"/>
    <s v="1/30/2016"/>
    <d v="2016-09-01T00:00:00"/>
    <x v="3"/>
  </r>
  <r>
    <n v="4013"/>
    <x v="3"/>
    <s v="2/5/2015"/>
    <d v="2015-09-01T00:00:00"/>
    <x v="4"/>
  </r>
  <r>
    <n v="4474"/>
    <x v="3"/>
    <s v="4/27/2014"/>
    <d v="2014-09-01T00:00:00"/>
    <x v="5"/>
  </r>
  <r>
    <n v="7060"/>
    <x v="3"/>
    <s v="4/18/2022"/>
    <d v="2022-09-01T00:00:00"/>
    <x v="8"/>
  </r>
  <r>
    <n v="1935"/>
    <x v="3"/>
    <s v="10/26/2018"/>
    <d v="2018-09-01T00:00:00"/>
    <x v="1"/>
  </r>
  <r>
    <n v="3972"/>
    <x v="3"/>
    <s v="3/29/2015"/>
    <d v="2015-09-01T00:00:00"/>
    <x v="4"/>
  </r>
  <r>
    <n v="4160"/>
    <x v="3"/>
    <s v="5/29/2014"/>
    <d v="2014-09-01T00:00:00"/>
    <x v="5"/>
  </r>
  <r>
    <n v="7706"/>
    <x v="3"/>
    <s v="11/11/2022"/>
    <d v="2022-09-01T00:00:00"/>
    <x v="9"/>
  </r>
  <r>
    <n v="1615"/>
    <x v="3"/>
    <s v="8/24/2018"/>
    <d v="2018-09-01T00:00:00"/>
    <x v="0"/>
  </r>
  <r>
    <n v="4018"/>
    <x v="3"/>
    <s v="1/11/2015"/>
    <d v="2015-09-01T00:00:00"/>
    <x v="4"/>
  </r>
  <r>
    <n v="4130"/>
    <x v="3"/>
    <s v="7/10/2014"/>
    <d v="2014-09-01T00:00:00"/>
    <x v="5"/>
  </r>
  <r>
    <n v="3003"/>
    <x v="3"/>
    <s v="11/1/2016"/>
    <d v="2016-09-01T00:00:00"/>
    <x v="2"/>
  </r>
  <r>
    <n v="3537"/>
    <x v="3"/>
    <s v="4/25/2016"/>
    <d v="2016-09-01T00:00:00"/>
    <x v="3"/>
  </r>
  <r>
    <n v="4069"/>
    <x v="3"/>
    <s v="10/20/2014"/>
    <d v="2014-09-01T00:00:00"/>
    <x v="4"/>
  </r>
  <r>
    <n v="1445"/>
    <x v="3"/>
    <s v="1/31/2018"/>
    <d v="2018-09-01T00:00:00"/>
    <x v="0"/>
  </r>
  <r>
    <n v="4048"/>
    <x v="3"/>
    <s v="11/2/2014"/>
    <d v="2014-09-01T00:00:00"/>
    <x v="4"/>
  </r>
  <r>
    <n v="2015"/>
    <x v="3"/>
    <s v="8/18/2017"/>
    <d v="2017-09-01T00:00:00"/>
    <x v="2"/>
  </r>
  <r>
    <n v="4204"/>
    <x v="3"/>
    <s v="6/3/2014"/>
    <d v="2014-09-01T00:00:00"/>
    <x v="5"/>
  </r>
  <r>
    <n v="2032"/>
    <x v="3"/>
    <s v="7/31/2017"/>
    <d v="2017-09-01T00:00:00"/>
    <x v="2"/>
  </r>
  <r>
    <n v="2515"/>
    <x v="3"/>
    <s v="2/25/2017"/>
    <d v="2017-09-01T00:00:00"/>
    <x v="2"/>
  </r>
  <r>
    <n v="3343"/>
    <x v="3"/>
    <s v="6/1/2016"/>
    <d v="2016-09-01T00:00:00"/>
    <x v="3"/>
  </r>
  <r>
    <n v="3551"/>
    <x v="3"/>
    <s v="3/29/2016"/>
    <d v="2016-09-01T00:00:00"/>
    <x v="3"/>
  </r>
  <r>
    <n v="3642"/>
    <x v="3"/>
    <s v="11/22/2015"/>
    <d v="2015-09-01T00:00:00"/>
    <x v="3"/>
  </r>
  <r>
    <n v="3735"/>
    <x v="3"/>
    <s v="10/31/2015"/>
    <d v="2015-09-01T00:00:00"/>
    <x v="3"/>
  </r>
  <r>
    <n v="3743"/>
    <x v="3"/>
    <s v="10/5/2015"/>
    <d v="2015-09-01T00:00:00"/>
    <x v="3"/>
  </r>
  <r>
    <n v="3760"/>
    <x v="3"/>
    <s v="9/12/2015"/>
    <d v="2015-09-01T00:00:00"/>
    <x v="3"/>
  </r>
  <r>
    <n v="3799"/>
    <x v="3"/>
    <s v="7/12/2015"/>
    <d v="2015-09-01T00:00:00"/>
    <x v="4"/>
  </r>
  <r>
    <n v="3921"/>
    <x v="3"/>
    <s v="4/30/2015"/>
    <d v="2015-09-01T00:00:00"/>
    <x v="4"/>
  </r>
  <r>
    <n v="3951"/>
    <x v="3"/>
    <s v="1/31/2019"/>
    <d v="2019-09-01T00:00:00"/>
    <x v="1"/>
  </r>
  <r>
    <n v="4010"/>
    <x v="3"/>
    <s v="2/10/2015"/>
    <d v="2015-09-01T00:00:00"/>
    <x v="4"/>
  </r>
  <r>
    <n v="7705"/>
    <x v="3"/>
    <s v="11/14/2022"/>
    <d v="2022-09-01T00:00:00"/>
    <x v="9"/>
  </r>
  <r>
    <n v="3280"/>
    <x v="3"/>
    <s v="8/30/2016"/>
    <d v="2016-09-01T00:00:00"/>
    <x v="3"/>
  </r>
  <r>
    <n v="3301"/>
    <x v="3"/>
    <s v="8/29/2016"/>
    <d v="2016-09-01T00:00:00"/>
    <x v="3"/>
  </r>
  <r>
    <n v="3452"/>
    <x v="3"/>
    <s v="5/10/2016"/>
    <d v="2016-09-01T00:00:00"/>
    <x v="3"/>
  </r>
  <r>
    <n v="4816"/>
    <x v="3"/>
    <s v="1/10/2020"/>
    <d v="2020-09-01T00:00:00"/>
    <x v="6"/>
  </r>
  <r>
    <n v="7757"/>
    <x v="3"/>
    <s v="12/8/2022"/>
    <d v="2022-09-01T00:00:00"/>
    <x v="9"/>
  </r>
  <r>
    <n v="7954"/>
    <x v="3"/>
    <s v="1/23/2023"/>
    <d v="2023-09-01T00:00:00"/>
    <x v="9"/>
  </r>
  <r>
    <n v="3330"/>
    <x v="3"/>
    <s v="7/13/2016"/>
    <d v="2016-09-01T00:00:00"/>
    <x v="3"/>
  </r>
  <r>
    <n v="3339"/>
    <x v="3"/>
    <s v="6/24/2016"/>
    <d v="2016-09-01T00:00:00"/>
    <x v="3"/>
  </r>
  <r>
    <n v="3428"/>
    <x v="3"/>
    <s v="5/19/2016"/>
    <d v="2016-09-01T00:00:00"/>
    <x v="3"/>
  </r>
  <r>
    <n v="3458"/>
    <x v="3"/>
    <s v="5/6/2016"/>
    <d v="2016-09-01T00:00:00"/>
    <x v="3"/>
  </r>
  <r>
    <n v="3529"/>
    <x v="3"/>
    <s v="4/30/2016"/>
    <d v="2016-09-01T00:00:00"/>
    <x v="3"/>
  </r>
  <r>
    <n v="3563"/>
    <x v="3"/>
    <s v="2/11/2016"/>
    <d v="2016-09-01T00:00:00"/>
    <x v="3"/>
  </r>
  <r>
    <n v="3639"/>
    <x v="3"/>
    <s v="11/25/2015"/>
    <d v="2015-09-01T00:00:00"/>
    <x v="3"/>
  </r>
  <r>
    <n v="3659"/>
    <x v="3"/>
    <s v="11/11/2015"/>
    <d v="2015-09-01T00:00:00"/>
    <x v="3"/>
  </r>
  <r>
    <n v="3663"/>
    <x v="3"/>
    <s v="11/3/2015"/>
    <d v="2015-09-01T00:00:00"/>
    <x v="3"/>
  </r>
  <r>
    <n v="3746"/>
    <x v="3"/>
    <s v="9/30/2015"/>
    <d v="2015-09-01T00:00:00"/>
    <x v="3"/>
  </r>
  <r>
    <n v="3755"/>
    <x v="3"/>
    <s v="11/25/2015"/>
    <d v="2015-09-01T00:00:00"/>
    <x v="3"/>
  </r>
  <r>
    <n v="3758"/>
    <x v="3"/>
    <s v="9/13/2015"/>
    <d v="2015-09-01T00:00:00"/>
    <x v="3"/>
  </r>
  <r>
    <n v="3803"/>
    <x v="3"/>
    <s v="6/30/2015"/>
    <d v="2015-09-01T00:00:00"/>
    <x v="4"/>
  </r>
  <r>
    <n v="3883"/>
    <x v="3"/>
    <s v="6/15/2015"/>
    <d v="2015-09-01T00:00:00"/>
    <x v="4"/>
  </r>
  <r>
    <n v="3899"/>
    <x v="3"/>
    <s v="5/15/2015"/>
    <d v="2015-09-01T00:00:00"/>
    <x v="4"/>
  </r>
  <r>
    <n v="3970"/>
    <x v="3"/>
    <s v="3/31/2015"/>
    <d v="2015-09-01T00:00:00"/>
    <x v="4"/>
  </r>
  <r>
    <n v="4016"/>
    <x v="3"/>
    <s v="1/25/2015"/>
    <d v="2015-09-01T00:00:00"/>
    <x v="4"/>
  </r>
  <r>
    <n v="4075"/>
    <x v="3"/>
    <s v="9/30/2014"/>
    <d v="2014-09-01T00:00:00"/>
    <x v="4"/>
  </r>
  <r>
    <n v="4125"/>
    <x v="3"/>
    <s v="7/29/2014"/>
    <d v="2014-09-01T00:00:00"/>
    <x v="5"/>
  </r>
  <r>
    <n v="4155"/>
    <x v="3"/>
    <s v="5/31/2014"/>
    <d v="2014-09-01T00:00:00"/>
    <x v="5"/>
  </r>
  <r>
    <n v="4357"/>
    <x v="3"/>
    <s v="7/18/2019"/>
    <d v="2019-09-01T00:00:00"/>
    <x v="1"/>
  </r>
  <r>
    <n v="4435"/>
    <x v="3"/>
    <s v="8/2/2019"/>
    <d v="2019-09-01T00:00:00"/>
    <x v="1"/>
  </r>
  <r>
    <n v="4458"/>
    <x v="3"/>
    <s v="6/3/2014"/>
    <d v="2014-09-01T00:00:00"/>
    <x v="5"/>
  </r>
  <r>
    <n v="4592"/>
    <x v="3"/>
    <s v="10/8/2019"/>
    <d v="2019-09-01T00:00:00"/>
    <x v="6"/>
  </r>
  <r>
    <n v="1460"/>
    <x v="3"/>
    <s v="12/6/2017"/>
    <d v="2017-09-01T00:00:00"/>
    <x v="0"/>
  </r>
  <r>
    <n v="2344"/>
    <x v="3"/>
    <s v="3/17/2017"/>
    <d v="2017-09-01T00:00:00"/>
    <x v="2"/>
  </r>
  <r>
    <n v="3212"/>
    <x v="3"/>
    <s v="9/14/2016"/>
    <d v="2016-09-01T00:00:00"/>
    <x v="2"/>
  </r>
  <r>
    <n v="4036"/>
    <x v="3"/>
    <s v="11/16/2014"/>
    <d v="2014-09-01T00:00:00"/>
    <x v="4"/>
  </r>
  <r>
    <n v="4141"/>
    <x v="3"/>
    <s v="5/28/2019"/>
    <d v="2019-09-01T00:00:00"/>
    <x v="1"/>
  </r>
  <r>
    <n v="4093"/>
    <x v="3"/>
    <s v="8/1/2014"/>
    <d v="2014-09-01T00:00:00"/>
    <x v="5"/>
  </r>
  <r>
    <n v="4202"/>
    <x v="3"/>
    <s v="5/25/2014"/>
    <d v="2014-09-01T00:00:00"/>
    <x v="5"/>
  </r>
  <r>
    <n v="4058"/>
    <x v="3"/>
    <s v="10/27/2014"/>
    <d v="2014-09-01T00:00:00"/>
    <x v="4"/>
  </r>
  <r>
    <n v="437"/>
    <x v="3"/>
    <s v="7/13/2018"/>
    <d v="2018-09-01T00:00:00"/>
    <x v="0"/>
  </r>
  <r>
    <n v="1286"/>
    <x v="3"/>
    <s v="7/8/2018"/>
    <d v="2018-09-01T00:00:00"/>
    <x v="0"/>
  </r>
  <r>
    <n v="1288"/>
    <x v="3"/>
    <s v="6/29/2018"/>
    <d v="2018-09-01T00:00:00"/>
    <x v="0"/>
  </r>
  <r>
    <n v="1289"/>
    <x v="3"/>
    <s v="8/4/2018"/>
    <d v="2018-09-01T00:00:00"/>
    <x v="0"/>
  </r>
  <r>
    <n v="2829"/>
    <x v="3"/>
    <s v="12/15/2016"/>
    <d v="2016-09-01T00:00:00"/>
    <x v="2"/>
  </r>
  <r>
    <n v="3007"/>
    <x v="3"/>
    <s v="10/30/2016"/>
    <d v="2016-09-01T00:00:00"/>
    <x v="2"/>
  </r>
  <r>
    <n v="3224"/>
    <x v="3"/>
    <s v="9/2/2016"/>
    <d v="2016-09-01T00:00:00"/>
    <x v="2"/>
  </r>
  <r>
    <n v="3532"/>
    <x v="3"/>
    <s v="4/29/2016"/>
    <d v="2016-09-01T00:00:00"/>
    <x v="3"/>
  </r>
  <r>
    <n v="3556"/>
    <x v="3"/>
    <s v="2/28/2016"/>
    <d v="2016-09-01T00:00:00"/>
    <x v="3"/>
  </r>
  <r>
    <n v="3614"/>
    <x v="3"/>
    <s v="1/27/2016"/>
    <d v="2016-09-01T00:00:00"/>
    <x v="3"/>
  </r>
  <r>
    <n v="3624"/>
    <x v="3"/>
    <s v="12/6/2015"/>
    <d v="2015-09-01T00:00:00"/>
    <x v="3"/>
  </r>
  <r>
    <n v="3661"/>
    <x v="3"/>
    <s v="11/10/2015"/>
    <d v="2015-09-01T00:00:00"/>
    <x v="3"/>
  </r>
  <r>
    <n v="3737"/>
    <x v="3"/>
    <s v="10/25/2015"/>
    <d v="2015-09-01T00:00:00"/>
    <x v="3"/>
  </r>
  <r>
    <n v="3787"/>
    <x v="3"/>
    <s v="8/30/2015"/>
    <d v="2015-09-01T00:00:00"/>
    <x v="4"/>
  </r>
  <r>
    <n v="4028"/>
    <x v="3"/>
    <s v="12/15/2014"/>
    <d v="2014-09-01T00:00:00"/>
    <x v="4"/>
  </r>
  <r>
    <n v="5920"/>
    <x v="3"/>
    <s v="4/2/2021"/>
    <d v="2021-09-01T00:00:00"/>
    <x v="7"/>
  </r>
  <r>
    <n v="7698"/>
    <x v="3"/>
    <s v="11/4/2022"/>
    <d v="2022-09-01T00:00:00"/>
    <x v="9"/>
  </r>
  <r>
    <n v="8131"/>
    <x v="3"/>
    <s v="3/8/2023"/>
    <d v="2023-09-01T00:00:00"/>
    <x v="9"/>
  </r>
  <r>
    <n v="8166"/>
    <x v="3"/>
    <s v="4/14/2023"/>
    <d v="2023-09-01T00:00:00"/>
    <x v="9"/>
  </r>
  <r>
    <n v="1382"/>
    <x v="3"/>
    <s v="12/1/2017"/>
    <d v="2017-09-01T00:00:00"/>
    <x v="0"/>
  </r>
  <r>
    <n v="1400"/>
    <x v="3"/>
    <s v="3/22/2018"/>
    <d v="2018-09-01T00:00:00"/>
    <x v="0"/>
  </r>
  <r>
    <n v="1701"/>
    <x v="3"/>
    <s v="9/27/2018"/>
    <d v="2018-09-01T00:00:00"/>
    <x v="1"/>
  </r>
  <r>
    <n v="2444"/>
    <x v="3"/>
    <s v="3/2/2017"/>
    <d v="2017-09-01T00:00:00"/>
    <x v="2"/>
  </r>
  <r>
    <n v="2989"/>
    <x v="3"/>
    <s v="12/1/2016"/>
    <d v="2016-09-01T00:00:00"/>
    <x v="2"/>
  </r>
  <r>
    <n v="3410"/>
    <x v="3"/>
    <s v="1/15/2019"/>
    <d v="2019-09-01T00:00:00"/>
    <x v="1"/>
  </r>
  <r>
    <n v="3442"/>
    <x v="3"/>
    <s v="1/21/2019"/>
    <d v="2019-09-01T00:00:00"/>
    <x v="1"/>
  </r>
  <r>
    <n v="3542"/>
    <x v="3"/>
    <s v="4/3/2016"/>
    <d v="2016-09-01T00:00:00"/>
    <x v="3"/>
  </r>
  <r>
    <n v="3604"/>
    <x v="3"/>
    <s v="2/4/2016"/>
    <d v="2016-09-01T00:00:00"/>
    <x v="3"/>
  </r>
  <r>
    <n v="3654"/>
    <x v="3"/>
    <s v="11/13/2015"/>
    <d v="2015-09-01T00:00:00"/>
    <x v="3"/>
  </r>
  <r>
    <n v="3980"/>
    <x v="3"/>
    <s v="2/26/2015"/>
    <d v="2015-09-01T00:00:00"/>
    <x v="4"/>
  </r>
  <r>
    <n v="4174"/>
    <x v="3"/>
    <s v="3/15/2019"/>
    <d v="2019-09-01T00:00:00"/>
    <x v="1"/>
  </r>
  <r>
    <n v="4177"/>
    <x v="3"/>
    <s v="4/1/2019"/>
    <d v="2019-09-01T00:00:00"/>
    <x v="1"/>
  </r>
  <r>
    <n v="4209"/>
    <x v="3"/>
    <s v="5/9/2019"/>
    <d v="2019-09-01T00:00:00"/>
    <x v="1"/>
  </r>
  <r>
    <n v="4244"/>
    <x v="3"/>
    <s v="5/13/2019"/>
    <d v="2019-09-01T00:00:00"/>
    <x v="1"/>
  </r>
  <r>
    <n v="4247"/>
    <x v="3"/>
    <s v="5/29/2019"/>
    <d v="2019-09-01T00:00:00"/>
    <x v="1"/>
  </r>
  <r>
    <n v="4472"/>
    <x v="3"/>
    <s v="4/30/2014"/>
    <d v="2014-09-01T00:00:00"/>
    <x v="5"/>
  </r>
  <r>
    <n v="4765"/>
    <x v="3"/>
    <s v="12/10/2019"/>
    <d v="2019-09-01T00:00:00"/>
    <x v="6"/>
  </r>
  <r>
    <n v="6028"/>
    <x v="3"/>
    <s v="5/3/2021"/>
    <d v="2021-09-01T00:00:00"/>
    <x v="7"/>
  </r>
  <r>
    <n v="7765"/>
    <x v="3"/>
    <s v="12/16/2022"/>
    <d v="2022-09-01T00:00:00"/>
    <x v="9"/>
  </r>
  <r>
    <n v="8153"/>
    <x v="3"/>
    <s v="4/4/2023"/>
    <d v="2023-09-01T00:00:00"/>
    <x v="9"/>
  </r>
  <r>
    <n v="8085"/>
    <x v="3"/>
    <s v="3/28/2023"/>
    <d v="2023-09-01T00:00:00"/>
    <x v="9"/>
  </r>
  <r>
    <n v="1312"/>
    <x v="3"/>
    <s v="5/30/2018"/>
    <d v="2018-09-01T00:00:00"/>
    <x v="0"/>
  </r>
  <r>
    <n v="1318"/>
    <x v="3"/>
    <s v="5/17/2018"/>
    <d v="2018-09-01T00:00:00"/>
    <x v="0"/>
  </r>
  <r>
    <n v="1372"/>
    <x v="3"/>
    <s v="10/5/2017"/>
    <d v="2017-09-01T00:00:00"/>
    <x v="0"/>
  </r>
  <r>
    <n v="1431"/>
    <x v="3"/>
    <s v="2/3/2018"/>
    <d v="2018-09-01T00:00:00"/>
    <x v="0"/>
  </r>
  <r>
    <n v="1468"/>
    <x v="3"/>
    <s v="11/28/2017"/>
    <d v="2017-09-01T00:00:00"/>
    <x v="0"/>
  </r>
  <r>
    <n v="1544"/>
    <x v="3"/>
    <s v="9/13/2018"/>
    <d v="2018-09-01T00:00:00"/>
    <x v="1"/>
  </r>
  <r>
    <n v="1914"/>
    <x v="3"/>
    <s v="10/25/2018"/>
    <d v="2018-09-01T00:00:00"/>
    <x v="1"/>
  </r>
  <r>
    <n v="1947"/>
    <x v="3"/>
    <s v="10/26/2018"/>
    <d v="2018-09-01T00:00:00"/>
    <x v="1"/>
  </r>
  <r>
    <n v="2007"/>
    <x v="3"/>
    <s v="8/22/2017"/>
    <d v="2017-09-01T00:00:00"/>
    <x v="2"/>
  </r>
  <r>
    <n v="2012"/>
    <x v="3"/>
    <s v="8/15/2017"/>
    <d v="2017-09-01T00:00:00"/>
    <x v="2"/>
  </r>
  <r>
    <n v="2089"/>
    <x v="3"/>
    <s v="7/1/2017"/>
    <d v="2017-09-01T00:00:00"/>
    <x v="2"/>
  </r>
  <r>
    <n v="2323"/>
    <x v="3"/>
    <s v="5/3/2017"/>
    <d v="2017-09-01T00:00:00"/>
    <x v="2"/>
  </r>
  <r>
    <n v="2825"/>
    <x v="3"/>
    <s v="12/29/2016"/>
    <d v="2016-09-01T00:00:00"/>
    <x v="2"/>
  </r>
  <r>
    <n v="3053"/>
    <x v="3"/>
    <s v="10/17/2016"/>
    <d v="2016-09-01T00:00:00"/>
    <x v="2"/>
  </r>
  <r>
    <n v="3218"/>
    <x v="3"/>
    <s v="9/13/2016"/>
    <d v="2016-09-01T00:00:00"/>
    <x v="2"/>
  </r>
  <r>
    <n v="3398"/>
    <x v="3"/>
    <s v="5/20/2016"/>
    <d v="2016-09-01T00:00:00"/>
    <x v="3"/>
  </r>
  <r>
    <n v="3415"/>
    <x v="3"/>
    <s v="1/20/2019"/>
    <d v="2019-09-01T00:00:00"/>
    <x v="1"/>
  </r>
  <r>
    <n v="3554"/>
    <x v="3"/>
    <s v="3/1/2016"/>
    <d v="2016-09-01T00:00:00"/>
    <x v="3"/>
  </r>
  <r>
    <n v="3558"/>
    <x v="3"/>
    <s v="2/20/2016"/>
    <d v="2016-09-01T00:00:00"/>
    <x v="3"/>
  </r>
  <r>
    <n v="3871"/>
    <x v="3"/>
    <s v="4/2/2019"/>
    <d v="2019-09-01T00:00:00"/>
    <x v="1"/>
  </r>
  <r>
    <n v="4354"/>
    <x v="3"/>
    <s v="7/26/2019"/>
    <d v="2019-09-01T00:00:00"/>
    <x v="1"/>
  </r>
  <r>
    <n v="4594"/>
    <x v="3"/>
    <s v="10/21/2019"/>
    <d v="2019-09-01T00:00:00"/>
    <x v="6"/>
  </r>
  <r>
    <n v="4608"/>
    <x v="3"/>
    <s v="10/25/2019"/>
    <d v="2019-09-01T00:00:00"/>
    <x v="6"/>
  </r>
  <r>
    <n v="4619"/>
    <x v="3"/>
    <s v="4/4/2014"/>
    <d v="2014-09-01T00:00:00"/>
    <x v="5"/>
  </r>
  <r>
    <n v="5537"/>
    <x v="3"/>
    <s v="11/3/2020"/>
    <d v="2020-09-01T00:00:00"/>
    <x v="7"/>
  </r>
  <r>
    <n v="5806"/>
    <x v="3"/>
    <s v="2/1/2021"/>
    <d v="2021-09-01T00:00:00"/>
    <x v="7"/>
  </r>
  <r>
    <n v="6664"/>
    <x v="3"/>
    <s v="10/21/2021"/>
    <d v="2021-09-01T00:00:00"/>
    <x v="8"/>
  </r>
  <r>
    <n v="7146"/>
    <x v="3"/>
    <s v="5/20/2022"/>
    <d v="2022-09-01T00:00:00"/>
    <x v="8"/>
  </r>
  <r>
    <n v="7157"/>
    <x v="3"/>
    <s v="6/8/2022"/>
    <d v="2022-09-01T00:00:00"/>
    <x v="8"/>
  </r>
  <r>
    <n v="7634"/>
    <x v="3"/>
    <s v="11/7/2022"/>
    <d v="2022-09-01T00:00:00"/>
    <x v="9"/>
  </r>
  <r>
    <n v="774"/>
    <x v="3"/>
    <s v="5/18/2016"/>
    <d v="2016-09-01T00:00:00"/>
    <x v="3"/>
  </r>
  <r>
    <n v="776"/>
    <x v="3"/>
    <s v="5/23/2016"/>
    <d v="2016-09-01T00:00:00"/>
    <x v="3"/>
  </r>
  <r>
    <n v="1306"/>
    <x v="3"/>
    <s v="6/16/2018"/>
    <d v="2018-09-01T00:00:00"/>
    <x v="0"/>
  </r>
  <r>
    <n v="1415"/>
    <x v="3"/>
    <s v="11/18/2017"/>
    <d v="2017-09-01T00:00:00"/>
    <x v="0"/>
  </r>
  <r>
    <n v="1930"/>
    <x v="3"/>
    <s v="10/25/2018"/>
    <d v="2018-09-01T00:00:00"/>
    <x v="1"/>
  </r>
  <r>
    <n v="2213"/>
    <x v="3"/>
    <s v="5/23/2017"/>
    <d v="2017-09-01T00:00:00"/>
    <x v="2"/>
  </r>
  <r>
    <n v="2311"/>
    <x v="3"/>
    <s v="5/16/2017"/>
    <d v="2017-09-01T00:00:00"/>
    <x v="2"/>
  </r>
  <r>
    <n v="3400"/>
    <x v="3"/>
    <s v="5/25/2016"/>
    <d v="2016-09-01T00:00:00"/>
    <x v="3"/>
  </r>
  <r>
    <n v="8173"/>
    <x v="3"/>
    <s v="4/17/2023"/>
    <d v="2023-09-01T00:00:00"/>
    <x v="9"/>
  </r>
  <r>
    <n v="3334"/>
    <x v="3"/>
    <s v="6/30/2016"/>
    <d v="2016-09-01T00:00:00"/>
    <x v="3"/>
  </r>
  <r>
    <n v="4087"/>
    <x v="3"/>
    <s v="8/27/2014"/>
    <d v="2014-09-01T00:00:00"/>
    <x v="5"/>
  </r>
  <r>
    <n v="4239"/>
    <x v="3"/>
    <s v="6/14/2019"/>
    <d v="2019-09-01T00:00:00"/>
    <x v="1"/>
  </r>
  <r>
    <n v="6926"/>
    <x v="3"/>
    <s v="2/24/2022"/>
    <d v="2022-09-01T00:00:00"/>
    <x v="8"/>
  </r>
  <r>
    <n v="7196"/>
    <x v="3"/>
    <s v="6/21/2022"/>
    <d v="2022-09-01T00:00:00"/>
    <x v="8"/>
  </r>
  <r>
    <n v="7325"/>
    <x v="3"/>
    <s v="8/11/2022"/>
    <d v="2022-09-01T00:00:00"/>
    <x v="8"/>
  </r>
  <r>
    <n v="3941"/>
    <x v="3"/>
    <s v="4/25/2015"/>
    <d v="2015-09-01T00:00:00"/>
    <x v="4"/>
  </r>
  <r>
    <n v="4052"/>
    <x v="3"/>
    <s v="10/31/2014"/>
    <d v="2014-09-01T00:00:00"/>
    <x v="4"/>
  </r>
  <r>
    <n v="1310"/>
    <x v="3"/>
    <s v="6/4/2018"/>
    <d v="2018-09-01T00:00:00"/>
    <x v="0"/>
  </r>
  <r>
    <n v="2203"/>
    <x v="3"/>
    <s v="6/3/2017"/>
    <d v="2017-09-01T00:00:00"/>
    <x v="2"/>
  </r>
  <r>
    <n v="2306"/>
    <x v="3"/>
    <s v="5/18/2017"/>
    <d v="2017-09-01T00:00:00"/>
    <x v="2"/>
  </r>
  <r>
    <n v="2408"/>
    <x v="3"/>
    <s v="11/12/2018"/>
    <d v="2018-09-01T00:00:00"/>
    <x v="1"/>
  </r>
  <r>
    <n v="3534"/>
    <x v="3"/>
    <s v="4/28/2016"/>
    <d v="2016-09-01T00:00:00"/>
    <x v="3"/>
  </r>
  <r>
    <n v="4359"/>
    <x v="3"/>
    <s v="8/23/2019"/>
    <d v="2019-09-01T00:00:00"/>
    <x v="1"/>
  </r>
  <r>
    <n v="4460"/>
    <x v="3"/>
    <s v="5/8/2014"/>
    <d v="2014-09-01T00:00:00"/>
    <x v="5"/>
  </r>
  <r>
    <n v="8226"/>
    <x v="3"/>
    <s v="4/20/2023"/>
    <d v="2023-09-01T00:00:00"/>
    <x v="9"/>
  </r>
  <r>
    <n v="3329"/>
    <x v="3"/>
    <s v="7/13/2016"/>
    <d v="2016-09-01T00:00:00"/>
    <x v="3"/>
  </r>
  <r>
    <n v="3426"/>
    <x v="3"/>
    <s v="5/20/2016"/>
    <d v="2016-09-01T00:00:00"/>
    <x v="3"/>
  </r>
  <r>
    <n v="3278"/>
    <x v="3"/>
    <s v="8/31/2016"/>
    <d v="2016-09-01T00:00:00"/>
    <x v="3"/>
  </r>
  <r>
    <n v="2338"/>
    <x v="3"/>
    <s v="4/30/2017"/>
    <d v="2017-09-01T00:00:00"/>
    <x v="2"/>
  </r>
  <r>
    <n v="1391"/>
    <x v="3"/>
    <s v="4/10/2018"/>
    <d v="2018-09-01T00:00:00"/>
    <x v="0"/>
  </r>
  <r>
    <n v="4769"/>
    <x v="3"/>
    <s v="1/22/2020"/>
    <d v="2020-09-01T00:00:00"/>
    <x v="6"/>
  </r>
  <r>
    <n v="4863"/>
    <x v="3"/>
    <s v="2/6/2020"/>
    <d v="2020-09-01T00:00:00"/>
    <x v="6"/>
  </r>
  <r>
    <n v="4829"/>
    <x v="3"/>
    <s v="2/18/2020"/>
    <d v="2020-09-01T00:00:00"/>
    <x v="6"/>
  </r>
  <r>
    <n v="4493"/>
    <x v="3"/>
    <s v="10/10/2019"/>
    <d v="2019-09-01T00:00:00"/>
    <x v="6"/>
  </r>
  <r>
    <n v="4579"/>
    <x v="3"/>
    <s v="9/30/2019"/>
    <d v="2019-09-01T00:00:00"/>
    <x v="6"/>
  </r>
  <r>
    <n v="7610"/>
    <x v="3"/>
    <s v="10/12/2022"/>
    <d v="2022-09-01T00:00:00"/>
    <x v="9"/>
  </r>
  <r>
    <n v="8223"/>
    <x v="3"/>
    <s v="4/20/2023"/>
    <d v="2023-09-01T00:00:00"/>
    <x v="9"/>
  </r>
  <r>
    <n v="8054"/>
    <x v="3"/>
    <s v="2/16/2023"/>
    <d v="2023-09-01T00:00:00"/>
    <x v="9"/>
  </r>
  <r>
    <n v="1615"/>
    <x v="4"/>
    <s v="8/24/2018"/>
    <d v="2018-09-01T00:00:00"/>
    <x v="0"/>
  </r>
  <r>
    <n v="1355"/>
    <x v="4"/>
    <s v="10/3/2017"/>
    <d v="2017-09-01T00:00:00"/>
    <x v="0"/>
  </r>
  <r>
    <n v="1379"/>
    <x v="4"/>
    <s v="10/26/2017"/>
    <d v="2017-09-01T00:00:00"/>
    <x v="0"/>
  </r>
  <r>
    <n v="2305"/>
    <x v="4"/>
    <s v="5/19/2017"/>
    <d v="2017-09-01T00:00:00"/>
    <x v="2"/>
  </r>
  <r>
    <n v="2549"/>
    <x v="4"/>
    <s v="1/20/2017"/>
    <d v="2017-09-01T00:00:00"/>
    <x v="2"/>
  </r>
  <r>
    <n v="3062"/>
    <x v="4"/>
    <s v="10/3/2016"/>
    <d v="2016-09-01T00:00:00"/>
    <x v="2"/>
  </r>
  <r>
    <n v="3225"/>
    <x v="4"/>
    <s v="12/13/2018"/>
    <d v="2018-09-01T00:00:00"/>
    <x v="1"/>
  </r>
  <r>
    <n v="3644"/>
    <x v="4"/>
    <s v="11/19/2015"/>
    <d v="2015-09-01T00:00:00"/>
    <x v="3"/>
  </r>
  <r>
    <n v="4071"/>
    <x v="4"/>
    <s v="10/3/2014"/>
    <d v="2014-09-01T00:00:00"/>
    <x v="4"/>
  </r>
  <r>
    <n v="4150"/>
    <x v="4"/>
    <s v="6/30/2014"/>
    <d v="2014-09-01T00:00:00"/>
    <x v="5"/>
  </r>
  <r>
    <n v="4170"/>
    <x v="4"/>
    <s v="6/4/2019"/>
    <d v="2019-09-01T00:00:00"/>
    <x v="1"/>
  </r>
  <r>
    <n v="4200"/>
    <x v="4"/>
    <s v="5/27/2014"/>
    <d v="2014-09-01T00:00:00"/>
    <x v="5"/>
  </r>
  <r>
    <n v="6326"/>
    <x v="4"/>
    <s v="8/30/2021"/>
    <d v="2021-09-01T00:00:00"/>
    <x v="7"/>
  </r>
  <r>
    <n v="8247"/>
    <x v="4"/>
    <s v="4/25/2023"/>
    <d v="2023-09-01T00:00:00"/>
    <x v="9"/>
  </r>
  <r>
    <n v="1381"/>
    <x v="4"/>
    <s v="11/2/2017"/>
    <d v="2017-09-01T00:00:00"/>
    <x v="0"/>
  </r>
  <r>
    <n v="3895"/>
    <x v="4"/>
    <s v="6/1/2015"/>
    <d v="2015-09-01T00:00:00"/>
    <x v="4"/>
  </r>
  <r>
    <n v="4073"/>
    <x v="4"/>
    <s v="9/30/2014"/>
    <d v="2014-09-01T00:00:00"/>
    <x v="4"/>
  </r>
  <r>
    <n v="1445"/>
    <x v="4"/>
    <s v="1/31/2018"/>
    <d v="2018-09-01T00:00:00"/>
    <x v="0"/>
  </r>
  <r>
    <n v="2015"/>
    <x v="4"/>
    <s v="8/18/2017"/>
    <d v="2017-09-01T00:00:00"/>
    <x v="2"/>
  </r>
  <r>
    <n v="4204"/>
    <x v="4"/>
    <s v="6/3/2014"/>
    <d v="2014-09-01T00:00:00"/>
    <x v="5"/>
  </r>
  <r>
    <n v="2525"/>
    <x v="4"/>
    <s v="1/28/2017"/>
    <d v="2017-09-01T00:00:00"/>
    <x v="2"/>
  </r>
  <r>
    <n v="3005"/>
    <x v="4"/>
    <s v="10/31/2016"/>
    <d v="2016-09-01T00:00:00"/>
    <x v="2"/>
  </r>
  <r>
    <n v="3317"/>
    <x v="4"/>
    <s v="7/14/2016"/>
    <d v="2016-09-01T00:00:00"/>
    <x v="3"/>
  </r>
  <r>
    <n v="4132"/>
    <x v="4"/>
    <s v="7/6/2014"/>
    <d v="2014-09-01T00:00:00"/>
    <x v="5"/>
  </r>
  <r>
    <n v="3257"/>
    <x v="4"/>
    <s v="12/18/2018"/>
    <d v="2018-09-01T00:00:00"/>
    <x v="1"/>
  </r>
  <r>
    <n v="3280"/>
    <x v="4"/>
    <s v="8/30/2016"/>
    <d v="2016-09-01T00:00:00"/>
    <x v="3"/>
  </r>
  <r>
    <n v="3301"/>
    <x v="4"/>
    <s v="8/29/2016"/>
    <d v="2016-09-01T00:00:00"/>
    <x v="3"/>
  </r>
  <r>
    <n v="3452"/>
    <x v="4"/>
    <s v="5/10/2016"/>
    <d v="2016-09-01T00:00:00"/>
    <x v="3"/>
  </r>
  <r>
    <n v="4816"/>
    <x v="4"/>
    <s v="1/10/2020"/>
    <d v="2020-09-01T00:00:00"/>
    <x v="6"/>
  </r>
  <r>
    <n v="7757"/>
    <x v="4"/>
    <s v="12/8/2022"/>
    <d v="2022-09-01T00:00:00"/>
    <x v="9"/>
  </r>
  <r>
    <n v="7954"/>
    <x v="4"/>
    <s v="1/23/2023"/>
    <d v="2023-09-01T00:00:00"/>
    <x v="9"/>
  </r>
  <r>
    <n v="1460"/>
    <x v="4"/>
    <s v="12/6/2017"/>
    <d v="2017-09-01T00:00:00"/>
    <x v="0"/>
  </r>
  <r>
    <n v="2344"/>
    <x v="4"/>
    <s v="3/17/2017"/>
    <d v="2017-09-01T00:00:00"/>
    <x v="2"/>
  </r>
  <r>
    <n v="3212"/>
    <x v="4"/>
    <s v="9/14/2016"/>
    <d v="2016-09-01T00:00:00"/>
    <x v="2"/>
  </r>
  <r>
    <n v="4036"/>
    <x v="4"/>
    <s v="11/16/2014"/>
    <d v="2014-09-01T00:00:00"/>
    <x v="4"/>
  </r>
  <r>
    <n v="4141"/>
    <x v="4"/>
    <s v="5/28/2019"/>
    <d v="2019-09-01T00:00:00"/>
    <x v="1"/>
  </r>
  <r>
    <n v="2034"/>
    <x v="4"/>
    <s v="7/30/2017"/>
    <d v="2017-09-01T00:00:00"/>
    <x v="2"/>
  </r>
  <r>
    <n v="4956"/>
    <x v="4"/>
    <s v="6/12/2020"/>
    <d v="2020-09-01T00:00:00"/>
    <x v="6"/>
  </r>
  <r>
    <n v="5129"/>
    <x v="4"/>
    <s v="8/31/2020"/>
    <d v="2020-09-01T00:00:00"/>
    <x v="6"/>
  </r>
  <r>
    <n v="6435"/>
    <x v="4"/>
    <s v="10/20/2021"/>
    <d v="2021-09-01T00:00:00"/>
    <x v="8"/>
  </r>
  <r>
    <n v="7205"/>
    <x v="4"/>
    <s v="6/21/2022"/>
    <d v="2022-09-01T00:00:00"/>
    <x v="8"/>
  </r>
  <r>
    <n v="3817"/>
    <x v="4"/>
    <s v="3/10/2019"/>
    <d v="2019-09-01T00:00:00"/>
    <x v="1"/>
  </r>
  <r>
    <n v="6073"/>
    <x v="4"/>
    <s v="5/17/2021"/>
    <d v="2021-09-01T00:00:00"/>
    <x v="7"/>
  </r>
  <r>
    <n v="7358"/>
    <x v="4"/>
    <s v="9/12/2022"/>
    <d v="2022-09-01T00:00:00"/>
    <x v="9"/>
  </r>
  <r>
    <n v="1382"/>
    <x v="4"/>
    <s v="12/1/2017"/>
    <d v="2017-09-01T00:00:00"/>
    <x v="0"/>
  </r>
  <r>
    <n v="1400"/>
    <x v="4"/>
    <s v="3/22/2018"/>
    <d v="2018-09-01T00:00:00"/>
    <x v="0"/>
  </r>
  <r>
    <n v="1701"/>
    <x v="4"/>
    <s v="9/27/2018"/>
    <d v="2018-09-01T00:00:00"/>
    <x v="1"/>
  </r>
  <r>
    <n v="2444"/>
    <x v="4"/>
    <s v="3/2/2017"/>
    <d v="2017-09-01T00:00:00"/>
    <x v="2"/>
  </r>
  <r>
    <n v="2989"/>
    <x v="4"/>
    <s v="12/1/2016"/>
    <d v="2016-09-01T00:00:00"/>
    <x v="2"/>
  </r>
  <r>
    <n v="3410"/>
    <x v="4"/>
    <s v="1/15/2019"/>
    <d v="2019-09-01T00:00:00"/>
    <x v="1"/>
  </r>
  <r>
    <n v="3442"/>
    <x v="4"/>
    <s v="1/21/2019"/>
    <d v="2019-09-01T00:00:00"/>
    <x v="1"/>
  </r>
  <r>
    <n v="3542"/>
    <x v="4"/>
    <s v="4/3/2016"/>
    <d v="2016-09-01T00:00:00"/>
    <x v="3"/>
  </r>
  <r>
    <n v="3604"/>
    <x v="4"/>
    <s v="2/4/2016"/>
    <d v="2016-09-01T00:00:00"/>
    <x v="3"/>
  </r>
  <r>
    <n v="3654"/>
    <x v="4"/>
    <s v="11/13/2015"/>
    <d v="2015-09-01T00:00:00"/>
    <x v="3"/>
  </r>
  <r>
    <n v="3980"/>
    <x v="4"/>
    <s v="2/26/2015"/>
    <d v="2015-09-01T00:00:00"/>
    <x v="4"/>
  </r>
  <r>
    <n v="4174"/>
    <x v="4"/>
    <s v="3/15/2019"/>
    <d v="2019-09-01T00:00:00"/>
    <x v="1"/>
  </r>
  <r>
    <n v="4177"/>
    <x v="4"/>
    <s v="4/1/2019"/>
    <d v="2019-09-01T00:00:00"/>
    <x v="1"/>
  </r>
  <r>
    <n v="4209"/>
    <x v="4"/>
    <s v="5/9/2019"/>
    <d v="2019-09-01T00:00:00"/>
    <x v="1"/>
  </r>
  <r>
    <n v="4244"/>
    <x v="4"/>
    <s v="5/13/2019"/>
    <d v="2019-09-01T00:00:00"/>
    <x v="1"/>
  </r>
  <r>
    <n v="4247"/>
    <x v="4"/>
    <s v="5/29/2019"/>
    <d v="2019-09-01T00:00:00"/>
    <x v="1"/>
  </r>
  <r>
    <n v="4472"/>
    <x v="4"/>
    <s v="4/30/2014"/>
    <d v="2014-09-01T00:00:00"/>
    <x v="5"/>
  </r>
  <r>
    <n v="4765"/>
    <x v="4"/>
    <s v="12/10/2019"/>
    <d v="2019-09-01T00:00:00"/>
    <x v="6"/>
  </r>
  <r>
    <n v="6028"/>
    <x v="4"/>
    <s v="5/3/2021"/>
    <d v="2021-09-01T00:00:00"/>
    <x v="7"/>
  </r>
  <r>
    <n v="7765"/>
    <x v="4"/>
    <s v="12/16/2022"/>
    <d v="2022-09-01T00:00:00"/>
    <x v="9"/>
  </r>
  <r>
    <n v="8153"/>
    <x v="4"/>
    <s v="4/4/2023"/>
    <d v="2023-09-01T00:00:00"/>
    <x v="9"/>
  </r>
  <r>
    <n v="8085"/>
    <x v="4"/>
    <s v="3/28/2023"/>
    <d v="2023-09-01T00:00:00"/>
    <x v="9"/>
  </r>
  <r>
    <n v="774"/>
    <x v="4"/>
    <s v="5/18/2016"/>
    <d v="2016-09-01T00:00:00"/>
    <x v="3"/>
  </r>
  <r>
    <n v="776"/>
    <x v="4"/>
    <s v="5/23/2016"/>
    <d v="2016-09-01T00:00:00"/>
    <x v="3"/>
  </r>
  <r>
    <n v="1306"/>
    <x v="4"/>
    <s v="6/16/2018"/>
    <d v="2018-09-01T00:00:00"/>
    <x v="0"/>
  </r>
  <r>
    <n v="1415"/>
    <x v="4"/>
    <s v="11/18/2017"/>
    <d v="2017-09-01T00:00:00"/>
    <x v="0"/>
  </r>
  <r>
    <n v="1930"/>
    <x v="4"/>
    <s v="10/25/2018"/>
    <d v="2018-09-01T00:00:00"/>
    <x v="1"/>
  </r>
  <r>
    <n v="2213"/>
    <x v="4"/>
    <s v="5/23/2017"/>
    <d v="2017-09-01T00:00:00"/>
    <x v="2"/>
  </r>
  <r>
    <n v="2311"/>
    <x v="4"/>
    <s v="5/16/2017"/>
    <d v="2017-09-01T00:00:00"/>
    <x v="2"/>
  </r>
  <r>
    <n v="3400"/>
    <x v="4"/>
    <s v="5/25/2016"/>
    <d v="2016-09-01T00:00:00"/>
    <x v="3"/>
  </r>
  <r>
    <n v="8173"/>
    <x v="4"/>
    <s v="4/17/2023"/>
    <d v="2023-09-01T00:00:00"/>
    <x v="9"/>
  </r>
  <r>
    <n v="3941"/>
    <x v="4"/>
    <s v="4/25/2015"/>
    <d v="2015-09-01T00:00:00"/>
    <x v="4"/>
  </r>
  <r>
    <n v="4052"/>
    <x v="4"/>
    <s v="10/31/2014"/>
    <d v="2014-09-01T00:00:00"/>
    <x v="4"/>
  </r>
  <r>
    <n v="4883"/>
    <x v="4"/>
    <s v="4/9/2020"/>
    <d v="2020-09-01T00:00:00"/>
    <x v="6"/>
  </r>
  <r>
    <n v="2999"/>
    <x v="4"/>
    <s v="11/28/2016"/>
    <d v="2016-09-01T00:00:00"/>
    <x v="2"/>
  </r>
  <r>
    <n v="3634"/>
    <x v="4"/>
    <s v="2/20/2019"/>
    <d v="2019-09-01T00:00:00"/>
    <x v="1"/>
  </r>
  <r>
    <n v="5732"/>
    <x v="4"/>
    <s v="12/21/2020"/>
    <d v="2020-09-01T00:00:00"/>
    <x v="7"/>
  </r>
  <r>
    <n v="7449"/>
    <x v="4"/>
    <s v="8/29/2022"/>
    <d v="2022-09-01T00:00:00"/>
    <x v="8"/>
  </r>
  <r>
    <n v="1310"/>
    <x v="4"/>
    <s v="6/4/2018"/>
    <d v="2018-09-01T00:00:00"/>
    <x v="0"/>
  </r>
  <r>
    <n v="2203"/>
    <x v="4"/>
    <s v="6/3/2017"/>
    <d v="2017-09-01T00:00:00"/>
    <x v="2"/>
  </r>
  <r>
    <n v="2306"/>
    <x v="4"/>
    <s v="5/18/2017"/>
    <d v="2017-09-01T00:00:00"/>
    <x v="2"/>
  </r>
  <r>
    <n v="2408"/>
    <x v="4"/>
    <s v="11/12/2018"/>
    <d v="2018-09-01T00:00:00"/>
    <x v="1"/>
  </r>
  <r>
    <n v="3534"/>
    <x v="4"/>
    <s v="4/28/2016"/>
    <d v="2016-09-01T00:00:00"/>
    <x v="3"/>
  </r>
  <r>
    <n v="4359"/>
    <x v="4"/>
    <s v="8/23/2019"/>
    <d v="2019-09-01T00:00:00"/>
    <x v="1"/>
  </r>
  <r>
    <n v="4460"/>
    <x v="4"/>
    <s v="5/8/2014"/>
    <d v="2014-09-01T00:00:00"/>
    <x v="5"/>
  </r>
  <r>
    <n v="8226"/>
    <x v="4"/>
    <s v="4/20/2023"/>
    <d v="2023-09-01T00:00:00"/>
    <x v="9"/>
  </r>
  <r>
    <n v="3978"/>
    <x v="4"/>
    <s v="2/28/2015"/>
    <d v="2015-09-01T00:00:00"/>
    <x v="4"/>
  </r>
  <r>
    <n v="2551"/>
    <x v="4"/>
    <s v="1/1/2017"/>
    <d v="2017-09-01T00:00:00"/>
    <x v="2"/>
  </r>
  <r>
    <n v="3947"/>
    <x v="4"/>
    <s v="4/10/2015"/>
    <d v="2015-09-01T00:00:00"/>
    <x v="4"/>
  </r>
  <r>
    <n v="4242"/>
    <x v="4"/>
    <s v="6/21/2019"/>
    <d v="2019-09-01T00:00:00"/>
    <x v="1"/>
  </r>
  <r>
    <n v="4912"/>
    <x v="4"/>
    <s v="3/24/2020"/>
    <d v="2020-09-01T00:00:00"/>
    <x v="6"/>
  </r>
  <r>
    <n v="3311"/>
    <x v="4"/>
    <s v="8/27/2016"/>
    <d v="2016-09-01T00:00:00"/>
    <x v="3"/>
  </r>
  <r>
    <n v="3838"/>
    <x v="4"/>
    <s v="3/25/2019"/>
    <d v="2019-09-01T00:00:00"/>
    <x v="1"/>
  </r>
  <r>
    <n v="7881"/>
    <x v="4"/>
    <s v="1/10/2023"/>
    <d v="2023-09-01T00:00:00"/>
    <x v="9"/>
  </r>
  <r>
    <n v="3278"/>
    <x v="4"/>
    <s v="8/31/2016"/>
    <d v="2016-09-01T00:00:00"/>
    <x v="3"/>
  </r>
  <r>
    <n v="3059"/>
    <x v="4"/>
    <s v="10/14/2016"/>
    <d v="2016-09-01T00:00:00"/>
    <x v="2"/>
  </r>
  <r>
    <n v="2437"/>
    <x v="4"/>
    <s v="3/15/2017"/>
    <d v="2017-09-01T00:00:00"/>
    <x v="2"/>
  </r>
  <r>
    <n v="2338"/>
    <x v="4"/>
    <s v="4/30/2017"/>
    <d v="2017-09-01T00:00:00"/>
    <x v="2"/>
  </r>
  <r>
    <n v="1391"/>
    <x v="4"/>
    <s v="4/10/2018"/>
    <d v="2018-09-01T00:00:00"/>
    <x v="0"/>
  </r>
  <r>
    <n v="1626"/>
    <x v="4"/>
    <s v="6/1/2018"/>
    <d v="2018-09-01T00:00:00"/>
    <x v="0"/>
  </r>
  <r>
    <n v="3507"/>
    <x v="4"/>
    <s v="2/7/2019"/>
    <d v="2019-09-01T00:00:00"/>
    <x v="1"/>
  </r>
  <r>
    <n v="3823"/>
    <x v="4"/>
    <s v="3/13/2019"/>
    <d v="2019-09-01T00:00:00"/>
    <x v="1"/>
  </r>
  <r>
    <n v="3859"/>
    <x v="4"/>
    <s v="3/29/2019"/>
    <d v="2019-09-01T00:00:00"/>
    <x v="1"/>
  </r>
  <r>
    <n v="4769"/>
    <x v="4"/>
    <s v="1/22/2020"/>
    <d v="2020-09-01T00:00:00"/>
    <x v="6"/>
  </r>
  <r>
    <n v="4493"/>
    <x v="4"/>
    <s v="10/10/2019"/>
    <d v="2019-09-01T00:00:00"/>
    <x v="6"/>
  </r>
  <r>
    <n v="4579"/>
    <x v="4"/>
    <s v="9/30/2019"/>
    <d v="2019-09-01T00:00:00"/>
    <x v="6"/>
  </r>
  <r>
    <n v="7610"/>
    <x v="4"/>
    <s v="10/12/2022"/>
    <d v="2022-09-01T00:00:00"/>
    <x v="9"/>
  </r>
  <r>
    <n v="8223"/>
    <x v="4"/>
    <s v="4/20/2023"/>
    <d v="2023-09-01T00:00:00"/>
    <x v="9"/>
  </r>
  <r>
    <n v="6264"/>
    <x v="4"/>
    <s v="8/16/2021"/>
    <d v="2021-09-01T00:00:00"/>
    <x v="7"/>
  </r>
  <r>
    <n v="8125"/>
    <x v="4"/>
    <s v="3/28/2023"/>
    <d v="2023-09-01T00:00:00"/>
    <x v="9"/>
  </r>
  <r>
    <n v="1935"/>
    <x v="5"/>
    <s v="10/26/2018"/>
    <d v="2018-09-01T00:00:00"/>
    <x v="1"/>
  </r>
  <r>
    <n v="3972"/>
    <x v="5"/>
    <s v="3/29/2015"/>
    <d v="2015-09-01T00:00:00"/>
    <x v="4"/>
  </r>
  <r>
    <n v="4160"/>
    <x v="5"/>
    <s v="5/29/2014"/>
    <d v="2014-09-01T00:00:00"/>
    <x v="5"/>
  </r>
  <r>
    <n v="7706"/>
    <x v="5"/>
    <s v="11/11/2022"/>
    <d v="2022-09-01T00:00:00"/>
    <x v="9"/>
  </r>
  <r>
    <n v="1615"/>
    <x v="5"/>
    <s v="8/24/2018"/>
    <d v="2018-09-01T00:00:00"/>
    <x v="0"/>
  </r>
  <r>
    <n v="4130"/>
    <x v="5"/>
    <s v="7/10/2014"/>
    <d v="2014-09-01T00:00:00"/>
    <x v="5"/>
  </r>
  <r>
    <n v="1317"/>
    <x v="5"/>
    <s v="9/15/2017"/>
    <d v="2017-09-01T00:00:00"/>
    <x v="0"/>
  </r>
  <r>
    <n v="1490"/>
    <x v="5"/>
    <s v="2/5/2018"/>
    <d v="2018-09-01T00:00:00"/>
    <x v="0"/>
  </r>
  <r>
    <n v="2642"/>
    <x v="5"/>
    <s v="11/20/2018"/>
    <d v="2018-09-01T00:00:00"/>
    <x v="1"/>
  </r>
  <r>
    <n v="2747"/>
    <x v="5"/>
    <s v="11/26/2018"/>
    <d v="2018-09-01T00:00:00"/>
    <x v="1"/>
  </r>
  <r>
    <n v="4468"/>
    <x v="5"/>
    <s v="5/4/2014"/>
    <d v="2014-09-01T00:00:00"/>
    <x v="5"/>
  </r>
  <r>
    <n v="4469"/>
    <x v="5"/>
    <s v="5/2/2014"/>
    <d v="2014-09-01T00:00:00"/>
    <x v="5"/>
  </r>
  <r>
    <n v="5906"/>
    <x v="5"/>
    <s v="3/25/2021"/>
    <d v="2021-09-01T00:00:00"/>
    <x v="7"/>
  </r>
  <r>
    <n v="7162"/>
    <x v="5"/>
    <s v="6/1/2022"/>
    <d v="2022-09-01T00:00:00"/>
    <x v="8"/>
  </r>
  <r>
    <n v="7306"/>
    <x v="5"/>
    <s v="8/11/2022"/>
    <d v="2022-09-01T00:00:00"/>
    <x v="8"/>
  </r>
  <r>
    <n v="1381"/>
    <x v="5"/>
    <s v="11/2/2017"/>
    <d v="2017-09-01T00:00:00"/>
    <x v="0"/>
  </r>
  <r>
    <n v="3316"/>
    <x v="5"/>
    <s v="7/29/2016"/>
    <d v="2016-09-01T00:00:00"/>
    <x v="3"/>
  </r>
  <r>
    <n v="4045"/>
    <x v="5"/>
    <s v="11/6/2014"/>
    <d v="2014-09-01T00:00:00"/>
    <x v="4"/>
  </r>
  <r>
    <n v="4048"/>
    <x v="5"/>
    <s v="11/2/2014"/>
    <d v="2014-09-01T00:00:00"/>
    <x v="4"/>
  </r>
  <r>
    <n v="2015"/>
    <x v="5"/>
    <s v="8/18/2017"/>
    <d v="2017-09-01T00:00:00"/>
    <x v="2"/>
  </r>
  <r>
    <n v="4204"/>
    <x v="5"/>
    <s v="6/3/2014"/>
    <d v="2014-09-01T00:00:00"/>
    <x v="5"/>
  </r>
  <r>
    <n v="3620"/>
    <x v="5"/>
    <s v="1/5/2016"/>
    <d v="2016-09-01T00:00:00"/>
    <x v="3"/>
  </r>
  <r>
    <n v="4154"/>
    <x v="5"/>
    <s v="6/1/2014"/>
    <d v="2014-09-01T00:00:00"/>
    <x v="5"/>
  </r>
  <r>
    <n v="6999"/>
    <x v="5"/>
    <s v="3/16/2022"/>
    <d v="2022-09-01T00:00:00"/>
    <x v="8"/>
  </r>
  <r>
    <n v="3257"/>
    <x v="5"/>
    <s v="12/18/2018"/>
    <d v="2018-09-01T00:00:00"/>
    <x v="1"/>
  </r>
  <r>
    <n v="3330"/>
    <x v="5"/>
    <s v="7/13/2016"/>
    <d v="2016-09-01T00:00:00"/>
    <x v="3"/>
  </r>
  <r>
    <n v="3339"/>
    <x v="5"/>
    <s v="6/24/2016"/>
    <d v="2016-09-01T00:00:00"/>
    <x v="3"/>
  </r>
  <r>
    <n v="3428"/>
    <x v="5"/>
    <s v="5/19/2016"/>
    <d v="2016-09-01T00:00:00"/>
    <x v="3"/>
  </r>
  <r>
    <n v="3458"/>
    <x v="5"/>
    <s v="5/6/2016"/>
    <d v="2016-09-01T00:00:00"/>
    <x v="3"/>
  </r>
  <r>
    <n v="3529"/>
    <x v="5"/>
    <s v="4/30/2016"/>
    <d v="2016-09-01T00:00:00"/>
    <x v="3"/>
  </r>
  <r>
    <n v="3563"/>
    <x v="5"/>
    <s v="2/11/2016"/>
    <d v="2016-09-01T00:00:00"/>
    <x v="3"/>
  </r>
  <r>
    <n v="3639"/>
    <x v="5"/>
    <s v="11/25/2015"/>
    <d v="2015-09-01T00:00:00"/>
    <x v="3"/>
  </r>
  <r>
    <n v="3659"/>
    <x v="5"/>
    <s v="11/11/2015"/>
    <d v="2015-09-01T00:00:00"/>
    <x v="3"/>
  </r>
  <r>
    <n v="3663"/>
    <x v="5"/>
    <s v="11/3/2015"/>
    <d v="2015-09-01T00:00:00"/>
    <x v="3"/>
  </r>
  <r>
    <n v="3746"/>
    <x v="5"/>
    <s v="9/30/2015"/>
    <d v="2015-09-01T00:00:00"/>
    <x v="3"/>
  </r>
  <r>
    <n v="3755"/>
    <x v="5"/>
    <s v="11/25/2015"/>
    <d v="2015-09-01T00:00:00"/>
    <x v="3"/>
  </r>
  <r>
    <n v="3758"/>
    <x v="5"/>
    <s v="9/13/2015"/>
    <d v="2015-09-01T00:00:00"/>
    <x v="3"/>
  </r>
  <r>
    <n v="3803"/>
    <x v="5"/>
    <s v="6/30/2015"/>
    <d v="2015-09-01T00:00:00"/>
    <x v="4"/>
  </r>
  <r>
    <n v="3883"/>
    <x v="5"/>
    <s v="6/15/2015"/>
    <d v="2015-09-01T00:00:00"/>
    <x v="4"/>
  </r>
  <r>
    <n v="3899"/>
    <x v="5"/>
    <s v="5/15/2015"/>
    <d v="2015-09-01T00:00:00"/>
    <x v="4"/>
  </r>
  <r>
    <n v="3970"/>
    <x v="5"/>
    <s v="3/31/2015"/>
    <d v="2015-09-01T00:00:00"/>
    <x v="4"/>
  </r>
  <r>
    <n v="4016"/>
    <x v="5"/>
    <s v="1/25/2015"/>
    <d v="2015-09-01T00:00:00"/>
    <x v="4"/>
  </r>
  <r>
    <n v="4075"/>
    <x v="5"/>
    <s v="9/30/2014"/>
    <d v="2014-09-01T00:00:00"/>
    <x v="4"/>
  </r>
  <r>
    <n v="4125"/>
    <x v="5"/>
    <s v="7/29/2014"/>
    <d v="2014-09-01T00:00:00"/>
    <x v="5"/>
  </r>
  <r>
    <n v="4155"/>
    <x v="5"/>
    <s v="5/31/2014"/>
    <d v="2014-09-01T00:00:00"/>
    <x v="5"/>
  </r>
  <r>
    <n v="4357"/>
    <x v="5"/>
    <s v="7/18/2019"/>
    <d v="2019-09-01T00:00:00"/>
    <x v="1"/>
  </r>
  <r>
    <n v="4435"/>
    <x v="5"/>
    <s v="8/2/2019"/>
    <d v="2019-09-01T00:00:00"/>
    <x v="1"/>
  </r>
  <r>
    <n v="4458"/>
    <x v="5"/>
    <s v="6/3/2014"/>
    <d v="2014-09-01T00:00:00"/>
    <x v="5"/>
  </r>
  <r>
    <n v="4592"/>
    <x v="5"/>
    <s v="10/8/2019"/>
    <d v="2019-09-01T00:00:00"/>
    <x v="6"/>
  </r>
  <r>
    <n v="1460"/>
    <x v="5"/>
    <s v="12/6/2017"/>
    <d v="2017-09-01T00:00:00"/>
    <x v="0"/>
  </r>
  <r>
    <n v="2344"/>
    <x v="5"/>
    <s v="3/17/2017"/>
    <d v="2017-09-01T00:00:00"/>
    <x v="2"/>
  </r>
  <r>
    <n v="3212"/>
    <x v="5"/>
    <s v="9/14/2016"/>
    <d v="2016-09-01T00:00:00"/>
    <x v="2"/>
  </r>
  <r>
    <n v="4036"/>
    <x v="5"/>
    <s v="11/16/2014"/>
    <d v="2014-09-01T00:00:00"/>
    <x v="4"/>
  </r>
  <r>
    <n v="4141"/>
    <x v="5"/>
    <s v="5/28/2019"/>
    <d v="2019-09-01T00:00:00"/>
    <x v="1"/>
  </r>
  <r>
    <n v="4058"/>
    <x v="5"/>
    <s v="10/27/2014"/>
    <d v="2014-09-01T00:00:00"/>
    <x v="4"/>
  </r>
  <r>
    <n v="3421"/>
    <x v="5"/>
    <s v="1/22/2019"/>
    <d v="2019-09-01T00:00:00"/>
    <x v="1"/>
  </r>
  <r>
    <n v="4091"/>
    <x v="5"/>
    <s v="8/17/2014"/>
    <d v="2014-09-01T00:00:00"/>
    <x v="5"/>
  </r>
  <r>
    <n v="4942"/>
    <x v="5"/>
    <s v="5/28/2020"/>
    <d v="2020-09-01T00:00:00"/>
    <x v="6"/>
  </r>
  <r>
    <n v="5114"/>
    <x v="5"/>
    <s v="8/14/2020"/>
    <d v="2020-09-01T00:00:00"/>
    <x v="6"/>
  </r>
  <r>
    <n v="6436"/>
    <x v="5"/>
    <s v="10/20/2021"/>
    <d v="2021-09-01T00:00:00"/>
    <x v="8"/>
  </r>
  <r>
    <n v="7357"/>
    <x v="5"/>
    <s v="9/1/2022"/>
    <d v="2022-09-01T00:00:00"/>
    <x v="9"/>
  </r>
  <r>
    <n v="7355"/>
    <x v="5"/>
    <s v="9/16/2022"/>
    <d v="2022-09-01T00:00:00"/>
    <x v="9"/>
  </r>
  <r>
    <n v="3817"/>
    <x v="5"/>
    <s v="3/10/2019"/>
    <d v="2019-09-01T00:00:00"/>
    <x v="1"/>
  </r>
  <r>
    <n v="6073"/>
    <x v="5"/>
    <s v="5/17/2021"/>
    <d v="2021-09-01T00:00:00"/>
    <x v="7"/>
  </r>
  <r>
    <n v="7358"/>
    <x v="5"/>
    <s v="9/12/2022"/>
    <d v="2022-09-01T00:00:00"/>
    <x v="9"/>
  </r>
  <r>
    <n v="3617"/>
    <x v="5"/>
    <s v="1/10/2016"/>
    <d v="2016-09-01T00:00:00"/>
    <x v="3"/>
  </r>
  <r>
    <n v="7797"/>
    <x v="5"/>
    <s v="1/6/2023"/>
    <d v="2023-09-01T00:00:00"/>
    <x v="9"/>
  </r>
  <r>
    <n v="1312"/>
    <x v="5"/>
    <s v="5/30/2018"/>
    <d v="2018-09-01T00:00:00"/>
    <x v="0"/>
  </r>
  <r>
    <n v="1318"/>
    <x v="5"/>
    <s v="5/17/2018"/>
    <d v="2018-09-01T00:00:00"/>
    <x v="0"/>
  </r>
  <r>
    <n v="1372"/>
    <x v="5"/>
    <s v="10/5/2017"/>
    <d v="2017-09-01T00:00:00"/>
    <x v="0"/>
  </r>
  <r>
    <n v="1431"/>
    <x v="5"/>
    <s v="2/3/2018"/>
    <d v="2018-09-01T00:00:00"/>
    <x v="0"/>
  </r>
  <r>
    <n v="1468"/>
    <x v="5"/>
    <s v="11/28/2017"/>
    <d v="2017-09-01T00:00:00"/>
    <x v="0"/>
  </r>
  <r>
    <n v="1544"/>
    <x v="5"/>
    <s v="9/13/2018"/>
    <d v="2018-09-01T00:00:00"/>
    <x v="1"/>
  </r>
  <r>
    <n v="1914"/>
    <x v="5"/>
    <s v="10/25/2018"/>
    <d v="2018-09-01T00:00:00"/>
    <x v="1"/>
  </r>
  <r>
    <n v="1947"/>
    <x v="5"/>
    <s v="10/26/2018"/>
    <d v="2018-09-01T00:00:00"/>
    <x v="1"/>
  </r>
  <r>
    <n v="2007"/>
    <x v="5"/>
    <s v="8/22/2017"/>
    <d v="2017-09-01T00:00:00"/>
    <x v="2"/>
  </r>
  <r>
    <n v="2012"/>
    <x v="5"/>
    <s v="8/15/2017"/>
    <d v="2017-09-01T00:00:00"/>
    <x v="2"/>
  </r>
  <r>
    <n v="2089"/>
    <x v="5"/>
    <s v="7/1/2017"/>
    <d v="2017-09-01T00:00:00"/>
    <x v="2"/>
  </r>
  <r>
    <n v="2323"/>
    <x v="5"/>
    <s v="5/3/2017"/>
    <d v="2017-09-01T00:00:00"/>
    <x v="2"/>
  </r>
  <r>
    <n v="2825"/>
    <x v="5"/>
    <s v="12/29/2016"/>
    <d v="2016-09-01T00:00:00"/>
    <x v="2"/>
  </r>
  <r>
    <n v="3053"/>
    <x v="5"/>
    <s v="10/17/2016"/>
    <d v="2016-09-01T00:00:00"/>
    <x v="2"/>
  </r>
  <r>
    <n v="3218"/>
    <x v="5"/>
    <s v="9/13/2016"/>
    <d v="2016-09-01T00:00:00"/>
    <x v="2"/>
  </r>
  <r>
    <n v="3398"/>
    <x v="5"/>
    <s v="5/20/2016"/>
    <d v="2016-09-01T00:00:00"/>
    <x v="3"/>
  </r>
  <r>
    <n v="3415"/>
    <x v="5"/>
    <s v="1/20/2019"/>
    <d v="2019-09-01T00:00:00"/>
    <x v="1"/>
  </r>
  <r>
    <n v="3554"/>
    <x v="5"/>
    <s v="3/1/2016"/>
    <d v="2016-09-01T00:00:00"/>
    <x v="3"/>
  </r>
  <r>
    <n v="3558"/>
    <x v="5"/>
    <s v="2/20/2016"/>
    <d v="2016-09-01T00:00:00"/>
    <x v="3"/>
  </r>
  <r>
    <n v="3871"/>
    <x v="5"/>
    <s v="4/2/2019"/>
    <d v="2019-09-01T00:00:00"/>
    <x v="1"/>
  </r>
  <r>
    <n v="4354"/>
    <x v="5"/>
    <s v="7/26/2019"/>
    <d v="2019-09-01T00:00:00"/>
    <x v="1"/>
  </r>
  <r>
    <n v="4594"/>
    <x v="5"/>
    <s v="10/21/2019"/>
    <d v="2019-09-01T00:00:00"/>
    <x v="6"/>
  </r>
  <r>
    <n v="4608"/>
    <x v="5"/>
    <s v="10/25/2019"/>
    <d v="2019-09-01T00:00:00"/>
    <x v="6"/>
  </r>
  <r>
    <n v="4619"/>
    <x v="5"/>
    <s v="4/4/2014"/>
    <d v="2014-09-01T00:00:00"/>
    <x v="5"/>
  </r>
  <r>
    <n v="5537"/>
    <x v="5"/>
    <s v="11/3/2020"/>
    <d v="2020-09-01T00:00:00"/>
    <x v="7"/>
  </r>
  <r>
    <n v="5806"/>
    <x v="5"/>
    <s v="2/1/2021"/>
    <d v="2021-09-01T00:00:00"/>
    <x v="7"/>
  </r>
  <r>
    <n v="6664"/>
    <x v="5"/>
    <s v="10/21/2021"/>
    <d v="2021-09-01T00:00:00"/>
    <x v="8"/>
  </r>
  <r>
    <n v="7146"/>
    <x v="5"/>
    <s v="5/20/2022"/>
    <d v="2022-09-01T00:00:00"/>
    <x v="8"/>
  </r>
  <r>
    <n v="7157"/>
    <x v="5"/>
    <s v="6/8/2022"/>
    <d v="2022-09-01T00:00:00"/>
    <x v="8"/>
  </r>
  <r>
    <n v="7634"/>
    <x v="5"/>
    <s v="11/7/2022"/>
    <d v="2022-09-01T00:00:00"/>
    <x v="9"/>
  </r>
  <r>
    <n v="774"/>
    <x v="5"/>
    <s v="5/18/2016"/>
    <d v="2016-09-01T00:00:00"/>
    <x v="3"/>
  </r>
  <r>
    <n v="776"/>
    <x v="5"/>
    <s v="5/23/2016"/>
    <d v="2016-09-01T00:00:00"/>
    <x v="3"/>
  </r>
  <r>
    <n v="1306"/>
    <x v="5"/>
    <s v="6/16/2018"/>
    <d v="2018-09-01T00:00:00"/>
    <x v="0"/>
  </r>
  <r>
    <n v="1415"/>
    <x v="5"/>
    <s v="11/18/2017"/>
    <d v="2017-09-01T00:00:00"/>
    <x v="0"/>
  </r>
  <r>
    <n v="1930"/>
    <x v="5"/>
    <s v="10/25/2018"/>
    <d v="2018-09-01T00:00:00"/>
    <x v="1"/>
  </r>
  <r>
    <n v="2213"/>
    <x v="5"/>
    <s v="5/23/2017"/>
    <d v="2017-09-01T00:00:00"/>
    <x v="2"/>
  </r>
  <r>
    <n v="2311"/>
    <x v="5"/>
    <s v="5/16/2017"/>
    <d v="2017-09-01T00:00:00"/>
    <x v="2"/>
  </r>
  <r>
    <n v="3400"/>
    <x v="5"/>
    <s v="5/25/2016"/>
    <d v="2016-09-01T00:00:00"/>
    <x v="3"/>
  </r>
  <r>
    <n v="8173"/>
    <x v="5"/>
    <s v="4/17/2023"/>
    <d v="2023-09-01T00:00:00"/>
    <x v="9"/>
  </r>
  <r>
    <n v="2451"/>
    <x v="5"/>
    <s v="2/28/2017"/>
    <d v="2017-09-01T00:00:00"/>
    <x v="2"/>
  </r>
  <r>
    <n v="3881"/>
    <x v="5"/>
    <s v="6/27/2015"/>
    <d v="2015-09-01T00:00:00"/>
    <x v="4"/>
  </r>
  <r>
    <n v="5678"/>
    <x v="5"/>
    <s v="12/14/2020"/>
    <d v="2020-09-01T00:00:00"/>
    <x v="7"/>
  </r>
  <r>
    <n v="4883"/>
    <x v="5"/>
    <s v="4/9/2020"/>
    <d v="2020-09-01T00:00:00"/>
    <x v="6"/>
  </r>
  <r>
    <n v="3329"/>
    <x v="5"/>
    <s v="7/13/2016"/>
    <d v="2016-09-01T00:00:00"/>
    <x v="3"/>
  </r>
  <r>
    <n v="3426"/>
    <x v="5"/>
    <s v="5/20/2016"/>
    <d v="2016-09-01T00:00:00"/>
    <x v="3"/>
  </r>
  <r>
    <n v="3311"/>
    <x v="5"/>
    <s v="8/27/2016"/>
    <d v="2016-09-01T00:00:00"/>
    <x v="3"/>
  </r>
  <r>
    <n v="3838"/>
    <x v="5"/>
    <s v="3/25/2019"/>
    <d v="2019-09-01T00:00:00"/>
    <x v="1"/>
  </r>
  <r>
    <n v="7881"/>
    <x v="5"/>
    <s v="1/10/2023"/>
    <d v="2023-09-01T00:00:00"/>
    <x v="9"/>
  </r>
  <r>
    <n v="3059"/>
    <x v="5"/>
    <s v="10/14/2016"/>
    <d v="2016-09-01T00:00:00"/>
    <x v="2"/>
  </r>
  <r>
    <n v="2437"/>
    <x v="5"/>
    <s v="3/15/2017"/>
    <d v="2017-09-01T00:00:00"/>
    <x v="2"/>
  </r>
  <r>
    <n v="3859"/>
    <x v="5"/>
    <s v="3/29/2019"/>
    <d v="2019-09-01T00:00:00"/>
    <x v="1"/>
  </r>
  <r>
    <n v="4769"/>
    <x v="5"/>
    <s v="1/22/2020"/>
    <d v="2020-09-01T00:00:00"/>
    <x v="6"/>
  </r>
  <r>
    <n v="4829"/>
    <x v="5"/>
    <s v="2/18/2020"/>
    <d v="2020-09-01T00:00:00"/>
    <x v="6"/>
  </r>
  <r>
    <n v="4373"/>
    <x v="5"/>
    <s v="8/28/2019"/>
    <d v="2019-09-01T00:00:00"/>
    <x v="1"/>
  </r>
  <r>
    <n v="7996"/>
    <x v="5"/>
    <s v="1/31/2023"/>
    <d v="2023-09-01T00:00:00"/>
    <x v="9"/>
  </r>
  <r>
    <n v="6919"/>
    <x v="5"/>
    <s v="2/23/2022"/>
    <d v="2022-09-01T00:00:00"/>
    <x v="8"/>
  </r>
  <r>
    <n v="8054"/>
    <x v="5"/>
    <s v="2/16/2023"/>
    <d v="2023-09-01T00:00:00"/>
    <x v="9"/>
  </r>
  <r>
    <n v="4018"/>
    <x v="6"/>
    <s v="1/11/2015"/>
    <d v="2015-09-01T00:00:00"/>
    <x v="4"/>
  </r>
  <r>
    <n v="4130"/>
    <x v="6"/>
    <s v="7/10/2014"/>
    <d v="2014-09-01T00:00:00"/>
    <x v="5"/>
  </r>
  <r>
    <n v="1392"/>
    <x v="6"/>
    <s v="4/5/2018"/>
    <d v="2018-09-01T00:00:00"/>
    <x v="0"/>
  </r>
  <r>
    <n v="1413"/>
    <x v="6"/>
    <s v="11/10/2017"/>
    <d v="2017-09-01T00:00:00"/>
    <x v="0"/>
  </r>
  <r>
    <n v="1681"/>
    <x v="6"/>
    <s v="8/24/2018"/>
    <d v="2018-09-01T00:00:00"/>
    <x v="0"/>
  </r>
  <r>
    <n v="3002"/>
    <x v="6"/>
    <s v="11/26/2016"/>
    <d v="2016-09-01T00:00:00"/>
    <x v="2"/>
  </r>
  <r>
    <n v="3345"/>
    <x v="6"/>
    <s v="5/29/2016"/>
    <d v="2016-09-01T00:00:00"/>
    <x v="3"/>
  </r>
  <r>
    <n v="3376"/>
    <x v="6"/>
    <s v="1/28/2019"/>
    <d v="2019-09-01T00:00:00"/>
    <x v="1"/>
  </r>
  <r>
    <n v="3539"/>
    <x v="6"/>
    <s v="4/22/2016"/>
    <d v="2016-09-01T00:00:00"/>
    <x v="3"/>
  </r>
  <r>
    <n v="3612"/>
    <x v="6"/>
    <s v="1/29/2016"/>
    <d v="2016-09-01T00:00:00"/>
    <x v="3"/>
  </r>
  <r>
    <n v="3797"/>
    <x v="6"/>
    <s v="7/20/2015"/>
    <d v="2015-09-01T00:00:00"/>
    <x v="4"/>
  </r>
  <r>
    <n v="3801"/>
    <x v="6"/>
    <s v="7/4/2015"/>
    <d v="2015-09-01T00:00:00"/>
    <x v="4"/>
  </r>
  <r>
    <n v="3887"/>
    <x v="6"/>
    <s v="6/5/2015"/>
    <d v="2015-09-01T00:00:00"/>
    <x v="4"/>
  </r>
  <r>
    <n v="3943"/>
    <x v="6"/>
    <s v="4/24/2015"/>
    <d v="2015-09-01T00:00:00"/>
    <x v="4"/>
  </r>
  <r>
    <n v="4081"/>
    <x v="6"/>
    <s v="9/25/2014"/>
    <d v="2014-09-01T00:00:00"/>
    <x v="4"/>
  </r>
  <r>
    <n v="4085"/>
    <x v="6"/>
    <s v="8/31/2014"/>
    <d v="2014-09-01T00:00:00"/>
    <x v="5"/>
  </r>
  <r>
    <n v="4089"/>
    <x v="6"/>
    <s v="8/22/2014"/>
    <d v="2014-09-01T00:00:00"/>
    <x v="5"/>
  </r>
  <r>
    <n v="4133"/>
    <x v="6"/>
    <s v="7/1/2014"/>
    <d v="2014-09-01T00:00:00"/>
    <x v="5"/>
  </r>
  <r>
    <n v="4151"/>
    <x v="6"/>
    <s v="6/15/2014"/>
    <d v="2014-09-01T00:00:00"/>
    <x v="5"/>
  </r>
  <r>
    <n v="4466"/>
    <x v="6"/>
    <s v="5/5/2014"/>
    <d v="2014-09-01T00:00:00"/>
    <x v="5"/>
  </r>
  <r>
    <n v="4662"/>
    <x v="6"/>
    <s v="11/1/2019"/>
    <d v="2019-09-01T00:00:00"/>
    <x v="6"/>
  </r>
  <r>
    <n v="6606"/>
    <x v="6"/>
    <s v="11/1/2021"/>
    <d v="2021-09-01T00:00:00"/>
    <x v="8"/>
  </r>
  <r>
    <n v="6747"/>
    <x v="6"/>
    <s v="12/17/2021"/>
    <d v="2021-09-01T00:00:00"/>
    <x v="8"/>
  </r>
  <r>
    <n v="7265"/>
    <x v="6"/>
    <s v="7/12/2022"/>
    <d v="2022-09-01T00:00:00"/>
    <x v="8"/>
  </r>
  <r>
    <n v="7744"/>
    <x v="6"/>
    <s v="11/28/2022"/>
    <d v="2022-09-01T00:00:00"/>
    <x v="9"/>
  </r>
  <r>
    <n v="3895"/>
    <x v="6"/>
    <s v="6/1/2015"/>
    <d v="2015-09-01T00:00:00"/>
    <x v="4"/>
  </r>
  <r>
    <n v="4073"/>
    <x v="6"/>
    <s v="9/30/2014"/>
    <d v="2014-09-01T00:00:00"/>
    <x v="4"/>
  </r>
  <r>
    <n v="3316"/>
    <x v="6"/>
    <s v="7/29/2016"/>
    <d v="2016-09-01T00:00:00"/>
    <x v="3"/>
  </r>
  <r>
    <n v="4045"/>
    <x v="6"/>
    <s v="11/6/2014"/>
    <d v="2014-09-01T00:00:00"/>
    <x v="4"/>
  </r>
  <r>
    <n v="4093"/>
    <x v="6"/>
    <s v="8/1/2014"/>
    <d v="2014-09-01T00:00:00"/>
    <x v="5"/>
  </r>
  <r>
    <n v="4202"/>
    <x v="6"/>
    <s v="5/25/2014"/>
    <d v="2014-09-01T00:00:00"/>
    <x v="5"/>
  </r>
  <r>
    <n v="4058"/>
    <x v="6"/>
    <s v="10/27/2014"/>
    <d v="2014-09-01T00:00:00"/>
    <x v="4"/>
  </r>
  <r>
    <n v="3617"/>
    <x v="6"/>
    <s v="1/10/2016"/>
    <d v="2016-09-01T00:00:00"/>
    <x v="3"/>
  </r>
  <r>
    <n v="7797"/>
    <x v="6"/>
    <s v="1/6/2023"/>
    <d v="2023-09-01T00:00:00"/>
    <x v="9"/>
  </r>
  <r>
    <n v="3334"/>
    <x v="6"/>
    <s v="6/30/2016"/>
    <d v="2016-09-01T00:00:00"/>
    <x v="3"/>
  </r>
  <r>
    <n v="4087"/>
    <x v="6"/>
    <s v="8/27/2014"/>
    <d v="2014-09-01T00:00:00"/>
    <x v="5"/>
  </r>
  <r>
    <n v="4239"/>
    <x v="6"/>
    <s v="6/14/2019"/>
    <d v="2019-09-01T00:00:00"/>
    <x v="1"/>
  </r>
  <r>
    <n v="6926"/>
    <x v="6"/>
    <s v="2/24/2022"/>
    <d v="2022-09-01T00:00:00"/>
    <x v="8"/>
  </r>
  <r>
    <n v="7196"/>
    <x v="6"/>
    <s v="6/21/2022"/>
    <d v="2022-09-01T00:00:00"/>
    <x v="8"/>
  </r>
  <r>
    <n v="7325"/>
    <x v="6"/>
    <s v="8/11/2022"/>
    <d v="2022-09-01T00:00:00"/>
    <x v="8"/>
  </r>
  <r>
    <n v="3941"/>
    <x v="6"/>
    <s v="4/25/2015"/>
    <d v="2015-09-01T00:00:00"/>
    <x v="4"/>
  </r>
  <r>
    <n v="4052"/>
    <x v="6"/>
    <s v="10/31/2014"/>
    <d v="2014-09-01T00:00:00"/>
    <x v="4"/>
  </r>
  <r>
    <n v="433"/>
    <x v="6"/>
    <s v="7/26/2018"/>
    <d v="2018-09-01T00:00:00"/>
    <x v="0"/>
  </r>
  <r>
    <n v="769"/>
    <x v="6"/>
    <s v="3/21/2018"/>
    <d v="2018-09-01T00:00:00"/>
    <x v="0"/>
  </r>
  <r>
    <n v="1343"/>
    <x v="6"/>
    <s v="9/15/2017"/>
    <d v="2017-09-01T00:00:00"/>
    <x v="0"/>
  </r>
  <r>
    <n v="1346"/>
    <x v="6"/>
    <s v="5/11/2018"/>
    <d v="2018-09-01T00:00:00"/>
    <x v="0"/>
  </r>
  <r>
    <n v="1347"/>
    <x v="6"/>
    <s v="9/18/2017"/>
    <d v="2017-09-01T00:00:00"/>
    <x v="0"/>
  </r>
  <r>
    <n v="1352"/>
    <x v="6"/>
    <s v="9/27/2017"/>
    <d v="2017-09-01T00:00:00"/>
    <x v="0"/>
  </r>
  <r>
    <n v="1361"/>
    <x v="6"/>
    <s v="10/16/2017"/>
    <d v="2017-09-01T00:00:00"/>
    <x v="0"/>
  </r>
  <r>
    <n v="1411"/>
    <x v="6"/>
    <s v="11/1/2017"/>
    <d v="2017-09-01T00:00:00"/>
    <x v="0"/>
  </r>
  <r>
    <n v="1448"/>
    <x v="6"/>
    <s v="1/30/2018"/>
    <d v="2018-09-01T00:00:00"/>
    <x v="0"/>
  </r>
  <r>
    <n v="1453"/>
    <x v="6"/>
    <s v="1/9/2018"/>
    <d v="2018-09-01T00:00:00"/>
    <x v="0"/>
  </r>
  <r>
    <n v="1456"/>
    <x v="6"/>
    <s v="1/9/2018"/>
    <d v="2018-09-01T00:00:00"/>
    <x v="0"/>
  </r>
  <r>
    <n v="1465"/>
    <x v="6"/>
    <s v="12/1/2017"/>
    <d v="2017-09-01T00:00:00"/>
    <x v="0"/>
  </r>
  <r>
    <n v="1493"/>
    <x v="6"/>
    <s v="8/17/2018"/>
    <d v="2018-09-01T00:00:00"/>
    <x v="0"/>
  </r>
  <r>
    <n v="1668"/>
    <x v="6"/>
    <s v="9/20/2018"/>
    <d v="2018-09-01T00:00:00"/>
    <x v="1"/>
  </r>
  <r>
    <n v="1950"/>
    <x v="6"/>
    <s v="8/31/2017"/>
    <d v="2017-09-01T00:00:00"/>
    <x v="2"/>
  </r>
  <r>
    <n v="2084"/>
    <x v="6"/>
    <s v="7/31/2017"/>
    <d v="2017-09-01T00:00:00"/>
    <x v="2"/>
  </r>
  <r>
    <n v="2087"/>
    <x v="6"/>
    <s v="7/31/2017"/>
    <d v="2017-09-01T00:00:00"/>
    <x v="2"/>
  </r>
  <r>
    <n v="2111"/>
    <x v="6"/>
    <s v="11/2/2018"/>
    <d v="2018-09-01T00:00:00"/>
    <x v="1"/>
  </r>
  <r>
    <n v="2209"/>
    <x v="6"/>
    <s v="6/2/2017"/>
    <d v="2017-09-01T00:00:00"/>
    <x v="2"/>
  </r>
  <r>
    <n v="2519"/>
    <x v="6"/>
    <s v="1/31/2017"/>
    <d v="2017-09-01T00:00:00"/>
    <x v="2"/>
  </r>
  <r>
    <n v="2523"/>
    <x v="6"/>
    <s v="1/29/2017"/>
    <d v="2017-09-01T00:00:00"/>
    <x v="2"/>
  </r>
  <r>
    <n v="2977"/>
    <x v="6"/>
    <s v="12/3/2018"/>
    <d v="2018-09-01T00:00:00"/>
    <x v="1"/>
  </r>
  <r>
    <n v="3274"/>
    <x v="6"/>
    <s v="1/10/2019"/>
    <d v="2019-09-01T00:00:00"/>
    <x v="1"/>
  </r>
  <r>
    <n v="3336"/>
    <x v="6"/>
    <s v="6/29/2016"/>
    <d v="2016-09-01T00:00:00"/>
    <x v="3"/>
  </r>
  <r>
    <n v="3460"/>
    <x v="6"/>
    <s v="5/1/2016"/>
    <d v="2016-09-01T00:00:00"/>
    <x v="3"/>
  </r>
  <r>
    <n v="3562"/>
    <x v="6"/>
    <s v="2/15/2016"/>
    <d v="2016-09-01T00:00:00"/>
    <x v="3"/>
  </r>
  <r>
    <n v="3791"/>
    <x v="6"/>
    <s v="7/30/2015"/>
    <d v="2015-09-01T00:00:00"/>
    <x v="4"/>
  </r>
  <r>
    <n v="3793"/>
    <x v="6"/>
    <s v="7/27/2015"/>
    <d v="2015-09-01T00:00:00"/>
    <x v="4"/>
  </r>
  <r>
    <n v="3868"/>
    <x v="6"/>
    <s v="4/1/2019"/>
    <d v="2019-09-01T00:00:00"/>
    <x v="1"/>
  </r>
  <r>
    <n v="3934"/>
    <x v="6"/>
    <s v="4/15/2019"/>
    <d v="2019-09-01T00:00:00"/>
    <x v="1"/>
  </r>
  <r>
    <n v="3939"/>
    <x v="6"/>
    <s v="4/16/2019"/>
    <d v="2019-09-01T00:00:00"/>
    <x v="1"/>
  </r>
  <r>
    <n v="3964"/>
    <x v="6"/>
    <s v="4/19/2019"/>
    <d v="2019-09-01T00:00:00"/>
    <x v="1"/>
  </r>
  <r>
    <n v="3991"/>
    <x v="6"/>
    <s v="2/27/2015"/>
    <d v="2015-09-01T00:00:00"/>
    <x v="4"/>
  </r>
  <r>
    <n v="4008"/>
    <x v="6"/>
    <s v="2/17/2015"/>
    <d v="2015-09-01T00:00:00"/>
    <x v="4"/>
  </r>
  <r>
    <n v="4040"/>
    <x v="6"/>
    <s v="4/29/2019"/>
    <d v="2019-09-01T00:00:00"/>
    <x v="1"/>
  </r>
  <r>
    <n v="4096"/>
    <x v="6"/>
    <s v="5/6/2019"/>
    <d v="2019-09-01T00:00:00"/>
    <x v="1"/>
  </r>
  <r>
    <n v="4100"/>
    <x v="6"/>
    <s v="5/2/2019"/>
    <d v="2019-09-01T00:00:00"/>
    <x v="1"/>
  </r>
  <r>
    <n v="4127"/>
    <x v="6"/>
    <s v="7/27/2014"/>
    <d v="2014-09-01T00:00:00"/>
    <x v="5"/>
  </r>
  <r>
    <n v="4172"/>
    <x v="6"/>
    <s v="6/4/2019"/>
    <d v="2019-09-01T00:00:00"/>
    <x v="1"/>
  </r>
  <r>
    <n v="4195"/>
    <x v="6"/>
    <s v="6/6/2019"/>
    <d v="2019-09-01T00:00:00"/>
    <x v="1"/>
  </r>
  <r>
    <n v="4225"/>
    <x v="6"/>
    <s v="6/19/2019"/>
    <d v="2019-09-01T00:00:00"/>
    <x v="1"/>
  </r>
  <r>
    <n v="4283"/>
    <x v="6"/>
    <s v="7/17/2019"/>
    <d v="2019-09-01T00:00:00"/>
    <x v="1"/>
  </r>
  <r>
    <n v="4291"/>
    <x v="6"/>
    <s v="7/25/2019"/>
    <d v="2019-09-01T00:00:00"/>
    <x v="1"/>
  </r>
  <r>
    <n v="4328"/>
    <x v="6"/>
    <s v="8/15/2019"/>
    <d v="2019-09-01T00:00:00"/>
    <x v="1"/>
  </r>
  <r>
    <n v="4336"/>
    <x v="6"/>
    <s v="8/19/2019"/>
    <d v="2019-09-01T00:00:00"/>
    <x v="1"/>
  </r>
  <r>
    <n v="4387"/>
    <x v="6"/>
    <s v="9/9/2019"/>
    <d v="2019-09-01T00:00:00"/>
    <x v="6"/>
  </r>
  <r>
    <n v="4411"/>
    <x v="6"/>
    <s v="9/12/2019"/>
    <d v="2019-09-01T00:00:00"/>
    <x v="6"/>
  </r>
  <r>
    <n v="4531"/>
    <x v="6"/>
    <s v="10/31/2019"/>
    <d v="2019-09-01T00:00:00"/>
    <x v="6"/>
  </r>
  <r>
    <n v="4574"/>
    <x v="6"/>
    <s v="11/12/2019"/>
    <d v="2019-09-01T00:00:00"/>
    <x v="6"/>
  </r>
  <r>
    <n v="4641"/>
    <x v="6"/>
    <s v="12/2/2019"/>
    <d v="2019-09-01T00:00:00"/>
    <x v="6"/>
  </r>
  <r>
    <n v="4650"/>
    <x v="6"/>
    <s v="12/9/2019"/>
    <d v="2019-09-01T00:00:00"/>
    <x v="6"/>
  </r>
  <r>
    <n v="4656"/>
    <x v="6"/>
    <s v="12/8/2019"/>
    <d v="2019-09-01T00:00:00"/>
    <x v="6"/>
  </r>
  <r>
    <n v="4659"/>
    <x v="6"/>
    <s v="11/18/2019"/>
    <d v="2019-09-01T00:00:00"/>
    <x v="6"/>
  </r>
  <r>
    <n v="4713"/>
    <x v="6"/>
    <s v="1/13/2020"/>
    <d v="2020-09-01T00:00:00"/>
    <x v="6"/>
  </r>
  <r>
    <n v="4763"/>
    <x v="6"/>
    <s v="12/9/2019"/>
    <d v="2019-09-01T00:00:00"/>
    <x v="6"/>
  </r>
  <r>
    <n v="4794"/>
    <x v="6"/>
    <s v="2/19/2020"/>
    <d v="2020-09-01T00:00:00"/>
    <x v="6"/>
  </r>
  <r>
    <n v="4800"/>
    <x v="6"/>
    <s v="12/18/2019"/>
    <d v="2019-09-01T00:00:00"/>
    <x v="6"/>
  </r>
  <r>
    <n v="4889"/>
    <x v="6"/>
    <s v="4/13/2020"/>
    <d v="2020-09-01T00:00:00"/>
    <x v="6"/>
  </r>
  <r>
    <n v="4899"/>
    <x v="6"/>
    <s v="4/20/2020"/>
    <d v="2020-09-01T00:00:00"/>
    <x v="6"/>
  </r>
  <r>
    <n v="4921"/>
    <x v="6"/>
    <s v="5/19/2020"/>
    <d v="2020-09-01T00:00:00"/>
    <x v="6"/>
  </r>
  <r>
    <n v="4924"/>
    <x v="6"/>
    <s v="5/26/2020"/>
    <d v="2020-09-01T00:00:00"/>
    <x v="6"/>
  </r>
  <r>
    <n v="4964"/>
    <x v="6"/>
    <s v="6/23/2020"/>
    <d v="2020-09-01T00:00:00"/>
    <x v="6"/>
  </r>
  <r>
    <n v="4998"/>
    <x v="6"/>
    <s v="7/14/2020"/>
    <d v="2020-09-01T00:00:00"/>
    <x v="6"/>
  </r>
  <r>
    <n v="5003"/>
    <x v="6"/>
    <s v="7/23/2020"/>
    <d v="2020-09-01T00:00:00"/>
    <x v="6"/>
  </r>
  <r>
    <n v="5016"/>
    <x v="6"/>
    <s v="8/5/2020"/>
    <d v="2020-09-01T00:00:00"/>
    <x v="6"/>
  </r>
  <r>
    <n v="5038"/>
    <x v="6"/>
    <s v="9/1/2020"/>
    <d v="2020-09-01T00:00:00"/>
    <x v="7"/>
  </r>
  <r>
    <n v="5070"/>
    <x v="6"/>
    <s v="9/2/2020"/>
    <d v="2020-09-01T00:00:00"/>
    <x v="7"/>
  </r>
  <r>
    <n v="5094"/>
    <x v="6"/>
    <s v="9/8/2020"/>
    <d v="2020-09-01T00:00:00"/>
    <x v="7"/>
  </r>
  <r>
    <n v="5446"/>
    <x v="6"/>
    <s v="10/20/2020"/>
    <d v="2020-09-01T00:00:00"/>
    <x v="7"/>
  </r>
  <r>
    <n v="5454"/>
    <x v="6"/>
    <s v="10/12/2020"/>
    <d v="2020-09-01T00:00:00"/>
    <x v="7"/>
  </r>
  <r>
    <n v="5523"/>
    <x v="6"/>
    <s v="10/29/2020"/>
    <d v="2020-09-01T00:00:00"/>
    <x v="7"/>
  </r>
  <r>
    <n v="5578"/>
    <x v="6"/>
    <s v="11/12/2020"/>
    <d v="2020-09-01T00:00:00"/>
    <x v="7"/>
  </r>
  <r>
    <n v="5606"/>
    <x v="6"/>
    <s v="11/23/2020"/>
    <d v="2020-09-01T00:00:00"/>
    <x v="7"/>
  </r>
  <r>
    <n v="5761"/>
    <x v="6"/>
    <s v="1/15/2021"/>
    <d v="2021-09-01T00:00:00"/>
    <x v="7"/>
  </r>
  <r>
    <n v="5795"/>
    <x v="6"/>
    <s v="1/28/2021"/>
    <d v="2021-09-01T00:00:00"/>
    <x v="7"/>
  </r>
  <r>
    <n v="5842"/>
    <x v="6"/>
    <s v="2/18/2021"/>
    <d v="2021-09-01T00:00:00"/>
    <x v="7"/>
  </r>
  <r>
    <n v="5864"/>
    <x v="6"/>
    <s v="3/12/2021"/>
    <d v="2021-09-01T00:00:00"/>
    <x v="7"/>
  </r>
  <r>
    <n v="6008"/>
    <x v="6"/>
    <s v="4/28/2021"/>
    <d v="2021-09-01T00:00:00"/>
    <x v="7"/>
  </r>
  <r>
    <n v="6033"/>
    <x v="6"/>
    <s v="5/5/2021"/>
    <d v="2021-09-01T00:00:00"/>
    <x v="7"/>
  </r>
  <r>
    <n v="6094"/>
    <x v="6"/>
    <s v="5/20/2021"/>
    <d v="2021-09-01T00:00:00"/>
    <x v="7"/>
  </r>
  <r>
    <n v="6180"/>
    <x v="6"/>
    <s v="6/29/2021"/>
    <d v="2021-09-01T00:00:00"/>
    <x v="7"/>
  </r>
  <r>
    <n v="6556"/>
    <x v="6"/>
    <s v="10/20/2021"/>
    <d v="2021-09-01T00:00:00"/>
    <x v="8"/>
  </r>
  <r>
    <n v="6642"/>
    <x v="6"/>
    <s v="11/8/2021"/>
    <d v="2021-09-01T00:00:00"/>
    <x v="8"/>
  </r>
  <r>
    <n v="6776"/>
    <x v="6"/>
    <s v="1/6/2022"/>
    <d v="2022-09-01T00:00:00"/>
    <x v="8"/>
  </r>
  <r>
    <n v="6828"/>
    <x v="6"/>
    <s v="1/26/2022"/>
    <d v="2022-09-01T00:00:00"/>
    <x v="8"/>
  </r>
  <r>
    <n v="6944"/>
    <x v="6"/>
    <s v="2/28/2022"/>
    <d v="2022-09-01T00:00:00"/>
    <x v="8"/>
  </r>
  <r>
    <n v="7033"/>
    <x v="6"/>
    <s v="4/6/2022"/>
    <d v="2022-09-01T00:00:00"/>
    <x v="8"/>
  </r>
  <r>
    <n v="7066"/>
    <x v="6"/>
    <s v="4/20/2022"/>
    <d v="2022-09-01T00:00:00"/>
    <x v="8"/>
  </r>
  <r>
    <n v="7177"/>
    <x v="6"/>
    <s v="6/13/2022"/>
    <d v="2022-09-01T00:00:00"/>
    <x v="8"/>
  </r>
  <r>
    <n v="7223"/>
    <x v="6"/>
    <s v="6/29/2022"/>
    <d v="2022-09-01T00:00:00"/>
    <x v="8"/>
  </r>
  <r>
    <n v="7243"/>
    <x v="6"/>
    <s v="7/8/2022"/>
    <d v="2022-09-01T00:00:00"/>
    <x v="8"/>
  </r>
  <r>
    <n v="7285"/>
    <x v="6"/>
    <s v="8/3/2022"/>
    <d v="2022-09-01T00:00:00"/>
    <x v="8"/>
  </r>
  <r>
    <n v="7296"/>
    <x v="6"/>
    <s v="8/8/2022"/>
    <d v="2022-09-01T00:00:00"/>
    <x v="8"/>
  </r>
  <r>
    <n v="7305"/>
    <x v="6"/>
    <s v="8/12/2022"/>
    <d v="2022-09-01T00:00:00"/>
    <x v="8"/>
  </r>
  <r>
    <n v="7359"/>
    <x v="6"/>
    <s v="8/29/2022"/>
    <d v="2022-09-01T00:00:00"/>
    <x v="8"/>
  </r>
  <r>
    <n v="7385"/>
    <x v="6"/>
    <s v="9/1/2022"/>
    <d v="2022-09-01T00:00:00"/>
    <x v="9"/>
  </r>
  <r>
    <n v="7643"/>
    <x v="6"/>
    <s v="10/18/2022"/>
    <d v="2022-09-01T00:00:00"/>
    <x v="9"/>
  </r>
  <r>
    <n v="7711"/>
    <x v="6"/>
    <s v="11/8/2022"/>
    <d v="2022-09-01T00:00:00"/>
    <x v="9"/>
  </r>
  <r>
    <n v="7735"/>
    <x v="6"/>
    <s v="11/21/2022"/>
    <d v="2022-09-01T00:00:00"/>
    <x v="9"/>
  </r>
  <r>
    <n v="7768"/>
    <x v="6"/>
    <s v="12/7/2022"/>
    <d v="2022-09-01T00:00:00"/>
    <x v="9"/>
  </r>
  <r>
    <n v="7918"/>
    <x v="6"/>
    <s v="1/17/2023"/>
    <d v="2023-09-01T00:00:00"/>
    <x v="9"/>
  </r>
  <r>
    <n v="7916"/>
    <x v="6"/>
    <s v="1/18/2023"/>
    <d v="2023-09-01T00:00:00"/>
    <x v="9"/>
  </r>
  <r>
    <n v="8015"/>
    <x v="6"/>
    <s v="2/3/2023"/>
    <d v="2023-09-01T00:00:00"/>
    <x v="9"/>
  </r>
  <r>
    <n v="8250"/>
    <x v="6"/>
    <s v="4/25/2023"/>
    <d v="2023-09-01T00:00:00"/>
    <x v="9"/>
  </r>
  <r>
    <n v="2999"/>
    <x v="6"/>
    <s v="11/28/2016"/>
    <d v="2016-09-01T00:00:00"/>
    <x v="2"/>
  </r>
  <r>
    <n v="3634"/>
    <x v="6"/>
    <s v="2/20/2019"/>
    <d v="2019-09-01T00:00:00"/>
    <x v="1"/>
  </r>
  <r>
    <n v="5732"/>
    <x v="6"/>
    <s v="12/21/2020"/>
    <d v="2020-09-01T00:00:00"/>
    <x v="7"/>
  </r>
  <r>
    <n v="7449"/>
    <x v="6"/>
    <s v="8/29/2022"/>
    <d v="2022-09-01T00:00:00"/>
    <x v="8"/>
  </r>
  <r>
    <n v="1310"/>
    <x v="6"/>
    <s v="6/4/2018"/>
    <d v="2018-09-01T00:00:00"/>
    <x v="0"/>
  </r>
  <r>
    <n v="2203"/>
    <x v="6"/>
    <s v="6/3/2017"/>
    <d v="2017-09-01T00:00:00"/>
    <x v="2"/>
  </r>
  <r>
    <n v="2306"/>
    <x v="6"/>
    <s v="5/18/2017"/>
    <d v="2017-09-01T00:00:00"/>
    <x v="2"/>
  </r>
  <r>
    <n v="2408"/>
    <x v="6"/>
    <s v="11/12/2018"/>
    <d v="2018-09-01T00:00:00"/>
    <x v="1"/>
  </r>
  <r>
    <n v="3534"/>
    <x v="6"/>
    <s v="4/28/2016"/>
    <d v="2016-09-01T00:00:00"/>
    <x v="3"/>
  </r>
  <r>
    <n v="4359"/>
    <x v="6"/>
    <s v="8/23/2019"/>
    <d v="2019-09-01T00:00:00"/>
    <x v="1"/>
  </r>
  <r>
    <n v="4460"/>
    <x v="6"/>
    <s v="5/8/2014"/>
    <d v="2014-09-01T00:00:00"/>
    <x v="5"/>
  </r>
  <r>
    <n v="8226"/>
    <x v="6"/>
    <s v="4/20/2023"/>
    <d v="2023-09-01T00:00:00"/>
    <x v="9"/>
  </r>
  <r>
    <n v="3978"/>
    <x v="6"/>
    <s v="2/28/2015"/>
    <d v="2015-09-01T00:00:00"/>
    <x v="4"/>
  </r>
  <r>
    <n v="2551"/>
    <x v="6"/>
    <s v="1/1/2017"/>
    <d v="2017-09-01T00:00:00"/>
    <x v="2"/>
  </r>
  <r>
    <n v="3947"/>
    <x v="6"/>
    <s v="4/10/2015"/>
    <d v="2015-09-01T00:00:00"/>
    <x v="4"/>
  </r>
  <r>
    <n v="4242"/>
    <x v="6"/>
    <s v="6/21/2019"/>
    <d v="2019-09-01T00:00:00"/>
    <x v="1"/>
  </r>
  <r>
    <n v="4912"/>
    <x v="6"/>
    <s v="3/24/2020"/>
    <d v="2020-09-01T00:00:00"/>
    <x v="6"/>
  </r>
  <r>
    <n v="3622"/>
    <x v="6"/>
    <s v="1/1/2016"/>
    <d v="2016-09-01T00:00:00"/>
    <x v="3"/>
  </r>
  <r>
    <n v="3329"/>
    <x v="6"/>
    <s v="7/13/2016"/>
    <d v="2016-09-01T00:00:00"/>
    <x v="3"/>
  </r>
  <r>
    <n v="3426"/>
    <x v="6"/>
    <s v="5/20/2016"/>
    <d v="2016-09-01T00:00:00"/>
    <x v="3"/>
  </r>
  <r>
    <n v="3332"/>
    <x v="6"/>
    <s v="7/12/2016"/>
    <d v="2016-09-01T00:00:00"/>
    <x v="3"/>
  </r>
  <r>
    <n v="3311"/>
    <x v="6"/>
    <s v="8/27/2016"/>
    <d v="2016-09-01T00:00:00"/>
    <x v="3"/>
  </r>
  <r>
    <n v="3838"/>
    <x v="6"/>
    <s v="3/25/2019"/>
    <d v="2019-09-01T00:00:00"/>
    <x v="1"/>
  </r>
  <r>
    <n v="7881"/>
    <x v="6"/>
    <s v="1/10/2023"/>
    <d v="2023-09-01T00:00:00"/>
    <x v="9"/>
  </r>
  <r>
    <n v="3278"/>
    <x v="6"/>
    <s v="8/31/2016"/>
    <d v="2016-09-01T00:00:00"/>
    <x v="3"/>
  </r>
  <r>
    <n v="3059"/>
    <x v="6"/>
    <s v="10/14/2016"/>
    <d v="2016-09-01T00:00:00"/>
    <x v="2"/>
  </r>
  <r>
    <n v="2437"/>
    <x v="6"/>
    <s v="3/15/2017"/>
    <d v="2017-09-01T00:00:00"/>
    <x v="2"/>
  </r>
  <r>
    <n v="1309"/>
    <x v="6"/>
    <s v="6/10/2018"/>
    <d v="2018-09-01T00:00:00"/>
    <x v="0"/>
  </r>
  <r>
    <n v="2341"/>
    <x v="6"/>
    <s v="4/28/2017"/>
    <d v="2017-09-01T00:00:00"/>
    <x v="2"/>
  </r>
  <r>
    <n v="5641"/>
    <x v="6"/>
    <s v="11/16/2020"/>
    <d v="2020-09-01T00:00:00"/>
    <x v="7"/>
  </r>
  <r>
    <n v="7155"/>
    <x v="6"/>
    <s v="6/7/2022"/>
    <d v="2022-09-01T00:00:00"/>
    <x v="8"/>
  </r>
  <r>
    <n v="2338"/>
    <x v="6"/>
    <s v="4/30/2017"/>
    <d v="2017-09-01T00:00:00"/>
    <x v="2"/>
  </r>
  <r>
    <n v="1391"/>
    <x v="6"/>
    <s v="4/10/2018"/>
    <d v="2018-09-01T00:00:00"/>
    <x v="0"/>
  </r>
  <r>
    <n v="1626"/>
    <x v="6"/>
    <s v="6/1/2018"/>
    <d v="2018-09-01T00:00:00"/>
    <x v="0"/>
  </r>
  <r>
    <n v="3254"/>
    <x v="6"/>
    <s v="12/18/2018"/>
    <d v="2018-09-01T00:00:00"/>
    <x v="1"/>
  </r>
  <r>
    <n v="4881"/>
    <x v="6"/>
    <s v="4/9/2020"/>
    <d v="2020-09-01T00:00:00"/>
    <x v="6"/>
  </r>
  <r>
    <n v="3507"/>
    <x v="6"/>
    <s v="2/7/2019"/>
    <d v="2019-09-01T00:00:00"/>
    <x v="1"/>
  </r>
  <r>
    <n v="3823"/>
    <x v="6"/>
    <s v="3/13/2019"/>
    <d v="2019-09-01T00:00:00"/>
    <x v="1"/>
  </r>
  <r>
    <n v="3859"/>
    <x v="6"/>
    <s v="3/29/2019"/>
    <d v="2019-09-01T00:00:00"/>
    <x v="1"/>
  </r>
  <r>
    <n v="4769"/>
    <x v="6"/>
    <s v="1/22/2020"/>
    <d v="2020-09-01T00:00:00"/>
    <x v="6"/>
  </r>
  <r>
    <n v="4863"/>
    <x v="6"/>
    <s v="2/6/2020"/>
    <d v="2020-09-01T00:00:00"/>
    <x v="6"/>
  </r>
  <r>
    <n v="4829"/>
    <x v="6"/>
    <s v="2/18/2020"/>
    <d v="2020-09-01T00:00:00"/>
    <x v="6"/>
  </r>
  <r>
    <n v="4373"/>
    <x v="6"/>
    <s v="8/28/2019"/>
    <d v="2019-09-01T00:00:00"/>
    <x v="1"/>
  </r>
  <r>
    <n v="7996"/>
    <x v="6"/>
    <s v="1/31/2023"/>
    <d v="2023-09-01T00:00:00"/>
    <x v="9"/>
  </r>
  <r>
    <n v="4493"/>
    <x v="6"/>
    <s v="10/10/2019"/>
    <d v="2019-09-01T00:00:00"/>
    <x v="6"/>
  </r>
  <r>
    <n v="4579"/>
    <x v="6"/>
    <s v="9/30/2019"/>
    <d v="2019-09-01T00:00:00"/>
    <x v="6"/>
  </r>
  <r>
    <n v="7610"/>
    <x v="6"/>
    <s v="10/12/2022"/>
    <d v="2022-09-01T00:00:00"/>
    <x v="9"/>
  </r>
  <r>
    <n v="8223"/>
    <x v="6"/>
    <s v="4/20/2023"/>
    <d v="2023-09-01T00:00:00"/>
    <x v="9"/>
  </r>
  <r>
    <n v="6078"/>
    <x v="6"/>
    <s v="5/17/2021"/>
    <d v="2021-09-01T00:00:00"/>
    <x v="7"/>
  </r>
  <r>
    <n v="6267"/>
    <x v="6"/>
    <s v="8/17/2021"/>
    <d v="2021-09-01T00:00:00"/>
    <x v="7"/>
  </r>
  <r>
    <n v="6264"/>
    <x v="6"/>
    <s v="8/16/2021"/>
    <d v="2021-09-01T00:00:00"/>
    <x v="7"/>
  </r>
  <r>
    <n v="6919"/>
    <x v="6"/>
    <s v="2/23/2022"/>
    <d v="2022-09-01T00:00:00"/>
    <x v="8"/>
  </r>
  <r>
    <n v="8125"/>
    <x v="6"/>
    <s v="3/28/2023"/>
    <d v="2023-09-01T00:00:00"/>
    <x v="9"/>
  </r>
  <r>
    <n v="8054"/>
    <x v="6"/>
    <s v="2/16/2023"/>
    <d v="2023-09-01T00:00:00"/>
    <x v="9"/>
  </r>
  <r>
    <m/>
    <x v="7"/>
    <e v="#N/A"/>
    <e v="#N/A"/>
    <x v="10"/>
  </r>
  <r>
    <m/>
    <x v="7"/>
    <e v="#N/A"/>
    <e v="#N/A"/>
    <x v="10"/>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1453"/>
    <x v="0"/>
    <s v="1/9/2018"/>
    <d v="2018-09-01T00:00:00"/>
    <x v="0"/>
  </r>
  <r>
    <n v="1493"/>
    <x v="0"/>
    <s v="8/17/2018"/>
    <d v="2018-09-01T00:00:00"/>
    <x v="0"/>
  </r>
  <r>
    <n v="1940"/>
    <x v="0"/>
    <s v="8/31/2017"/>
    <d v="2017-09-01T00:00:00"/>
    <x v="1"/>
  </r>
  <r>
    <n v="2210"/>
    <x v="0"/>
    <s v="5/30/2017"/>
    <d v="2017-09-01T00:00:00"/>
    <x v="1"/>
  </r>
  <r>
    <n v="3254"/>
    <x v="0"/>
    <s v="12/18/2018"/>
    <d v="2018-09-01T00:00:00"/>
    <x v="2"/>
  </r>
  <r>
    <n v="3791"/>
    <x v="0"/>
    <s v="7/30/2015"/>
    <d v="2015-09-01T00:00:00"/>
    <x v="3"/>
  </r>
  <r>
    <n v="3939"/>
    <x v="0"/>
    <s v="4/16/2019"/>
    <d v="2019-09-01T00:00:00"/>
    <x v="2"/>
  </r>
  <r>
    <n v="4013"/>
    <x v="0"/>
    <s v="2/5/2015"/>
    <d v="2015-09-01T00:00:00"/>
    <x v="3"/>
  </r>
  <r>
    <n v="4052"/>
    <x v="0"/>
    <s v="10/31/2014"/>
    <d v="2014-09-01T00:00:00"/>
    <x v="3"/>
  </r>
  <r>
    <n v="4133"/>
    <x v="0"/>
    <s v="7/1/2014"/>
    <d v="2014-09-01T00:00:00"/>
    <x v="4"/>
  </r>
  <r>
    <n v="4150"/>
    <x v="0"/>
    <s v="6/30/2014"/>
    <d v="2014-09-01T00:00:00"/>
    <x v="4"/>
  </r>
  <r>
    <n v="4195"/>
    <x v="0"/>
    <s v="6/6/2019"/>
    <d v="2019-09-01T00:00:00"/>
    <x v="2"/>
  </r>
  <r>
    <n v="4202"/>
    <x v="0"/>
    <s v="5/25/2014"/>
    <d v="2014-09-01T00:00:00"/>
    <x v="4"/>
  </r>
  <r>
    <n v="4474"/>
    <x v="0"/>
    <s v="4/27/2014"/>
    <d v="2014-09-01T00:00:00"/>
    <x v="4"/>
  </r>
  <r>
    <n v="4662"/>
    <x v="0"/>
    <s v="11/1/2019"/>
    <d v="2019-09-01T00:00:00"/>
    <x v="5"/>
  </r>
  <r>
    <n v="5446"/>
    <x v="0"/>
    <s v="10/20/2020"/>
    <d v="2020-09-01T00:00:00"/>
    <x v="6"/>
  </r>
  <r>
    <n v="5454"/>
    <x v="0"/>
    <s v="10/12/2020"/>
    <d v="2020-09-01T00:00:00"/>
    <x v="6"/>
  </r>
  <r>
    <n v="5641"/>
    <x v="0"/>
    <s v="11/16/2020"/>
    <d v="2020-09-01T00:00:00"/>
    <x v="6"/>
  </r>
  <r>
    <n v="7223"/>
    <x v="0"/>
    <s v="6/29/2022"/>
    <d v="2022-09-01T00:00:00"/>
    <x v="7"/>
  </r>
  <r>
    <n v="8061"/>
    <x v="0"/>
    <s v="2/16/2023"/>
    <d v="2023-09-01T00:00:00"/>
    <x v="8"/>
  </r>
  <r>
    <n v="8250"/>
    <x v="0"/>
    <s v="4/25/2023"/>
    <d v="2023-09-01T00:00:00"/>
    <x v="8"/>
  </r>
  <r>
    <n v="3212"/>
    <x v="0"/>
    <s v="9/14/2016"/>
    <d v="2016-09-01T00:00:00"/>
    <x v="1"/>
  </r>
  <r>
    <n v="4765"/>
    <x v="0"/>
    <s v="12/10/2019"/>
    <d v="2019-09-01T00:00:00"/>
    <x v="5"/>
  </r>
  <r>
    <n v="7060"/>
    <x v="0"/>
    <s v="4/18/2022"/>
    <d v="2022-09-01T00:00:00"/>
    <x v="7"/>
  </r>
  <r>
    <n v="2338"/>
    <x v="0"/>
    <s v="4/30/2017"/>
    <d v="2017-09-01T00:00:00"/>
    <x v="1"/>
  </r>
  <r>
    <n v="2525"/>
    <x v="0"/>
    <s v="1/28/2017"/>
    <d v="2017-09-01T00:00:00"/>
    <x v="1"/>
  </r>
  <r>
    <n v="5535"/>
    <x v="0"/>
    <s v="10/30/2020"/>
    <d v="2020-09-01T00:00:00"/>
    <x v="6"/>
  </r>
  <r>
    <n v="5883"/>
    <x v="0"/>
    <s v="3/18/2021"/>
    <d v="2021-09-01T00:00:00"/>
    <x v="6"/>
  </r>
  <r>
    <n v="7040"/>
    <x v="0"/>
    <s v="4/8/2022"/>
    <d v="2022-09-01T00:00:00"/>
    <x v="7"/>
  </r>
  <r>
    <n v="7357"/>
    <x v="0"/>
    <s v="9/1/2022"/>
    <d v="2022-09-01T00:00:00"/>
    <x v="8"/>
  </r>
  <r>
    <n v="7358"/>
    <x v="0"/>
    <s v="9/12/2022"/>
    <d v="2022-09-01T00:00:00"/>
    <x v="8"/>
  </r>
  <r>
    <n v="7355"/>
    <x v="0"/>
    <s v="9/16/2022"/>
    <d v="2022-09-01T00:00:00"/>
    <x v="8"/>
  </r>
  <r>
    <n v="7881"/>
    <x v="0"/>
    <s v="1/10/2023"/>
    <d v="2023-09-01T00:00:00"/>
    <x v="8"/>
  </r>
  <r>
    <n v="8204"/>
    <x v="0"/>
    <s v="4/18/2023"/>
    <d v="2023-09-01T00:00:00"/>
    <x v="8"/>
  </r>
  <r>
    <n v="4816"/>
    <x v="0"/>
    <s v="1/10/2020"/>
    <d v="2020-09-01T00:00:00"/>
    <x v="5"/>
  </r>
  <r>
    <n v="7954"/>
    <x v="0"/>
    <s v="1/23/2023"/>
    <d v="2023-09-01T00:00:00"/>
    <x v="8"/>
  </r>
  <r>
    <n v="2341"/>
    <x v="0"/>
    <s v="4/28/2017"/>
    <d v="2017-09-01T00:00:00"/>
    <x v="1"/>
  </r>
  <r>
    <n v="3301"/>
    <x v="0"/>
    <s v="8/29/2016"/>
    <d v="2016-09-01T00:00:00"/>
    <x v="9"/>
  </r>
  <r>
    <n v="1353"/>
    <x v="0"/>
    <s v="5/9/2018"/>
    <d v="2018-09-01T00:00:00"/>
    <x v="0"/>
  </r>
  <r>
    <n v="5806"/>
    <x v="0"/>
    <s v="2/1/2021"/>
    <d v="2021-09-01T00:00:00"/>
    <x v="6"/>
  </r>
  <r>
    <n v="2201"/>
    <x v="0"/>
    <s v="6/10/2017"/>
    <d v="2017-09-01T00:00:00"/>
    <x v="1"/>
  </r>
  <r>
    <n v="1448"/>
    <x v="0"/>
    <s v="1/30/2018"/>
    <d v="2018-09-01T00:00:00"/>
    <x v="0"/>
  </r>
  <r>
    <n v="4411"/>
    <x v="0"/>
    <s v="9/12/2019"/>
    <d v="2019-09-01T00:00:00"/>
    <x v="5"/>
  </r>
  <r>
    <n v="6267"/>
    <x v="0"/>
    <s v="8/17/2021"/>
    <d v="2021-09-01T00:00:00"/>
    <x v="6"/>
  </r>
  <r>
    <n v="6747"/>
    <x v="0"/>
    <s v="12/17/2021"/>
    <d v="2021-09-01T00:00:00"/>
    <x v="7"/>
  </r>
  <r>
    <n v="7305"/>
    <x v="0"/>
    <s v="8/12/2022"/>
    <d v="2022-09-01T00:00:00"/>
    <x v="7"/>
  </r>
  <r>
    <n v="7359"/>
    <x v="0"/>
    <s v="8/29/2022"/>
    <d v="2022-09-01T00:00:00"/>
    <x v="7"/>
  </r>
  <r>
    <n v="4912"/>
    <x v="0"/>
    <s v="3/24/2020"/>
    <d v="2020-09-01T00:00:00"/>
    <x v="5"/>
  </r>
  <r>
    <n v="1391"/>
    <x v="0"/>
    <s v="4/10/2018"/>
    <d v="2018-09-01T00:00:00"/>
    <x v="0"/>
  </r>
  <r>
    <n v="7196"/>
    <x v="0"/>
    <s v="6/21/2022"/>
    <d v="2022-09-01T00:00:00"/>
    <x v="7"/>
  </r>
  <r>
    <n v="4978"/>
    <x v="0"/>
    <s v="5/29/2020"/>
    <d v="2020-09-01T00:00:00"/>
    <x v="5"/>
  </r>
  <r>
    <n v="1312"/>
    <x v="0"/>
    <s v="5/30/2018"/>
    <d v="2018-09-01T00:00:00"/>
    <x v="0"/>
  </r>
  <r>
    <n v="1318"/>
    <x v="0"/>
    <s v="5/17/2018"/>
    <d v="2018-09-01T00:00:00"/>
    <x v="0"/>
  </r>
  <r>
    <n v="1361"/>
    <x v="0"/>
    <s v="10/16/2017"/>
    <d v="2017-09-01T00:00:00"/>
    <x v="0"/>
  </r>
  <r>
    <n v="1468"/>
    <x v="0"/>
    <s v="11/28/2017"/>
    <d v="2017-09-01T00:00:00"/>
    <x v="0"/>
  </r>
  <r>
    <n v="3336"/>
    <x v="0"/>
    <s v="6/29/2016"/>
    <d v="2016-09-01T00:00:00"/>
    <x v="9"/>
  </r>
  <r>
    <n v="3856"/>
    <x v="0"/>
    <s v="3/28/2019"/>
    <d v="2019-09-01T00:00:00"/>
    <x v="2"/>
  </r>
  <r>
    <n v="3934"/>
    <x v="0"/>
    <s v="4/15/2019"/>
    <d v="2019-09-01T00:00:00"/>
    <x v="2"/>
  </r>
  <r>
    <n v="4336"/>
    <x v="0"/>
    <s v="8/19/2019"/>
    <d v="2019-09-01T00:00:00"/>
    <x v="2"/>
  </r>
  <r>
    <n v="4387"/>
    <x v="0"/>
    <s v="9/9/2019"/>
    <d v="2019-09-01T00:00:00"/>
    <x v="5"/>
  </r>
  <r>
    <n v="4910"/>
    <x v="0"/>
    <s v="4/1/2020"/>
    <d v="2020-09-01T00:00:00"/>
    <x v="5"/>
  </r>
  <r>
    <n v="5038"/>
    <x v="0"/>
    <s v="9/1/2020"/>
    <d v="2020-09-01T00:00:00"/>
    <x v="6"/>
  </r>
  <r>
    <n v="5070"/>
    <x v="0"/>
    <s v="9/2/2020"/>
    <d v="2020-09-01T00:00:00"/>
    <x v="6"/>
  </r>
  <r>
    <n v="5578"/>
    <x v="0"/>
    <s v="11/12/2020"/>
    <d v="2020-09-01T00:00:00"/>
    <x v="6"/>
  </r>
  <r>
    <n v="5795"/>
    <x v="0"/>
    <s v="1/28/2021"/>
    <d v="2021-09-01T00:00:00"/>
    <x v="6"/>
  </r>
  <r>
    <n v="6180"/>
    <x v="0"/>
    <s v="6/29/2021"/>
    <d v="2021-09-01T00:00:00"/>
    <x v="6"/>
  </r>
  <r>
    <n v="6358"/>
    <x v="0"/>
    <s v="9/8/2021"/>
    <d v="2021-09-01T00:00:00"/>
    <x v="7"/>
  </r>
  <r>
    <n v="6556"/>
    <x v="0"/>
    <s v="10/20/2021"/>
    <d v="2021-09-01T00:00:00"/>
    <x v="7"/>
  </r>
  <r>
    <n v="7162"/>
    <x v="0"/>
    <s v="6/1/2022"/>
    <d v="2022-09-01T00:00:00"/>
    <x v="7"/>
  </r>
  <r>
    <n v="7376"/>
    <x v="0"/>
    <s v="8/31/2022"/>
    <d v="2022-09-01T00:00:00"/>
    <x v="7"/>
  </r>
  <r>
    <n v="7735"/>
    <x v="0"/>
    <s v="11/21/2022"/>
    <d v="2022-09-01T00:00:00"/>
    <x v="8"/>
  </r>
  <r>
    <n v="7914"/>
    <x v="0"/>
    <s v="1/13/2023"/>
    <d v="2023-09-01T00:00:00"/>
    <x v="8"/>
  </r>
  <r>
    <n v="1315"/>
    <x v="0"/>
    <s v="9/1/2017"/>
    <d v="2017-09-01T00:00:00"/>
    <x v="0"/>
  </r>
  <r>
    <n v="4291"/>
    <x v="0"/>
    <s v="7/25/2019"/>
    <d v="2019-09-01T00:00:00"/>
    <x v="2"/>
  </r>
  <r>
    <n v="4368"/>
    <x v="0"/>
    <s v="9/5/2019"/>
    <d v="2019-09-01T00:00:00"/>
    <x v="5"/>
  </r>
  <r>
    <n v="5112"/>
    <x v="0"/>
    <s v="9/17/2020"/>
    <d v="2020-09-01T00:00:00"/>
    <x v="6"/>
  </r>
  <r>
    <n v="5939"/>
    <x v="0"/>
    <s v="4/12/2021"/>
    <d v="2021-09-01T00:00:00"/>
    <x v="6"/>
  </r>
  <r>
    <n v="7285"/>
    <x v="0"/>
    <s v="8/3/2022"/>
    <d v="2022-09-01T00:00:00"/>
    <x v="7"/>
  </r>
  <r>
    <n v="7643"/>
    <x v="0"/>
    <s v="10/18/2022"/>
    <d v="2022-09-01T00:00:00"/>
    <x v="8"/>
  </r>
  <r>
    <n v="1343"/>
    <x v="0"/>
    <s v="9/15/2017"/>
    <d v="2017-09-01T00:00:00"/>
    <x v="0"/>
  </r>
  <r>
    <n v="2521"/>
    <x v="0"/>
    <s v="1/30/2017"/>
    <d v="2017-09-01T00:00:00"/>
    <x v="1"/>
  </r>
  <r>
    <n v="3002"/>
    <x v="0"/>
    <s v="11/26/2016"/>
    <d v="2016-09-01T00:00:00"/>
    <x v="1"/>
  </r>
  <r>
    <n v="6606"/>
    <x v="0"/>
    <s v="11/1/2021"/>
    <d v="2021-09-01T00:00:00"/>
    <x v="7"/>
  </r>
  <r>
    <n v="6926"/>
    <x v="0"/>
    <s v="2/24/2022"/>
    <d v="2022-09-01T00:00:00"/>
    <x v="7"/>
  </r>
  <r>
    <n v="1465"/>
    <x v="0"/>
    <s v="12/1/2017"/>
    <d v="2017-09-01T00:00:00"/>
    <x v="0"/>
  </r>
  <r>
    <n v="3274"/>
    <x v="0"/>
    <s v="1/10/2019"/>
    <d v="2019-09-01T00:00:00"/>
    <x v="2"/>
  </r>
  <r>
    <n v="5864"/>
    <x v="0"/>
    <s v="3/12/2021"/>
    <d v="2021-09-01T00:00:00"/>
    <x v="6"/>
  </r>
  <r>
    <n v="7325"/>
    <x v="0"/>
    <s v="8/11/2022"/>
    <d v="2022-09-01T00:00:00"/>
    <x v="7"/>
  </r>
  <r>
    <n v="7449"/>
    <x v="0"/>
    <s v="8/29/2022"/>
    <d v="2022-09-01T00:00:00"/>
    <x v="7"/>
  </r>
  <r>
    <n v="7765"/>
    <x v="0"/>
    <s v="12/16/2022"/>
    <d v="2022-09-01T00:00:00"/>
    <x v="8"/>
  </r>
  <r>
    <n v="769"/>
    <x v="0"/>
    <s v="3/21/2018"/>
    <d v="2018-09-01T00:00:00"/>
    <x v="0"/>
  </r>
  <r>
    <n v="1368"/>
    <x v="0"/>
    <s v="10/14/2017"/>
    <d v="2017-09-01T00:00:00"/>
    <x v="0"/>
  </r>
  <r>
    <n v="1381"/>
    <x v="0"/>
    <s v="11/2/2017"/>
    <d v="2017-09-01T00:00:00"/>
    <x v="0"/>
  </r>
  <r>
    <n v="4641"/>
    <x v="0"/>
    <s v="12/2/2019"/>
    <d v="2019-09-01T00:00:00"/>
    <x v="5"/>
  </r>
  <r>
    <n v="7024"/>
    <x v="0"/>
    <s v="4/1/2022"/>
    <d v="2022-09-01T00:00:00"/>
    <x v="7"/>
  </r>
  <r>
    <n v="3212"/>
    <x v="1"/>
    <s v="9/14/2016"/>
    <d v="2016-09-01T00:00:00"/>
    <x v="1"/>
  </r>
  <r>
    <n v="4765"/>
    <x v="1"/>
    <s v="12/10/2019"/>
    <d v="2019-09-01T00:00:00"/>
    <x v="5"/>
  </r>
  <r>
    <n v="7060"/>
    <x v="1"/>
    <s v="4/18/2022"/>
    <d v="2022-09-01T00:00:00"/>
    <x v="7"/>
  </r>
  <r>
    <n v="2338"/>
    <x v="1"/>
    <s v="4/30/2017"/>
    <d v="2017-09-01T00:00:00"/>
    <x v="1"/>
  </r>
  <r>
    <n v="2525"/>
    <x v="1"/>
    <s v="1/28/2017"/>
    <d v="2017-09-01T00:00:00"/>
    <x v="1"/>
  </r>
  <r>
    <n v="5535"/>
    <x v="1"/>
    <s v="10/30/2020"/>
    <d v="2020-09-01T00:00:00"/>
    <x v="6"/>
  </r>
  <r>
    <n v="5883"/>
    <x v="1"/>
    <s v="3/18/2021"/>
    <d v="2021-09-01T00:00:00"/>
    <x v="6"/>
  </r>
  <r>
    <n v="7040"/>
    <x v="1"/>
    <s v="4/8/2022"/>
    <d v="2022-09-01T00:00:00"/>
    <x v="7"/>
  </r>
  <r>
    <n v="7357"/>
    <x v="1"/>
    <s v="9/1/2022"/>
    <d v="2022-09-01T00:00:00"/>
    <x v="8"/>
  </r>
  <r>
    <n v="7358"/>
    <x v="1"/>
    <s v="9/12/2022"/>
    <d v="2022-09-01T00:00:00"/>
    <x v="8"/>
  </r>
  <r>
    <n v="7355"/>
    <x v="1"/>
    <s v="9/16/2022"/>
    <d v="2022-09-01T00:00:00"/>
    <x v="8"/>
  </r>
  <r>
    <n v="7881"/>
    <x v="1"/>
    <s v="1/10/2023"/>
    <d v="2023-09-01T00:00:00"/>
    <x v="8"/>
  </r>
  <r>
    <n v="8204"/>
    <x v="1"/>
    <s v="4/18/2023"/>
    <d v="2023-09-01T00:00:00"/>
    <x v="8"/>
  </r>
  <r>
    <n v="4816"/>
    <x v="1"/>
    <s v="1/10/2020"/>
    <d v="2020-09-01T00:00:00"/>
    <x v="5"/>
  </r>
  <r>
    <n v="7954"/>
    <x v="1"/>
    <s v="1/23/2023"/>
    <d v="2023-09-01T00:00:00"/>
    <x v="8"/>
  </r>
  <r>
    <n v="2341"/>
    <x v="1"/>
    <s v="4/28/2017"/>
    <d v="2017-09-01T00:00:00"/>
    <x v="1"/>
  </r>
  <r>
    <n v="3301"/>
    <x v="1"/>
    <s v="8/29/2016"/>
    <d v="2016-09-01T00:00:00"/>
    <x v="9"/>
  </r>
  <r>
    <n v="1353"/>
    <x v="1"/>
    <s v="5/9/2018"/>
    <d v="2018-09-01T00:00:00"/>
    <x v="0"/>
  </r>
  <r>
    <n v="5806"/>
    <x v="1"/>
    <s v="2/1/2021"/>
    <d v="2021-09-01T00:00:00"/>
    <x v="6"/>
  </r>
  <r>
    <n v="2201"/>
    <x v="1"/>
    <s v="6/10/2017"/>
    <d v="2017-09-01T00:00:00"/>
    <x v="1"/>
  </r>
  <r>
    <n v="774"/>
    <x v="1"/>
    <s v="5/18/2016"/>
    <d v="2016-09-01T00:00:00"/>
    <x v="9"/>
  </r>
  <r>
    <n v="776"/>
    <x v="1"/>
    <s v="5/23/2016"/>
    <d v="2016-09-01T00:00:00"/>
    <x v="9"/>
  </r>
  <r>
    <n v="1382"/>
    <x v="1"/>
    <s v="12/1/2017"/>
    <d v="2017-09-01T00:00:00"/>
    <x v="0"/>
  </r>
  <r>
    <n v="1701"/>
    <x v="1"/>
    <s v="9/27/2018"/>
    <d v="2018-09-01T00:00:00"/>
    <x v="2"/>
  </r>
  <r>
    <n v="2306"/>
    <x v="1"/>
    <s v="5/18/2017"/>
    <d v="2017-09-01T00:00:00"/>
    <x v="1"/>
  </r>
  <r>
    <n v="2444"/>
    <x v="1"/>
    <s v="3/2/2017"/>
    <d v="2017-09-01T00:00:00"/>
    <x v="1"/>
  </r>
  <r>
    <n v="2451"/>
    <x v="1"/>
    <s v="2/28/2017"/>
    <d v="2017-09-01T00:00:00"/>
    <x v="1"/>
  </r>
  <r>
    <n v="3005"/>
    <x v="1"/>
    <s v="10/31/2016"/>
    <d v="2016-09-01T00:00:00"/>
    <x v="1"/>
  </r>
  <r>
    <n v="3218"/>
    <x v="1"/>
    <s v="9/13/2016"/>
    <d v="2016-09-01T00:00:00"/>
    <x v="1"/>
  </r>
  <r>
    <n v="3663"/>
    <x v="1"/>
    <s v="11/3/2015"/>
    <d v="2015-09-01T00:00:00"/>
    <x v="9"/>
  </r>
  <r>
    <n v="3793"/>
    <x v="1"/>
    <s v="7/27/2015"/>
    <d v="2015-09-01T00:00:00"/>
    <x v="3"/>
  </r>
  <r>
    <n v="3801"/>
    <x v="1"/>
    <s v="7/4/2015"/>
    <d v="2015-09-01T00:00:00"/>
    <x v="3"/>
  </r>
  <r>
    <n v="3885"/>
    <x v="1"/>
    <s v="6/10/2015"/>
    <d v="2015-09-01T00:00:00"/>
    <x v="3"/>
  </r>
  <r>
    <n v="3945"/>
    <x v="1"/>
    <s v="4/18/2015"/>
    <d v="2015-09-01T00:00:00"/>
    <x v="3"/>
  </r>
  <r>
    <n v="3978"/>
    <x v="1"/>
    <s v="2/28/2015"/>
    <d v="2015-09-01T00:00:00"/>
    <x v="3"/>
  </r>
  <r>
    <n v="4006"/>
    <x v="1"/>
    <s v="2/20/2015"/>
    <d v="2015-09-01T00:00:00"/>
    <x v="3"/>
  </r>
  <r>
    <n v="4008"/>
    <x v="1"/>
    <s v="2/17/2015"/>
    <d v="2015-09-01T00:00:00"/>
    <x v="3"/>
  </r>
  <r>
    <n v="4040"/>
    <x v="1"/>
    <s v="4/29/2019"/>
    <d v="2019-09-01T00:00:00"/>
    <x v="2"/>
  </r>
  <r>
    <n v="4081"/>
    <x v="1"/>
    <s v="9/25/2014"/>
    <d v="2014-09-01T00:00:00"/>
    <x v="3"/>
  </r>
  <r>
    <n v="4574"/>
    <x v="1"/>
    <s v="11/12/2019"/>
    <d v="2019-09-01T00:00:00"/>
    <x v="5"/>
  </r>
  <r>
    <n v="4619"/>
    <x v="1"/>
    <s v="4/4/2014"/>
    <d v="2014-09-01T00:00:00"/>
    <x v="4"/>
  </r>
  <r>
    <n v="4713"/>
    <x v="1"/>
    <s v="1/13/2020"/>
    <d v="2020-09-01T00:00:00"/>
    <x v="5"/>
  </r>
  <r>
    <n v="5678"/>
    <x v="1"/>
    <s v="12/14/2020"/>
    <d v="2020-09-01T00:00:00"/>
    <x v="6"/>
  </r>
  <r>
    <n v="5732"/>
    <x v="1"/>
    <s v="12/21/2020"/>
    <d v="2020-09-01T00:00:00"/>
    <x v="6"/>
  </r>
  <r>
    <n v="6028"/>
    <x v="1"/>
    <s v="5/3/2021"/>
    <d v="2021-09-01T00:00:00"/>
    <x v="6"/>
  </r>
  <r>
    <n v="6664"/>
    <x v="1"/>
    <s v="10/21/2021"/>
    <d v="2021-09-01T00:00:00"/>
    <x v="7"/>
  </r>
  <r>
    <n v="7385"/>
    <x v="1"/>
    <s v="9/1/2022"/>
    <d v="2022-09-01T00:00:00"/>
    <x v="8"/>
  </r>
  <r>
    <n v="7634"/>
    <x v="1"/>
    <s v="11/7/2022"/>
    <d v="2022-09-01T00:00:00"/>
    <x v="8"/>
  </r>
  <r>
    <n v="7916"/>
    <x v="1"/>
    <s v="1/18/2023"/>
    <d v="2023-09-01T00:00:00"/>
    <x v="8"/>
  </r>
  <r>
    <n v="7996"/>
    <x v="1"/>
    <s v="1/31/2023"/>
    <d v="2023-09-01T00:00:00"/>
    <x v="8"/>
  </r>
  <r>
    <n v="8153"/>
    <x v="1"/>
    <s v="4/4/2023"/>
    <d v="2023-09-01T00:00:00"/>
    <x v="8"/>
  </r>
  <r>
    <n v="8085"/>
    <x v="1"/>
    <s v="3/28/2023"/>
    <d v="2023-09-01T00:00:00"/>
    <x v="8"/>
  </r>
  <r>
    <n v="8054"/>
    <x v="1"/>
    <s v="2/16/2023"/>
    <d v="2023-09-01T00:00:00"/>
    <x v="8"/>
  </r>
  <r>
    <n v="2551"/>
    <x v="1"/>
    <s v="1/1/2017"/>
    <d v="2017-09-01T00:00:00"/>
    <x v="1"/>
  </r>
  <r>
    <n v="3000"/>
    <x v="1"/>
    <s v="11/27/2016"/>
    <d v="2016-09-01T00:00:00"/>
    <x v="1"/>
  </r>
  <r>
    <n v="3345"/>
    <x v="1"/>
    <s v="5/29/2016"/>
    <d v="2016-09-01T00:00:00"/>
    <x v="9"/>
  </r>
  <r>
    <n v="3717"/>
    <x v="1"/>
    <s v="2/22/2019"/>
    <d v="2019-09-01T00:00:00"/>
    <x v="2"/>
  </r>
  <r>
    <n v="7400"/>
    <x v="1"/>
    <s v="9/6/2022"/>
    <d v="2022-09-01T00:00:00"/>
    <x v="8"/>
  </r>
  <r>
    <n v="2338"/>
    <x v="2"/>
    <s v="4/30/2017"/>
    <d v="2017-09-01T00:00:00"/>
    <x v="1"/>
  </r>
  <r>
    <n v="2525"/>
    <x v="2"/>
    <s v="1/28/2017"/>
    <d v="2017-09-01T00:00:00"/>
    <x v="1"/>
  </r>
  <r>
    <n v="5535"/>
    <x v="2"/>
    <s v="10/30/2020"/>
    <d v="2020-09-01T00:00:00"/>
    <x v="6"/>
  </r>
  <r>
    <n v="5883"/>
    <x v="2"/>
    <s v="3/18/2021"/>
    <d v="2021-09-01T00:00:00"/>
    <x v="6"/>
  </r>
  <r>
    <n v="7040"/>
    <x v="2"/>
    <s v="4/8/2022"/>
    <d v="2022-09-01T00:00:00"/>
    <x v="7"/>
  </r>
  <r>
    <n v="7357"/>
    <x v="2"/>
    <s v="9/1/2022"/>
    <d v="2022-09-01T00:00:00"/>
    <x v="8"/>
  </r>
  <r>
    <n v="7358"/>
    <x v="2"/>
    <s v="9/12/2022"/>
    <d v="2022-09-01T00:00:00"/>
    <x v="8"/>
  </r>
  <r>
    <n v="7355"/>
    <x v="2"/>
    <s v="9/16/2022"/>
    <d v="2022-09-01T00:00:00"/>
    <x v="8"/>
  </r>
  <r>
    <n v="7881"/>
    <x v="2"/>
    <s v="1/10/2023"/>
    <d v="2023-09-01T00:00:00"/>
    <x v="8"/>
  </r>
  <r>
    <n v="8204"/>
    <x v="2"/>
    <s v="4/18/2023"/>
    <d v="2023-09-01T00:00:00"/>
    <x v="8"/>
  </r>
  <r>
    <n v="4816"/>
    <x v="2"/>
    <s v="1/10/2020"/>
    <d v="2020-09-01T00:00:00"/>
    <x v="5"/>
  </r>
  <r>
    <n v="7954"/>
    <x v="2"/>
    <s v="1/23/2023"/>
    <d v="2023-09-01T00:00:00"/>
    <x v="8"/>
  </r>
  <r>
    <n v="2341"/>
    <x v="2"/>
    <s v="4/28/2017"/>
    <d v="2017-09-01T00:00:00"/>
    <x v="1"/>
  </r>
  <r>
    <n v="3301"/>
    <x v="2"/>
    <s v="8/29/2016"/>
    <d v="2016-09-01T00:00:00"/>
    <x v="9"/>
  </r>
  <r>
    <n v="1448"/>
    <x v="2"/>
    <s v="1/30/2018"/>
    <d v="2018-09-01T00:00:00"/>
    <x v="0"/>
  </r>
  <r>
    <n v="4411"/>
    <x v="2"/>
    <s v="9/12/2019"/>
    <d v="2019-09-01T00:00:00"/>
    <x v="5"/>
  </r>
  <r>
    <n v="6267"/>
    <x v="2"/>
    <s v="8/17/2021"/>
    <d v="2021-09-01T00:00:00"/>
    <x v="6"/>
  </r>
  <r>
    <n v="6747"/>
    <x v="2"/>
    <s v="12/17/2021"/>
    <d v="2021-09-01T00:00:00"/>
    <x v="7"/>
  </r>
  <r>
    <n v="7305"/>
    <x v="2"/>
    <s v="8/12/2022"/>
    <d v="2022-09-01T00:00:00"/>
    <x v="7"/>
  </r>
  <r>
    <n v="7359"/>
    <x v="2"/>
    <s v="8/29/2022"/>
    <d v="2022-09-01T00:00:00"/>
    <x v="7"/>
  </r>
  <r>
    <n v="4912"/>
    <x v="2"/>
    <s v="3/24/2020"/>
    <d v="2020-09-01T00:00:00"/>
    <x v="5"/>
  </r>
  <r>
    <n v="1391"/>
    <x v="2"/>
    <s v="4/10/2018"/>
    <d v="2018-09-01T00:00:00"/>
    <x v="0"/>
  </r>
  <r>
    <n v="7196"/>
    <x v="2"/>
    <s v="6/21/2022"/>
    <d v="2022-09-01T00:00:00"/>
    <x v="7"/>
  </r>
  <r>
    <n v="4978"/>
    <x v="2"/>
    <s v="5/29/2020"/>
    <d v="2020-09-01T00:00:00"/>
    <x v="5"/>
  </r>
  <r>
    <n v="2551"/>
    <x v="2"/>
    <s v="1/1/2017"/>
    <d v="2017-09-01T00:00:00"/>
    <x v="1"/>
  </r>
  <r>
    <n v="1289"/>
    <x v="2"/>
    <s v="8/4/2018"/>
    <d v="2018-09-01T00:00:00"/>
    <x v="0"/>
  </r>
  <r>
    <n v="1351"/>
    <x v="2"/>
    <s v="5/10/2018"/>
    <d v="2018-09-01T00:00:00"/>
    <x v="0"/>
  </r>
  <r>
    <n v="1377"/>
    <x v="2"/>
    <s v="10/21/2017"/>
    <d v="2017-09-01T00:00:00"/>
    <x v="0"/>
  </r>
  <r>
    <n v="1390"/>
    <x v="2"/>
    <s v="4/20/2018"/>
    <d v="2018-09-01T00:00:00"/>
    <x v="0"/>
  </r>
  <r>
    <n v="1392"/>
    <x v="2"/>
    <s v="4/5/2018"/>
    <d v="2018-09-01T00:00:00"/>
    <x v="0"/>
  </r>
  <r>
    <n v="2087"/>
    <x v="2"/>
    <s v="7/31/2017"/>
    <d v="2017-09-01T00:00:00"/>
    <x v="1"/>
  </r>
  <r>
    <n v="2088"/>
    <x v="2"/>
    <s v="7/20/2017"/>
    <d v="2017-09-01T00:00:00"/>
    <x v="1"/>
  </r>
  <r>
    <n v="2340"/>
    <x v="2"/>
    <s v="4/29/2017"/>
    <d v="2017-09-01T00:00:00"/>
    <x v="1"/>
  </r>
  <r>
    <n v="2768"/>
    <x v="2"/>
    <s v="12/31/2016"/>
    <d v="2016-09-01T00:00:00"/>
    <x v="1"/>
  </r>
  <r>
    <n v="3225"/>
    <x v="2"/>
    <s v="12/13/2018"/>
    <d v="2018-09-01T00:00:00"/>
    <x v="2"/>
  </r>
  <r>
    <n v="3343"/>
    <x v="2"/>
    <s v="6/1/2016"/>
    <d v="2016-09-01T00:00:00"/>
    <x v="9"/>
  </r>
  <r>
    <n v="3410"/>
    <x v="2"/>
    <s v="1/15/2019"/>
    <d v="2019-09-01T00:00:00"/>
    <x v="2"/>
  </r>
  <r>
    <n v="3735"/>
    <x v="2"/>
    <s v="10/31/2015"/>
    <d v="2015-09-01T00:00:00"/>
    <x v="9"/>
  </r>
  <r>
    <n v="3797"/>
    <x v="2"/>
    <s v="7/20/2015"/>
    <d v="2015-09-01T00:00:00"/>
    <x v="3"/>
  </r>
  <r>
    <n v="3887"/>
    <x v="2"/>
    <s v="6/5/2015"/>
    <d v="2015-09-01T00:00:00"/>
    <x v="3"/>
  </r>
  <r>
    <n v="3964"/>
    <x v="2"/>
    <s v="4/19/2019"/>
    <d v="2019-09-01T00:00:00"/>
    <x v="2"/>
  </r>
  <r>
    <n v="4028"/>
    <x v="2"/>
    <s v="12/15/2014"/>
    <d v="2014-09-01T00:00:00"/>
    <x v="3"/>
  </r>
  <r>
    <n v="4093"/>
    <x v="2"/>
    <s v="8/1/2014"/>
    <d v="2014-09-01T00:00:00"/>
    <x v="4"/>
  </r>
  <r>
    <n v="4608"/>
    <x v="2"/>
    <s v="10/25/2019"/>
    <d v="2019-09-01T00:00:00"/>
    <x v="5"/>
  </r>
  <r>
    <n v="4659"/>
    <x v="2"/>
    <s v="11/18/2019"/>
    <d v="2019-09-01T00:00:00"/>
    <x v="5"/>
  </r>
  <r>
    <n v="4982"/>
    <x v="2"/>
    <s v="6/19/2020"/>
    <d v="2020-09-01T00:00:00"/>
    <x v="5"/>
  </r>
  <r>
    <n v="5094"/>
    <x v="2"/>
    <s v="9/8/2020"/>
    <d v="2020-09-01T00:00:00"/>
    <x v="6"/>
  </r>
  <r>
    <n v="5726"/>
    <x v="2"/>
    <s v="12/21/2020"/>
    <d v="2020-09-01T00:00:00"/>
    <x v="6"/>
  </r>
  <r>
    <n v="6828"/>
    <x v="2"/>
    <s v="1/26/2022"/>
    <d v="2022-09-01T00:00:00"/>
    <x v="7"/>
  </r>
  <r>
    <n v="7155"/>
    <x v="2"/>
    <s v="6/7/2022"/>
    <d v="2022-09-01T00:00:00"/>
    <x v="7"/>
  </r>
  <r>
    <n v="8015"/>
    <x v="2"/>
    <s v="2/3/2023"/>
    <d v="2023-09-01T00:00:00"/>
    <x v="8"/>
  </r>
  <r>
    <n v="8056"/>
    <x v="2"/>
    <s v="2/16/2023"/>
    <d v="2023-09-01T00:00:00"/>
    <x v="8"/>
  </r>
  <r>
    <n v="1460"/>
    <x v="2"/>
    <s v="12/6/2017"/>
    <d v="2017-09-01T00:00:00"/>
    <x v="0"/>
  </r>
  <r>
    <n v="4794"/>
    <x v="2"/>
    <s v="2/19/2020"/>
    <d v="2020-09-01T00:00:00"/>
    <x v="5"/>
  </r>
  <r>
    <n v="4073"/>
    <x v="2"/>
    <s v="9/30/2014"/>
    <d v="2014-09-01T00:00:00"/>
    <x v="3"/>
  </r>
  <r>
    <n v="4800"/>
    <x v="2"/>
    <s v="12/18/2019"/>
    <d v="2019-09-01T00:00:00"/>
    <x v="5"/>
  </r>
  <r>
    <n v="6078"/>
    <x v="2"/>
    <s v="5/17/2021"/>
    <d v="2021-09-01T00:00:00"/>
    <x v="6"/>
  </r>
  <r>
    <n v="6553"/>
    <x v="2"/>
    <s v="10/14/2021"/>
    <d v="2021-09-01T00:00:00"/>
    <x v="7"/>
  </r>
  <r>
    <n v="7265"/>
    <x v="2"/>
    <s v="7/12/2022"/>
    <d v="2022-09-01T00:00:00"/>
    <x v="7"/>
  </r>
  <r>
    <n v="5606"/>
    <x v="2"/>
    <s v="11/23/2020"/>
    <d v="2020-09-01T00:00:00"/>
    <x v="6"/>
  </r>
  <r>
    <n v="4164"/>
    <x v="2"/>
    <s v="6/4/2019"/>
    <d v="2019-09-01T00:00:00"/>
    <x v="2"/>
  </r>
  <r>
    <n v="4167"/>
    <x v="2"/>
    <s v="6/4/2019"/>
    <d v="2019-09-01T00:00:00"/>
    <x v="2"/>
  </r>
  <r>
    <n v="6083"/>
    <x v="2"/>
    <s v="5/18/2021"/>
    <d v="2021-09-01T00:00:00"/>
    <x v="6"/>
  </r>
  <r>
    <n v="7400"/>
    <x v="2"/>
    <s v="9/6/2022"/>
    <d v="2022-09-01T00:00:00"/>
    <x v="8"/>
  </r>
  <r>
    <n v="2338"/>
    <x v="3"/>
    <s v="4/30/2017"/>
    <d v="2017-09-01T00:00:00"/>
    <x v="1"/>
  </r>
  <r>
    <n v="2525"/>
    <x v="3"/>
    <s v="1/28/2017"/>
    <d v="2017-09-01T00:00:00"/>
    <x v="1"/>
  </r>
  <r>
    <n v="5535"/>
    <x v="3"/>
    <s v="10/30/2020"/>
    <d v="2020-09-01T00:00:00"/>
    <x v="6"/>
  </r>
  <r>
    <n v="5883"/>
    <x v="3"/>
    <s v="3/18/2021"/>
    <d v="2021-09-01T00:00:00"/>
    <x v="6"/>
  </r>
  <r>
    <n v="7040"/>
    <x v="3"/>
    <s v="4/8/2022"/>
    <d v="2022-09-01T00:00:00"/>
    <x v="7"/>
  </r>
  <r>
    <n v="7357"/>
    <x v="3"/>
    <s v="9/1/2022"/>
    <d v="2022-09-01T00:00:00"/>
    <x v="8"/>
  </r>
  <r>
    <n v="7358"/>
    <x v="3"/>
    <s v="9/12/2022"/>
    <d v="2022-09-01T00:00:00"/>
    <x v="8"/>
  </r>
  <r>
    <n v="7355"/>
    <x v="3"/>
    <s v="9/16/2022"/>
    <d v="2022-09-01T00:00:00"/>
    <x v="8"/>
  </r>
  <r>
    <n v="7881"/>
    <x v="3"/>
    <s v="1/10/2023"/>
    <d v="2023-09-01T00:00:00"/>
    <x v="8"/>
  </r>
  <r>
    <n v="8204"/>
    <x v="3"/>
    <s v="4/18/2023"/>
    <d v="2023-09-01T00:00:00"/>
    <x v="8"/>
  </r>
  <r>
    <n v="4816"/>
    <x v="3"/>
    <s v="1/10/2020"/>
    <d v="2020-09-01T00:00:00"/>
    <x v="5"/>
  </r>
  <r>
    <n v="7954"/>
    <x v="3"/>
    <s v="1/23/2023"/>
    <d v="2023-09-01T00:00:00"/>
    <x v="8"/>
  </r>
  <r>
    <n v="1353"/>
    <x v="3"/>
    <s v="5/9/2018"/>
    <d v="2018-09-01T00:00:00"/>
    <x v="0"/>
  </r>
  <r>
    <n v="4912"/>
    <x v="3"/>
    <s v="3/24/2020"/>
    <d v="2020-09-01T00:00:00"/>
    <x v="5"/>
  </r>
  <r>
    <n v="1391"/>
    <x v="3"/>
    <s v="4/10/2018"/>
    <d v="2018-09-01T00:00:00"/>
    <x v="0"/>
  </r>
  <r>
    <n v="7196"/>
    <x v="3"/>
    <s v="6/21/2022"/>
    <d v="2022-09-01T00:00:00"/>
    <x v="7"/>
  </r>
  <r>
    <n v="1312"/>
    <x v="3"/>
    <s v="5/30/2018"/>
    <d v="2018-09-01T00:00:00"/>
    <x v="0"/>
  </r>
  <r>
    <n v="1318"/>
    <x v="3"/>
    <s v="5/17/2018"/>
    <d v="2018-09-01T00:00:00"/>
    <x v="0"/>
  </r>
  <r>
    <n v="1361"/>
    <x v="3"/>
    <s v="10/16/2017"/>
    <d v="2017-09-01T00:00:00"/>
    <x v="0"/>
  </r>
  <r>
    <n v="1468"/>
    <x v="3"/>
    <s v="11/28/2017"/>
    <d v="2017-09-01T00:00:00"/>
    <x v="0"/>
  </r>
  <r>
    <n v="3336"/>
    <x v="3"/>
    <s v="6/29/2016"/>
    <d v="2016-09-01T00:00:00"/>
    <x v="9"/>
  </r>
  <r>
    <n v="3856"/>
    <x v="3"/>
    <s v="3/28/2019"/>
    <d v="2019-09-01T00:00:00"/>
    <x v="2"/>
  </r>
  <r>
    <n v="3934"/>
    <x v="3"/>
    <s v="4/15/2019"/>
    <d v="2019-09-01T00:00:00"/>
    <x v="2"/>
  </r>
  <r>
    <n v="4336"/>
    <x v="3"/>
    <s v="8/19/2019"/>
    <d v="2019-09-01T00:00:00"/>
    <x v="2"/>
  </r>
  <r>
    <n v="4387"/>
    <x v="3"/>
    <s v="9/9/2019"/>
    <d v="2019-09-01T00:00:00"/>
    <x v="5"/>
  </r>
  <r>
    <n v="4910"/>
    <x v="3"/>
    <s v="4/1/2020"/>
    <d v="2020-09-01T00:00:00"/>
    <x v="5"/>
  </r>
  <r>
    <n v="5038"/>
    <x v="3"/>
    <s v="9/1/2020"/>
    <d v="2020-09-01T00:00:00"/>
    <x v="6"/>
  </r>
  <r>
    <n v="5070"/>
    <x v="3"/>
    <s v="9/2/2020"/>
    <d v="2020-09-01T00:00:00"/>
    <x v="6"/>
  </r>
  <r>
    <n v="5578"/>
    <x v="3"/>
    <s v="11/12/2020"/>
    <d v="2020-09-01T00:00:00"/>
    <x v="6"/>
  </r>
  <r>
    <n v="5795"/>
    <x v="3"/>
    <s v="1/28/2021"/>
    <d v="2021-09-01T00:00:00"/>
    <x v="6"/>
  </r>
  <r>
    <n v="6180"/>
    <x v="3"/>
    <s v="6/29/2021"/>
    <d v="2021-09-01T00:00:00"/>
    <x v="6"/>
  </r>
  <r>
    <n v="6358"/>
    <x v="3"/>
    <s v="9/8/2021"/>
    <d v="2021-09-01T00:00:00"/>
    <x v="7"/>
  </r>
  <r>
    <n v="6556"/>
    <x v="3"/>
    <s v="10/20/2021"/>
    <d v="2021-09-01T00:00:00"/>
    <x v="7"/>
  </r>
  <r>
    <n v="7162"/>
    <x v="3"/>
    <s v="6/1/2022"/>
    <d v="2022-09-01T00:00:00"/>
    <x v="7"/>
  </r>
  <r>
    <n v="7376"/>
    <x v="3"/>
    <s v="8/31/2022"/>
    <d v="2022-09-01T00:00:00"/>
    <x v="7"/>
  </r>
  <r>
    <n v="7735"/>
    <x v="3"/>
    <s v="11/21/2022"/>
    <d v="2022-09-01T00:00:00"/>
    <x v="8"/>
  </r>
  <r>
    <n v="7914"/>
    <x v="3"/>
    <s v="1/13/2023"/>
    <d v="2023-09-01T00:00:00"/>
    <x v="8"/>
  </r>
  <r>
    <n v="1315"/>
    <x v="3"/>
    <s v="9/1/2017"/>
    <d v="2017-09-01T00:00:00"/>
    <x v="0"/>
  </r>
  <r>
    <n v="4291"/>
    <x v="3"/>
    <s v="7/25/2019"/>
    <d v="2019-09-01T00:00:00"/>
    <x v="2"/>
  </r>
  <r>
    <n v="4368"/>
    <x v="3"/>
    <s v="9/5/2019"/>
    <d v="2019-09-01T00:00:00"/>
    <x v="5"/>
  </r>
  <r>
    <n v="5112"/>
    <x v="3"/>
    <s v="9/17/2020"/>
    <d v="2020-09-01T00:00:00"/>
    <x v="6"/>
  </r>
  <r>
    <n v="5939"/>
    <x v="3"/>
    <s v="4/12/2021"/>
    <d v="2021-09-01T00:00:00"/>
    <x v="6"/>
  </r>
  <r>
    <n v="7285"/>
    <x v="3"/>
    <s v="8/3/2022"/>
    <d v="2022-09-01T00:00:00"/>
    <x v="7"/>
  </r>
  <r>
    <n v="7643"/>
    <x v="3"/>
    <s v="10/18/2022"/>
    <d v="2022-09-01T00:00:00"/>
    <x v="8"/>
  </r>
  <r>
    <n v="1343"/>
    <x v="3"/>
    <s v="9/15/2017"/>
    <d v="2017-09-01T00:00:00"/>
    <x v="0"/>
  </r>
  <r>
    <n v="2521"/>
    <x v="3"/>
    <s v="1/30/2017"/>
    <d v="2017-09-01T00:00:00"/>
    <x v="1"/>
  </r>
  <r>
    <n v="3002"/>
    <x v="3"/>
    <s v="11/26/2016"/>
    <d v="2016-09-01T00:00:00"/>
    <x v="1"/>
  </r>
  <r>
    <n v="6606"/>
    <x v="3"/>
    <s v="11/1/2021"/>
    <d v="2021-09-01T00:00:00"/>
    <x v="7"/>
  </r>
  <r>
    <n v="6926"/>
    <x v="3"/>
    <s v="2/24/2022"/>
    <d v="2022-09-01T00:00:00"/>
    <x v="7"/>
  </r>
  <r>
    <n v="1460"/>
    <x v="3"/>
    <s v="12/6/2017"/>
    <d v="2017-09-01T00:00:00"/>
    <x v="0"/>
  </r>
  <r>
    <n v="4794"/>
    <x v="3"/>
    <s v="2/19/2020"/>
    <d v="2020-09-01T00:00:00"/>
    <x v="5"/>
  </r>
  <r>
    <n v="437"/>
    <x v="3"/>
    <s v="7/13/2018"/>
    <d v="2018-09-01T00:00:00"/>
    <x v="0"/>
  </r>
  <r>
    <n v="1286"/>
    <x v="3"/>
    <s v="7/8/2018"/>
    <d v="2018-09-01T00:00:00"/>
    <x v="0"/>
  </r>
  <r>
    <n v="1317"/>
    <x v="3"/>
    <s v="9/15/2017"/>
    <d v="2017-09-01T00:00:00"/>
    <x v="0"/>
  </r>
  <r>
    <n v="1324"/>
    <x v="3"/>
    <s v="9/1/2017"/>
    <d v="2017-09-01T00:00:00"/>
    <x v="0"/>
  </r>
  <r>
    <n v="1352"/>
    <x v="3"/>
    <s v="9/27/2017"/>
    <d v="2017-09-01T00:00:00"/>
    <x v="0"/>
  </r>
  <r>
    <n v="1355"/>
    <x v="3"/>
    <s v="10/3/2017"/>
    <d v="2017-09-01T00:00:00"/>
    <x v="0"/>
  </r>
  <r>
    <n v="1370"/>
    <x v="3"/>
    <s v="10/15/2017"/>
    <d v="2017-09-01T00:00:00"/>
    <x v="0"/>
  </r>
  <r>
    <n v="1413"/>
    <x v="3"/>
    <s v="11/10/2017"/>
    <d v="2017-09-01T00:00:00"/>
    <x v="0"/>
  </r>
  <r>
    <n v="1698"/>
    <x v="3"/>
    <s v="9/20/2018"/>
    <d v="2018-09-01T00:00:00"/>
    <x v="2"/>
  </r>
  <r>
    <n v="1950"/>
    <x v="3"/>
    <s v="8/31/2017"/>
    <d v="2017-09-01T00:00:00"/>
    <x v="1"/>
  </r>
  <r>
    <n v="2209"/>
    <x v="3"/>
    <s v="6/2/2017"/>
    <d v="2017-09-01T00:00:00"/>
    <x v="1"/>
  </r>
  <r>
    <n v="2323"/>
    <x v="3"/>
    <s v="5/3/2017"/>
    <d v="2017-09-01T00:00:00"/>
    <x v="1"/>
  </r>
  <r>
    <n v="2337"/>
    <x v="3"/>
    <s v="5/1/2017"/>
    <d v="2017-09-01T00:00:00"/>
    <x v="1"/>
  </r>
  <r>
    <n v="2437"/>
    <x v="3"/>
    <s v="3/15/2017"/>
    <d v="2017-09-01T00:00:00"/>
    <x v="1"/>
  </r>
  <r>
    <n v="2747"/>
    <x v="3"/>
    <s v="11/26/2018"/>
    <d v="2018-09-01T00:00:00"/>
    <x v="2"/>
  </r>
  <r>
    <n v="2819"/>
    <x v="3"/>
    <s v="12/30/2016"/>
    <d v="2016-09-01T00:00:00"/>
    <x v="1"/>
  </r>
  <r>
    <n v="2828"/>
    <x v="3"/>
    <s v="12/28/2016"/>
    <d v="2016-09-01T00:00:00"/>
    <x v="1"/>
  </r>
  <r>
    <n v="2977"/>
    <x v="3"/>
    <s v="12/3/2018"/>
    <d v="2018-09-01T00:00:00"/>
    <x v="2"/>
  </r>
  <r>
    <n v="2989"/>
    <x v="3"/>
    <s v="12/1/2016"/>
    <d v="2016-09-01T00:00:00"/>
    <x v="1"/>
  </r>
  <r>
    <n v="3059"/>
    <x v="3"/>
    <s v="10/14/2016"/>
    <d v="2016-09-01T00:00:00"/>
    <x v="1"/>
  </r>
  <r>
    <n v="3208"/>
    <x v="3"/>
    <s v="9/27/2016"/>
    <d v="2016-09-01T00:00:00"/>
    <x v="1"/>
  </r>
  <r>
    <n v="3316"/>
    <x v="3"/>
    <s v="7/29/2016"/>
    <d v="2016-09-01T00:00:00"/>
    <x v="9"/>
  </r>
  <r>
    <n v="3334"/>
    <x v="3"/>
    <s v="6/30/2016"/>
    <d v="2016-09-01T00:00:00"/>
    <x v="9"/>
  </r>
  <r>
    <n v="3460"/>
    <x v="3"/>
    <s v="5/1/2016"/>
    <d v="2016-09-01T00:00:00"/>
    <x v="9"/>
  </r>
  <r>
    <n v="3537"/>
    <x v="3"/>
    <s v="4/25/2016"/>
    <d v="2016-09-01T00:00:00"/>
    <x v="9"/>
  </r>
  <r>
    <n v="3551"/>
    <x v="3"/>
    <s v="3/29/2016"/>
    <d v="2016-09-01T00:00:00"/>
    <x v="9"/>
  </r>
  <r>
    <n v="3558"/>
    <x v="3"/>
    <s v="2/20/2016"/>
    <d v="2016-09-01T00:00:00"/>
    <x v="9"/>
  </r>
  <r>
    <n v="3562"/>
    <x v="3"/>
    <s v="2/15/2016"/>
    <d v="2016-09-01T00:00:00"/>
    <x v="9"/>
  </r>
  <r>
    <n v="3634"/>
    <x v="3"/>
    <s v="2/20/2019"/>
    <d v="2019-09-01T00:00:00"/>
    <x v="2"/>
  </r>
  <r>
    <n v="3639"/>
    <x v="3"/>
    <s v="11/25/2015"/>
    <d v="2015-09-01T00:00:00"/>
    <x v="9"/>
  </r>
  <r>
    <n v="3642"/>
    <x v="3"/>
    <s v="11/22/2015"/>
    <d v="2015-09-01T00:00:00"/>
    <x v="9"/>
  </r>
  <r>
    <n v="3654"/>
    <x v="3"/>
    <s v="11/13/2015"/>
    <d v="2015-09-01T00:00:00"/>
    <x v="9"/>
  </r>
  <r>
    <n v="3724"/>
    <x v="3"/>
    <s v="2/25/2019"/>
    <d v="2019-09-01T00:00:00"/>
    <x v="2"/>
  </r>
  <r>
    <n v="3739"/>
    <x v="3"/>
    <s v="10/20/2015"/>
    <d v="2015-09-01T00:00:00"/>
    <x v="9"/>
  </r>
  <r>
    <n v="3743"/>
    <x v="3"/>
    <s v="10/5/2015"/>
    <d v="2015-09-01T00:00:00"/>
    <x v="9"/>
  </r>
  <r>
    <n v="3868"/>
    <x v="3"/>
    <s v="4/1/2019"/>
    <d v="2019-09-01T00:00:00"/>
    <x v="2"/>
  </r>
  <r>
    <n v="3872"/>
    <x v="3"/>
    <s v="4/3/2019"/>
    <d v="2019-09-01T00:00:00"/>
    <x v="2"/>
  </r>
  <r>
    <n v="4010"/>
    <x v="3"/>
    <s v="2/10/2015"/>
    <d v="2015-09-01T00:00:00"/>
    <x v="3"/>
  </r>
  <r>
    <n v="4085"/>
    <x v="3"/>
    <s v="8/31/2014"/>
    <d v="2014-09-01T00:00:00"/>
    <x v="4"/>
  </r>
  <r>
    <n v="4096"/>
    <x v="3"/>
    <s v="5/6/2019"/>
    <d v="2019-09-01T00:00:00"/>
    <x v="2"/>
  </r>
  <r>
    <n v="4100"/>
    <x v="3"/>
    <s v="5/2/2019"/>
    <d v="2019-09-01T00:00:00"/>
    <x v="2"/>
  </r>
  <r>
    <n v="4151"/>
    <x v="3"/>
    <s v="6/15/2014"/>
    <d v="2014-09-01T00:00:00"/>
    <x v="4"/>
  </r>
  <r>
    <n v="4172"/>
    <x v="3"/>
    <s v="6/4/2019"/>
    <d v="2019-09-01T00:00:00"/>
    <x v="2"/>
  </r>
  <r>
    <n v="4174"/>
    <x v="3"/>
    <s v="3/15/2019"/>
    <d v="2019-09-01T00:00:00"/>
    <x v="2"/>
  </r>
  <r>
    <n v="4225"/>
    <x v="3"/>
    <s v="6/19/2019"/>
    <d v="2019-09-01T00:00:00"/>
    <x v="2"/>
  </r>
  <r>
    <n v="4280"/>
    <x v="3"/>
    <s v="7/10/2019"/>
    <d v="2019-09-01T00:00:00"/>
    <x v="2"/>
  </r>
  <r>
    <n v="4283"/>
    <x v="3"/>
    <s v="7/17/2019"/>
    <d v="2019-09-01T00:00:00"/>
    <x v="2"/>
  </r>
  <r>
    <n v="4328"/>
    <x v="3"/>
    <s v="8/15/2019"/>
    <d v="2019-09-01T00:00:00"/>
    <x v="2"/>
  </r>
  <r>
    <n v="4466"/>
    <x v="3"/>
    <s v="5/5/2014"/>
    <d v="2014-09-01T00:00:00"/>
    <x v="4"/>
  </r>
  <r>
    <n v="4476"/>
    <x v="3"/>
    <s v="4/25/2014"/>
    <d v="2014-09-01T00:00:00"/>
    <x v="4"/>
  </r>
  <r>
    <n v="4650"/>
    <x v="3"/>
    <s v="12/9/2019"/>
    <d v="2019-09-01T00:00:00"/>
    <x v="5"/>
  </r>
  <r>
    <n v="4763"/>
    <x v="3"/>
    <s v="12/9/2019"/>
    <d v="2019-09-01T00:00:00"/>
    <x v="5"/>
  </r>
  <r>
    <n v="4899"/>
    <x v="3"/>
    <s v="4/20/2020"/>
    <d v="2020-09-01T00:00:00"/>
    <x v="5"/>
  </r>
  <r>
    <n v="4921"/>
    <x v="3"/>
    <s v="5/19/2020"/>
    <d v="2020-09-01T00:00:00"/>
    <x v="5"/>
  </r>
  <r>
    <n v="4964"/>
    <x v="3"/>
    <s v="6/23/2020"/>
    <d v="2020-09-01T00:00:00"/>
    <x v="5"/>
  </r>
  <r>
    <n v="5523"/>
    <x v="3"/>
    <s v="10/29/2020"/>
    <d v="2020-09-01T00:00:00"/>
    <x v="6"/>
  </r>
  <r>
    <n v="5759"/>
    <x v="3"/>
    <s v="10/25/2020"/>
    <d v="2020-09-01T00:00:00"/>
    <x v="6"/>
  </r>
  <r>
    <n v="5842"/>
    <x v="3"/>
    <s v="2/18/2021"/>
    <d v="2021-09-01T00:00:00"/>
    <x v="6"/>
  </r>
  <r>
    <n v="5863"/>
    <x v="3"/>
    <s v="3/15/2021"/>
    <d v="2021-09-01T00:00:00"/>
    <x v="6"/>
  </r>
  <r>
    <n v="5906"/>
    <x v="3"/>
    <s v="3/25/2021"/>
    <d v="2021-09-01T00:00:00"/>
    <x v="6"/>
  </r>
  <r>
    <n v="5979"/>
    <x v="3"/>
    <s v="4/23/2021"/>
    <d v="2021-09-01T00:00:00"/>
    <x v="6"/>
  </r>
  <r>
    <n v="6642"/>
    <x v="3"/>
    <s v="11/8/2021"/>
    <d v="2021-09-01T00:00:00"/>
    <x v="7"/>
  </r>
  <r>
    <n v="6999"/>
    <x v="3"/>
    <s v="3/16/2022"/>
    <d v="2022-09-01T00:00:00"/>
    <x v="7"/>
  </r>
  <r>
    <n v="7306"/>
    <x v="3"/>
    <s v="8/11/2022"/>
    <d v="2022-09-01T00:00:00"/>
    <x v="7"/>
  </r>
  <r>
    <n v="8131"/>
    <x v="3"/>
    <s v="3/8/2023"/>
    <d v="2023-09-01T00:00:00"/>
    <x v="8"/>
  </r>
  <r>
    <n v="8271"/>
    <x v="3"/>
    <s v="4/28/2023"/>
    <d v="2023-09-01T00:00:00"/>
    <x v="8"/>
  </r>
  <r>
    <n v="8226"/>
    <x v="3"/>
    <s v="4/20/2023"/>
    <d v="2023-09-01T00:00:00"/>
    <x v="8"/>
  </r>
  <r>
    <n v="8173"/>
    <x v="3"/>
    <s v="4/17/2023"/>
    <d v="2023-09-01T00:00:00"/>
    <x v="8"/>
  </r>
  <r>
    <n v="8166"/>
    <x v="3"/>
    <s v="4/14/2023"/>
    <d v="2023-09-01T00:00:00"/>
    <x v="8"/>
  </r>
  <r>
    <n v="2344"/>
    <x v="3"/>
    <s v="3/17/2017"/>
    <d v="2017-09-01T00:00:00"/>
    <x v="1"/>
  </r>
  <r>
    <n v="4915"/>
    <x v="3"/>
    <s v="5/9/2020"/>
    <d v="2020-09-01T00:00:00"/>
    <x v="5"/>
  </r>
  <r>
    <n v="6944"/>
    <x v="3"/>
    <s v="2/28/2022"/>
    <d v="2022-09-01T00:00:00"/>
    <x v="7"/>
  </r>
  <r>
    <n v="7744"/>
    <x v="3"/>
    <s v="11/28/2022"/>
    <d v="2022-09-01T00:00:00"/>
    <x v="8"/>
  </r>
  <r>
    <n v="7768"/>
    <x v="3"/>
    <s v="12/7/2022"/>
    <d v="2022-09-01T00:00:00"/>
    <x v="8"/>
  </r>
  <r>
    <n v="7845"/>
    <x v="3"/>
    <s v="1/5/2023"/>
    <d v="2023-09-01T00:00:00"/>
    <x v="8"/>
  </r>
  <r>
    <n v="1346"/>
    <x v="3"/>
    <s v="5/11/2018"/>
    <d v="2018-09-01T00:00:00"/>
    <x v="0"/>
  </r>
  <r>
    <n v="4242"/>
    <x v="3"/>
    <s v="6/21/2019"/>
    <d v="2019-09-01T00:00:00"/>
    <x v="2"/>
  </r>
  <r>
    <n v="7657"/>
    <x v="3"/>
    <s v="10/20/2022"/>
    <d v="2022-09-01T00:00:00"/>
    <x v="8"/>
  </r>
  <r>
    <n v="2525"/>
    <x v="4"/>
    <s v="1/28/2017"/>
    <d v="2017-09-01T00:00:00"/>
    <x v="1"/>
  </r>
  <r>
    <n v="5535"/>
    <x v="4"/>
    <s v="10/30/2020"/>
    <d v="2020-09-01T00:00:00"/>
    <x v="6"/>
  </r>
  <r>
    <n v="5883"/>
    <x v="4"/>
    <s v="3/18/2021"/>
    <d v="2021-09-01T00:00:00"/>
    <x v="6"/>
  </r>
  <r>
    <n v="7040"/>
    <x v="4"/>
    <s v="4/8/2022"/>
    <d v="2022-09-01T00:00:00"/>
    <x v="7"/>
  </r>
  <r>
    <n v="7357"/>
    <x v="4"/>
    <s v="9/1/2022"/>
    <d v="2022-09-01T00:00:00"/>
    <x v="8"/>
  </r>
  <r>
    <n v="7358"/>
    <x v="4"/>
    <s v="9/12/2022"/>
    <d v="2022-09-01T00:00:00"/>
    <x v="8"/>
  </r>
  <r>
    <n v="7355"/>
    <x v="4"/>
    <s v="9/16/2022"/>
    <d v="2022-09-01T00:00:00"/>
    <x v="8"/>
  </r>
  <r>
    <n v="7881"/>
    <x v="4"/>
    <s v="1/10/2023"/>
    <d v="2023-09-01T00:00:00"/>
    <x v="8"/>
  </r>
  <r>
    <n v="8204"/>
    <x v="4"/>
    <s v="4/18/2023"/>
    <d v="2023-09-01T00:00:00"/>
    <x v="8"/>
  </r>
  <r>
    <n v="2341"/>
    <x v="4"/>
    <s v="4/28/2017"/>
    <d v="2017-09-01T00:00:00"/>
    <x v="1"/>
  </r>
  <r>
    <n v="1353"/>
    <x v="4"/>
    <s v="5/9/2018"/>
    <d v="2018-09-01T00:00:00"/>
    <x v="0"/>
  </r>
  <r>
    <n v="5806"/>
    <x v="4"/>
    <s v="2/1/2021"/>
    <d v="2021-09-01T00:00:00"/>
    <x v="6"/>
  </r>
  <r>
    <n v="4912"/>
    <x v="4"/>
    <s v="3/24/2020"/>
    <d v="2020-09-01T00:00:00"/>
    <x v="5"/>
  </r>
  <r>
    <n v="1391"/>
    <x v="4"/>
    <s v="4/10/2018"/>
    <d v="2018-09-01T00:00:00"/>
    <x v="0"/>
  </r>
  <r>
    <n v="7196"/>
    <x v="4"/>
    <s v="6/21/2022"/>
    <d v="2022-09-01T00:00:00"/>
    <x v="7"/>
  </r>
  <r>
    <n v="1315"/>
    <x v="4"/>
    <s v="9/1/2017"/>
    <d v="2017-09-01T00:00:00"/>
    <x v="0"/>
  </r>
  <r>
    <n v="4291"/>
    <x v="4"/>
    <s v="7/25/2019"/>
    <d v="2019-09-01T00:00:00"/>
    <x v="2"/>
  </r>
  <r>
    <n v="4368"/>
    <x v="4"/>
    <s v="9/5/2019"/>
    <d v="2019-09-01T00:00:00"/>
    <x v="5"/>
  </r>
  <r>
    <n v="5112"/>
    <x v="4"/>
    <s v="9/17/2020"/>
    <d v="2020-09-01T00:00:00"/>
    <x v="6"/>
  </r>
  <r>
    <n v="5939"/>
    <x v="4"/>
    <s v="4/12/2021"/>
    <d v="2021-09-01T00:00:00"/>
    <x v="6"/>
  </r>
  <r>
    <n v="7285"/>
    <x v="4"/>
    <s v="8/3/2022"/>
    <d v="2022-09-01T00:00:00"/>
    <x v="7"/>
  </r>
  <r>
    <n v="7643"/>
    <x v="4"/>
    <s v="10/18/2022"/>
    <d v="2022-09-01T00:00:00"/>
    <x v="8"/>
  </r>
  <r>
    <n v="1465"/>
    <x v="4"/>
    <s v="12/1/2017"/>
    <d v="2017-09-01T00:00:00"/>
    <x v="0"/>
  </r>
  <r>
    <n v="3274"/>
    <x v="4"/>
    <s v="1/10/2019"/>
    <d v="2019-09-01T00:00:00"/>
    <x v="2"/>
  </r>
  <r>
    <n v="5864"/>
    <x v="4"/>
    <s v="3/12/2021"/>
    <d v="2021-09-01T00:00:00"/>
    <x v="6"/>
  </r>
  <r>
    <n v="7325"/>
    <x v="4"/>
    <s v="8/11/2022"/>
    <d v="2022-09-01T00:00:00"/>
    <x v="7"/>
  </r>
  <r>
    <n v="7449"/>
    <x v="4"/>
    <s v="8/29/2022"/>
    <d v="2022-09-01T00:00:00"/>
    <x v="7"/>
  </r>
  <r>
    <n v="7765"/>
    <x v="4"/>
    <s v="12/16/2022"/>
    <d v="2022-09-01T00:00:00"/>
    <x v="8"/>
  </r>
  <r>
    <n v="2551"/>
    <x v="4"/>
    <s v="1/1/2017"/>
    <d v="2017-09-01T00:00:00"/>
    <x v="1"/>
  </r>
  <r>
    <n v="3000"/>
    <x v="4"/>
    <s v="11/27/2016"/>
    <d v="2016-09-01T00:00:00"/>
    <x v="1"/>
  </r>
  <r>
    <n v="3345"/>
    <x v="4"/>
    <s v="5/29/2016"/>
    <d v="2016-09-01T00:00:00"/>
    <x v="9"/>
  </r>
  <r>
    <n v="3717"/>
    <x v="4"/>
    <s v="2/22/2019"/>
    <d v="2019-09-01T00:00:00"/>
    <x v="2"/>
  </r>
  <r>
    <n v="4794"/>
    <x v="4"/>
    <s v="2/19/2020"/>
    <d v="2020-09-01T00:00:00"/>
    <x v="5"/>
  </r>
  <r>
    <n v="4073"/>
    <x v="4"/>
    <s v="9/30/2014"/>
    <d v="2014-09-01T00:00:00"/>
    <x v="3"/>
  </r>
  <r>
    <n v="4800"/>
    <x v="4"/>
    <s v="12/18/2019"/>
    <d v="2019-09-01T00:00:00"/>
    <x v="5"/>
  </r>
  <r>
    <n v="6078"/>
    <x v="4"/>
    <s v="5/17/2021"/>
    <d v="2021-09-01T00:00:00"/>
    <x v="6"/>
  </r>
  <r>
    <n v="6553"/>
    <x v="4"/>
    <s v="10/14/2021"/>
    <d v="2021-09-01T00:00:00"/>
    <x v="7"/>
  </r>
  <r>
    <n v="7265"/>
    <x v="4"/>
    <s v="7/12/2022"/>
    <d v="2022-09-01T00:00:00"/>
    <x v="7"/>
  </r>
  <r>
    <n v="5606"/>
    <x v="4"/>
    <s v="11/23/2020"/>
    <d v="2020-09-01T00:00:00"/>
    <x v="6"/>
  </r>
  <r>
    <n v="2344"/>
    <x v="4"/>
    <s v="3/17/2017"/>
    <d v="2017-09-01T00:00:00"/>
    <x v="1"/>
  </r>
  <r>
    <n v="4915"/>
    <x v="4"/>
    <s v="5/9/2020"/>
    <d v="2020-09-01T00:00:00"/>
    <x v="5"/>
  </r>
  <r>
    <n v="6944"/>
    <x v="4"/>
    <s v="2/28/2022"/>
    <d v="2022-09-01T00:00:00"/>
    <x v="7"/>
  </r>
  <r>
    <n v="7744"/>
    <x v="4"/>
    <s v="11/28/2022"/>
    <d v="2022-09-01T00:00:00"/>
    <x v="8"/>
  </r>
  <r>
    <n v="7768"/>
    <x v="4"/>
    <s v="12/7/2022"/>
    <d v="2022-09-01T00:00:00"/>
    <x v="8"/>
  </r>
  <r>
    <n v="7845"/>
    <x v="4"/>
    <s v="1/5/2023"/>
    <d v="2023-09-01T00:00:00"/>
    <x v="8"/>
  </r>
  <r>
    <n v="433"/>
    <x v="4"/>
    <s v="7/26/2018"/>
    <d v="2018-09-01T00:00:00"/>
    <x v="0"/>
  </r>
  <r>
    <n v="1347"/>
    <x v="4"/>
    <s v="9/18/2017"/>
    <d v="2017-09-01T00:00:00"/>
    <x v="0"/>
  </r>
  <r>
    <n v="1456"/>
    <x v="4"/>
    <s v="1/9/2018"/>
    <d v="2018-09-01T00:00:00"/>
    <x v="0"/>
  </r>
  <r>
    <n v="1668"/>
    <x v="4"/>
    <s v="9/20/2018"/>
    <d v="2018-09-01T00:00:00"/>
    <x v="2"/>
  </r>
  <r>
    <n v="2084"/>
    <x v="4"/>
    <s v="7/31/2017"/>
    <d v="2017-09-01T00:00:00"/>
    <x v="1"/>
  </r>
  <r>
    <n v="2111"/>
    <x v="4"/>
    <s v="11/2/2018"/>
    <d v="2018-09-01T00:00:00"/>
    <x v="2"/>
  </r>
  <r>
    <n v="2203"/>
    <x v="4"/>
    <s v="6/3/2017"/>
    <d v="2017-09-01T00:00:00"/>
    <x v="1"/>
  </r>
  <r>
    <n v="2519"/>
    <x v="4"/>
    <s v="1/31/2017"/>
    <d v="2017-09-01T00:00:00"/>
    <x v="1"/>
  </r>
  <r>
    <n v="2523"/>
    <x v="4"/>
    <s v="1/29/2017"/>
    <d v="2017-09-01T00:00:00"/>
    <x v="1"/>
  </r>
  <r>
    <n v="2996"/>
    <x v="4"/>
    <s v="11/29/2016"/>
    <d v="2016-09-01T00:00:00"/>
    <x v="1"/>
  </r>
  <r>
    <n v="3250"/>
    <x v="4"/>
    <s v="9/1/2016"/>
    <d v="2016-09-01T00:00:00"/>
    <x v="1"/>
  </r>
  <r>
    <n v="3507"/>
    <x v="4"/>
    <s v="2/7/2019"/>
    <d v="2019-09-01T00:00:00"/>
    <x v="2"/>
  </r>
  <r>
    <n v="3931"/>
    <x v="4"/>
    <s v="4/29/2015"/>
    <d v="2015-09-01T00:00:00"/>
    <x v="3"/>
  </r>
  <r>
    <n v="3943"/>
    <x v="4"/>
    <s v="4/24/2015"/>
    <d v="2015-09-01T00:00:00"/>
    <x v="3"/>
  </r>
  <r>
    <n v="4531"/>
    <x v="4"/>
    <s v="10/31/2019"/>
    <d v="2019-09-01T00:00:00"/>
    <x v="5"/>
  </r>
  <r>
    <n v="4656"/>
    <x v="4"/>
    <s v="12/8/2019"/>
    <d v="2019-09-01T00:00:00"/>
    <x v="5"/>
  </r>
  <r>
    <n v="4889"/>
    <x v="4"/>
    <s v="4/13/2020"/>
    <d v="2020-09-01T00:00:00"/>
    <x v="5"/>
  </r>
  <r>
    <n v="4924"/>
    <x v="4"/>
    <s v="5/26/2020"/>
    <d v="2020-09-01T00:00:00"/>
    <x v="5"/>
  </r>
  <r>
    <n v="4998"/>
    <x v="4"/>
    <s v="7/14/2020"/>
    <d v="2020-09-01T00:00:00"/>
    <x v="5"/>
  </r>
  <r>
    <n v="5003"/>
    <x v="4"/>
    <s v="7/23/2020"/>
    <d v="2020-09-01T00:00:00"/>
    <x v="5"/>
  </r>
  <r>
    <n v="5016"/>
    <x v="4"/>
    <s v="8/5/2020"/>
    <d v="2020-09-01T00:00:00"/>
    <x v="5"/>
  </r>
  <r>
    <n v="5025"/>
    <x v="4"/>
    <s v="8/6/2020"/>
    <d v="2020-09-01T00:00:00"/>
    <x v="5"/>
  </r>
  <r>
    <n v="5904"/>
    <x v="4"/>
    <s v="3/24/2021"/>
    <d v="2021-09-01T00:00:00"/>
    <x v="6"/>
  </r>
  <r>
    <n v="6008"/>
    <x v="4"/>
    <s v="4/28/2021"/>
    <d v="2021-09-01T00:00:00"/>
    <x v="6"/>
  </r>
  <r>
    <n v="6033"/>
    <x v="4"/>
    <s v="5/5/2021"/>
    <d v="2021-09-01T00:00:00"/>
    <x v="6"/>
  </r>
  <r>
    <n v="6094"/>
    <x v="4"/>
    <s v="5/20/2021"/>
    <d v="2021-09-01T00:00:00"/>
    <x v="6"/>
  </r>
  <r>
    <n v="6662"/>
    <x v="4"/>
    <s v="9/1/2021"/>
    <d v="2021-09-01T00:00:00"/>
    <x v="7"/>
  </r>
  <r>
    <n v="6776"/>
    <x v="4"/>
    <s v="1/6/2022"/>
    <d v="2022-09-01T00:00:00"/>
    <x v="7"/>
  </r>
  <r>
    <n v="6871"/>
    <x v="4"/>
    <s v="2/9/2022"/>
    <d v="2022-09-01T00:00:00"/>
    <x v="7"/>
  </r>
  <r>
    <n v="6885"/>
    <x v="4"/>
    <s v="2/15/2022"/>
    <d v="2022-09-01T00:00:00"/>
    <x v="7"/>
  </r>
  <r>
    <n v="6919"/>
    <x v="4"/>
    <s v="2/23/2022"/>
    <d v="2022-09-01T00:00:00"/>
    <x v="7"/>
  </r>
  <r>
    <n v="7033"/>
    <x v="4"/>
    <s v="4/6/2022"/>
    <d v="2022-09-01T00:00:00"/>
    <x v="7"/>
  </r>
  <r>
    <n v="7066"/>
    <x v="4"/>
    <s v="4/20/2022"/>
    <d v="2022-09-01T00:00:00"/>
    <x v="7"/>
  </r>
  <r>
    <n v="7084"/>
    <x v="4"/>
    <s v="4/29/2022"/>
    <d v="2022-09-01T00:00:00"/>
    <x v="7"/>
  </r>
  <r>
    <n v="7104"/>
    <x v="4"/>
    <s v="5/3/2022"/>
    <d v="2022-09-01T00:00:00"/>
    <x v="7"/>
  </r>
  <r>
    <n v="7146"/>
    <x v="4"/>
    <s v="5/20/2022"/>
    <d v="2022-09-01T00:00:00"/>
    <x v="7"/>
  </r>
  <r>
    <n v="7177"/>
    <x v="4"/>
    <s v="6/13/2022"/>
    <d v="2022-09-01T00:00:00"/>
    <x v="7"/>
  </r>
  <r>
    <n v="7243"/>
    <x v="4"/>
    <s v="7/8/2022"/>
    <d v="2022-09-01T00:00:00"/>
    <x v="7"/>
  </r>
  <r>
    <n v="7296"/>
    <x v="4"/>
    <s v="8/8/2022"/>
    <d v="2022-09-01T00:00:00"/>
    <x v="7"/>
  </r>
  <r>
    <n v="7698"/>
    <x v="4"/>
    <s v="11/4/2022"/>
    <d v="2022-09-01T00:00:00"/>
    <x v="8"/>
  </r>
  <r>
    <n v="7918"/>
    <x v="4"/>
    <s v="1/17/2023"/>
    <d v="2023-09-01T00:00:00"/>
    <x v="8"/>
  </r>
  <r>
    <n v="3539"/>
    <x v="4"/>
    <s v="4/22/2016"/>
    <d v="2016-09-01T00:00:00"/>
    <x v="9"/>
  </r>
  <r>
    <n v="7797"/>
    <x v="4"/>
    <s v="1/6/2023"/>
    <d v="2023-09-01T00:00:00"/>
    <x v="8"/>
  </r>
  <r>
    <n v="5535"/>
    <x v="5"/>
    <s v="10/30/2020"/>
    <d v="2020-09-01T00:00:00"/>
    <x v="6"/>
  </r>
  <r>
    <n v="5883"/>
    <x v="5"/>
    <s v="3/18/2021"/>
    <d v="2021-09-01T00:00:00"/>
    <x v="6"/>
  </r>
  <r>
    <n v="7040"/>
    <x v="5"/>
    <s v="4/8/2022"/>
    <d v="2022-09-01T00:00:00"/>
    <x v="7"/>
  </r>
  <r>
    <n v="7357"/>
    <x v="5"/>
    <s v="9/1/2022"/>
    <d v="2022-09-01T00:00:00"/>
    <x v="8"/>
  </r>
  <r>
    <n v="7358"/>
    <x v="5"/>
    <s v="9/12/2022"/>
    <d v="2022-09-01T00:00:00"/>
    <x v="8"/>
  </r>
  <r>
    <n v="7355"/>
    <x v="5"/>
    <s v="9/16/2022"/>
    <d v="2022-09-01T00:00:00"/>
    <x v="8"/>
  </r>
  <r>
    <n v="7881"/>
    <x v="5"/>
    <s v="1/10/2023"/>
    <d v="2023-09-01T00:00:00"/>
    <x v="8"/>
  </r>
  <r>
    <n v="8204"/>
    <x v="5"/>
    <s v="4/18/2023"/>
    <d v="2023-09-01T00:00:00"/>
    <x v="8"/>
  </r>
  <r>
    <n v="4816"/>
    <x v="5"/>
    <s v="1/10/2020"/>
    <d v="2020-09-01T00:00:00"/>
    <x v="5"/>
  </r>
  <r>
    <n v="7954"/>
    <x v="5"/>
    <s v="1/23/2023"/>
    <d v="2023-09-01T00:00:00"/>
    <x v="8"/>
  </r>
  <r>
    <n v="2341"/>
    <x v="5"/>
    <s v="4/28/2017"/>
    <d v="2017-09-01T00:00:00"/>
    <x v="1"/>
  </r>
  <r>
    <n v="3301"/>
    <x v="5"/>
    <s v="8/29/2016"/>
    <d v="2016-09-01T00:00:00"/>
    <x v="9"/>
  </r>
  <r>
    <n v="1353"/>
    <x v="5"/>
    <s v="5/9/2018"/>
    <d v="2018-09-01T00:00:00"/>
    <x v="0"/>
  </r>
  <r>
    <n v="2201"/>
    <x v="5"/>
    <s v="6/10/2017"/>
    <d v="2017-09-01T00:00:00"/>
    <x v="1"/>
  </r>
  <r>
    <n v="1391"/>
    <x v="5"/>
    <s v="4/10/2018"/>
    <d v="2018-09-01T00:00:00"/>
    <x v="0"/>
  </r>
  <r>
    <n v="7196"/>
    <x v="5"/>
    <s v="6/21/2022"/>
    <d v="2022-09-01T00:00:00"/>
    <x v="7"/>
  </r>
  <r>
    <n v="4978"/>
    <x v="5"/>
    <s v="5/29/2020"/>
    <d v="2020-09-01T00:00:00"/>
    <x v="5"/>
  </r>
  <r>
    <n v="1343"/>
    <x v="5"/>
    <s v="9/15/2017"/>
    <d v="2017-09-01T00:00:00"/>
    <x v="0"/>
  </r>
  <r>
    <n v="2521"/>
    <x v="5"/>
    <s v="1/30/2017"/>
    <d v="2017-09-01T00:00:00"/>
    <x v="1"/>
  </r>
  <r>
    <n v="3002"/>
    <x v="5"/>
    <s v="11/26/2016"/>
    <d v="2016-09-01T00:00:00"/>
    <x v="1"/>
  </r>
  <r>
    <n v="6606"/>
    <x v="5"/>
    <s v="11/1/2021"/>
    <d v="2021-09-01T00:00:00"/>
    <x v="7"/>
  </r>
  <r>
    <n v="6926"/>
    <x v="5"/>
    <s v="2/24/2022"/>
    <d v="2022-09-01T00:00:00"/>
    <x v="7"/>
  </r>
  <r>
    <n v="769"/>
    <x v="5"/>
    <s v="3/21/2018"/>
    <d v="2018-09-01T00:00:00"/>
    <x v="0"/>
  </r>
  <r>
    <n v="1368"/>
    <x v="5"/>
    <s v="10/14/2017"/>
    <d v="2017-09-01T00:00:00"/>
    <x v="0"/>
  </r>
  <r>
    <n v="1381"/>
    <x v="5"/>
    <s v="11/2/2017"/>
    <d v="2017-09-01T00:00:00"/>
    <x v="0"/>
  </r>
  <r>
    <n v="4641"/>
    <x v="5"/>
    <s v="12/2/2019"/>
    <d v="2019-09-01T00:00:00"/>
    <x v="5"/>
  </r>
  <r>
    <n v="7024"/>
    <x v="5"/>
    <s v="4/1/2022"/>
    <d v="2022-09-01T00:00:00"/>
    <x v="7"/>
  </r>
  <r>
    <n v="5606"/>
    <x v="5"/>
    <s v="11/23/2020"/>
    <d v="2020-09-01T00:00:00"/>
    <x v="6"/>
  </r>
  <r>
    <n v="4164"/>
    <x v="5"/>
    <s v="6/4/2019"/>
    <d v="2019-09-01T00:00:00"/>
    <x v="2"/>
  </r>
  <r>
    <n v="4167"/>
    <x v="5"/>
    <s v="6/4/2019"/>
    <d v="2019-09-01T00:00:00"/>
    <x v="2"/>
  </r>
  <r>
    <n v="6083"/>
    <x v="5"/>
    <s v="5/18/2021"/>
    <d v="2021-09-01T00:00:00"/>
    <x v="6"/>
  </r>
  <r>
    <n v="1346"/>
    <x v="5"/>
    <s v="5/11/2018"/>
    <d v="2018-09-01T00:00:00"/>
    <x v="0"/>
  </r>
  <r>
    <n v="4242"/>
    <x v="5"/>
    <s v="6/21/2019"/>
    <d v="2019-09-01T00:00:00"/>
    <x v="2"/>
  </r>
  <r>
    <n v="7657"/>
    <x v="5"/>
    <s v="10/20/2022"/>
    <d v="2022-09-01T00:00:00"/>
    <x v="8"/>
  </r>
  <r>
    <n v="3539"/>
    <x v="5"/>
    <s v="4/22/2016"/>
    <d v="2016-09-01T00:00:00"/>
    <x v="9"/>
  </r>
  <r>
    <n v="7797"/>
    <x v="5"/>
    <s v="1/6/2023"/>
    <d v="2023-09-01T00:00:00"/>
    <x v="8"/>
  </r>
  <r>
    <n v="1288"/>
    <x v="5"/>
    <s v="6/29/2018"/>
    <d v="2018-09-01T00:00:00"/>
    <x v="0"/>
  </r>
  <r>
    <n v="3329"/>
    <x v="5"/>
    <s v="7/13/2016"/>
    <d v="2016-09-01T00:00:00"/>
    <x v="9"/>
  </r>
  <r>
    <n v="3376"/>
    <x v="5"/>
    <s v="1/28/2019"/>
    <d v="2019-09-01T00:00:00"/>
    <x v="2"/>
  </r>
  <r>
    <n v="3612"/>
    <x v="5"/>
    <s v="1/29/2016"/>
    <d v="2016-09-01T00:00:00"/>
    <x v="9"/>
  </r>
  <r>
    <n v="3757"/>
    <x v="5"/>
    <s v="11/22/2015"/>
    <d v="2015-09-01T00:00:00"/>
    <x v="9"/>
  </r>
  <r>
    <n v="3859"/>
    <x v="5"/>
    <s v="3/29/2019"/>
    <d v="2019-09-01T00:00:00"/>
    <x v="2"/>
  </r>
  <r>
    <n v="4937"/>
    <x v="5"/>
    <s v="5/7/2020"/>
    <d v="2020-09-01T00:00:00"/>
    <x v="5"/>
  </r>
  <r>
    <n v="5761"/>
    <x v="5"/>
    <s v="1/15/2021"/>
    <d v="2021-09-01T00:00:00"/>
    <x v="6"/>
  </r>
  <r>
    <n v="5920"/>
    <x v="5"/>
    <s v="4/2/2021"/>
    <d v="2021-09-01T00:00:00"/>
    <x v="6"/>
  </r>
  <r>
    <n v="8125"/>
    <x v="5"/>
    <s v="3/28/2023"/>
    <d v="2023-09-01T00:00:00"/>
    <x v="8"/>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44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39" firstHeaderRow="1" firstDataRow="1" firstDataCol="1"/>
  <pivotFields count="9">
    <pivotField axis="axisRow" dataField="1" showAll="0">
      <items count="543">
        <item x="276"/>
        <item x="277"/>
        <item x="297"/>
        <item x="417"/>
        <item x="413"/>
        <item x="278"/>
        <item x="279"/>
        <item x="275"/>
        <item x="273"/>
        <item x="326"/>
        <item x="280"/>
        <item x="281"/>
        <item x="282"/>
        <item x="284"/>
        <item x="327"/>
        <item x="324"/>
        <item x="285"/>
        <item x="328"/>
        <item x="325"/>
        <item x="286"/>
        <item x="323"/>
        <item x="287"/>
        <item x="322"/>
        <item x="288"/>
        <item x="321"/>
        <item x="289"/>
        <item x="290"/>
        <item x="317"/>
        <item x="319"/>
        <item x="318"/>
        <item x="320"/>
        <item x="316"/>
        <item x="315"/>
        <item x="313"/>
        <item x="308"/>
        <item m="1" x="538"/>
        <item x="291"/>
        <item x="292"/>
        <item x="293"/>
        <item x="294"/>
        <item x="295"/>
        <item x="296"/>
        <item x="314"/>
        <item x="312"/>
        <item x="311"/>
        <item x="300"/>
        <item x="298"/>
        <item x="301"/>
        <item x="302"/>
        <item x="303"/>
        <item x="304"/>
        <item x="305"/>
        <item x="306"/>
        <item x="307"/>
        <item x="309"/>
        <item x="310"/>
        <item x="299"/>
        <item x="272"/>
        <item x="268"/>
        <item x="274"/>
        <item x="270"/>
        <item x="283"/>
        <item x="266"/>
        <item x="271"/>
        <item x="269"/>
        <item x="267"/>
        <item x="265"/>
        <item x="263"/>
        <item x="329"/>
        <item x="264"/>
        <item x="261"/>
        <item x="330"/>
        <item x="262"/>
        <item x="331"/>
        <item x="332"/>
        <item x="334"/>
        <item x="333"/>
        <item x="335"/>
        <item x="338"/>
        <item x="336"/>
        <item x="337"/>
        <item x="339"/>
        <item x="340"/>
        <item x="260"/>
        <item x="341"/>
        <item x="342"/>
        <item x="343"/>
        <item x="344"/>
        <item x="345"/>
        <item x="346"/>
        <item x="347"/>
        <item x="348"/>
        <item x="349"/>
        <item x="350"/>
        <item x="351"/>
        <item x="352"/>
        <item x="353"/>
        <item x="354"/>
        <item x="355"/>
        <item x="356"/>
        <item x="357"/>
        <item x="259"/>
        <item x="358"/>
        <item x="359"/>
        <item x="360"/>
        <item x="361"/>
        <item x="362"/>
        <item x="363"/>
        <item x="364"/>
        <item x="365"/>
        <item x="366"/>
        <item x="367"/>
        <item x="368"/>
        <item x="369"/>
        <item x="370"/>
        <item x="258"/>
        <item x="257"/>
        <item x="371"/>
        <item x="256"/>
        <item x="372"/>
        <item x="373"/>
        <item x="374"/>
        <item x="375"/>
        <item x="255"/>
        <item x="376"/>
        <item x="377"/>
        <item x="378"/>
        <item x="379"/>
        <item x="380"/>
        <item x="381"/>
        <item x="382"/>
        <item x="383"/>
        <item x="384"/>
        <item x="385"/>
        <item x="386"/>
        <item x="387"/>
        <item x="388"/>
        <item x="389"/>
        <item x="390"/>
        <item x="391"/>
        <item x="392"/>
        <item x="393"/>
        <item x="254"/>
        <item x="394"/>
        <item x="252"/>
        <item x="253"/>
        <item x="251"/>
        <item x="395"/>
        <item x="396"/>
        <item x="397"/>
        <item x="398"/>
        <item x="399"/>
        <item x="400"/>
        <item x="401"/>
        <item x="402"/>
        <item x="403"/>
        <item x="404"/>
        <item x="405"/>
        <item x="406"/>
        <item x="407"/>
        <item x="408"/>
        <item x="409"/>
        <item x="410"/>
        <item x="411"/>
        <item x="246"/>
        <item x="414"/>
        <item x="412"/>
        <item x="250"/>
        <item x="249"/>
        <item x="247"/>
        <item x="415"/>
        <item x="416"/>
        <item x="248"/>
        <item x="418"/>
        <item x="419"/>
        <item x="420"/>
        <item x="244"/>
        <item x="421"/>
        <item x="422"/>
        <item x="423"/>
        <item x="424"/>
        <item x="425"/>
        <item x="426"/>
        <item x="427"/>
        <item x="428"/>
        <item x="429"/>
        <item x="430"/>
        <item x="431"/>
        <item x="432"/>
        <item x="433"/>
        <item x="434"/>
        <item x="435"/>
        <item x="436"/>
        <item x="437"/>
        <item x="438"/>
        <item x="439"/>
        <item x="440"/>
        <item x="441"/>
        <item x="243"/>
        <item x="242"/>
        <item x="442"/>
        <item x="443"/>
        <item x="445"/>
        <item x="447"/>
        <item x="448"/>
        <item x="449"/>
        <item x="450"/>
        <item x="451"/>
        <item x="241"/>
        <item x="240"/>
        <item x="452"/>
        <item x="453"/>
        <item x="454"/>
        <item x="455"/>
        <item x="456"/>
        <item x="457"/>
        <item x="458"/>
        <item x="444"/>
        <item x="446"/>
        <item x="459"/>
        <item x="460"/>
        <item x="461"/>
        <item x="462"/>
        <item x="463"/>
        <item x="464"/>
        <item x="465"/>
        <item x="466"/>
        <item x="467"/>
        <item x="468"/>
        <item x="469"/>
        <item x="239"/>
        <item x="238"/>
        <item x="237"/>
        <item x="235"/>
        <item x="230"/>
        <item x="234"/>
        <item x="233"/>
        <item x="231"/>
        <item x="229"/>
        <item x="228"/>
        <item x="470"/>
        <item x="471"/>
        <item x="472"/>
        <item x="473"/>
        <item x="474"/>
        <item x="475"/>
        <item x="476"/>
        <item x="477"/>
        <item x="478"/>
        <item x="226"/>
        <item x="225"/>
        <item x="479"/>
        <item x="480"/>
        <item x="481"/>
        <item x="482"/>
        <item x="224"/>
        <item x="245"/>
        <item x="223"/>
        <item x="483"/>
        <item x="484"/>
        <item x="485"/>
        <item x="486"/>
        <item x="487"/>
        <item x="489"/>
        <item x="488"/>
        <item x="490"/>
        <item x="491"/>
        <item x="492"/>
        <item x="493"/>
        <item x="494"/>
        <item x="495"/>
        <item x="496"/>
        <item x="497"/>
        <item x="222"/>
        <item x="498"/>
        <item x="499"/>
        <item x="500"/>
        <item x="501"/>
        <item x="502"/>
        <item x="503"/>
        <item x="504"/>
        <item x="505"/>
        <item x="506"/>
        <item x="507"/>
        <item x="508"/>
        <item x="509"/>
        <item x="510"/>
        <item x="511"/>
        <item x="512"/>
        <item x="220"/>
        <item x="221"/>
        <item x="513"/>
        <item x="514"/>
        <item x="515"/>
        <item x="516"/>
        <item x="517"/>
        <item x="518"/>
        <item x="217"/>
        <item x="519"/>
        <item x="520"/>
        <item x="523"/>
        <item x="524"/>
        <item x="525"/>
        <item x="211"/>
        <item x="212"/>
        <item x="213"/>
        <item x="214"/>
        <item x="236"/>
        <item x="232"/>
        <item x="210"/>
        <item x="526"/>
        <item x="527"/>
        <item x="521"/>
        <item x="219"/>
        <item x="208"/>
        <item x="207"/>
        <item x="209"/>
        <item x="205"/>
        <item x="218"/>
        <item x="216"/>
        <item x="206"/>
        <item x="204"/>
        <item x="203"/>
        <item x="201"/>
        <item x="198"/>
        <item x="197"/>
        <item x="200"/>
        <item x="202"/>
        <item x="196"/>
        <item x="192"/>
        <item x="195"/>
        <item x="191"/>
        <item x="215"/>
        <item x="190"/>
        <item x="199"/>
        <item x="522"/>
        <item x="528"/>
        <item x="529"/>
        <item x="530"/>
        <item x="531"/>
        <item x="532"/>
        <item x="533"/>
        <item x="534"/>
        <item x="535"/>
        <item m="1" x="539"/>
        <item x="187"/>
        <item x="184"/>
        <item x="182"/>
        <item x="181"/>
        <item x="227"/>
        <item x="189"/>
        <item x="193"/>
        <item x="188"/>
        <item x="186"/>
        <item x="185"/>
        <item x="536"/>
        <item x="179"/>
        <item x="177"/>
        <item x="174"/>
        <item x="176"/>
        <item x="178"/>
        <item x="180"/>
        <item x="183"/>
        <item x="170"/>
        <item x="194"/>
        <item x="175"/>
        <item x="173"/>
        <item x="169"/>
        <item x="166"/>
        <item x="172"/>
        <item x="171"/>
        <item x="167"/>
        <item x="165"/>
        <item x="164"/>
        <item x="168"/>
        <item x="162"/>
        <item x="159"/>
        <item x="157"/>
        <item x="158"/>
        <item x="161"/>
        <item x="156"/>
        <item x="155"/>
        <item x="153"/>
        <item x="154"/>
        <item x="160"/>
        <item x="163"/>
        <item x="151"/>
        <item x="150"/>
        <item x="149"/>
        <item x="148"/>
        <item x="152"/>
        <item x="147"/>
        <item x="145"/>
        <item x="144"/>
        <item x="143"/>
        <item x="140"/>
        <item x="142"/>
        <item x="146"/>
        <item x="141"/>
        <item x="139"/>
        <item x="138"/>
        <item x="137"/>
        <item x="136"/>
        <item x="133"/>
        <item x="132"/>
        <item x="129"/>
        <item x="131"/>
        <item x="130"/>
        <item x="135"/>
        <item x="134"/>
        <item x="128"/>
        <item x="126"/>
        <item x="127"/>
        <item x="123"/>
        <item x="124"/>
        <item x="122"/>
        <item x="121"/>
        <item x="120"/>
        <item x="118"/>
        <item x="117"/>
        <item x="119"/>
        <item x="116"/>
        <item x="114"/>
        <item x="115"/>
        <item x="125"/>
        <item x="113"/>
        <item x="112"/>
        <item x="111"/>
        <item x="110"/>
        <item x="108"/>
        <item x="109"/>
        <item x="107"/>
        <item x="537"/>
        <item m="1" x="540"/>
        <item m="1" x="541"/>
        <item x="106"/>
        <item x="105"/>
        <item x="104"/>
        <item x="103"/>
        <item x="102"/>
        <item x="101"/>
        <item x="100"/>
        <item x="99"/>
        <item x="98"/>
        <item x="97"/>
        <item x="95"/>
        <item x="96"/>
        <item x="94"/>
        <item x="93"/>
        <item x="92"/>
        <item x="91"/>
        <item x="90"/>
        <item x="89"/>
        <item x="88"/>
        <item x="87"/>
        <item x="86"/>
        <item x="83"/>
        <item x="84"/>
        <item x="85"/>
        <item x="82"/>
        <item x="81"/>
        <item x="80"/>
        <item x="79"/>
        <item x="78"/>
        <item x="77"/>
        <item x="76"/>
        <item x="75"/>
        <item x="74"/>
        <item x="73"/>
        <item x="72"/>
        <item x="71"/>
        <item x="70"/>
        <item x="68"/>
        <item x="69"/>
        <item x="67"/>
        <item x="66"/>
        <item x="65"/>
        <item x="64"/>
        <item x="63"/>
        <item x="62"/>
        <item x="61"/>
        <item x="60"/>
        <item x="59"/>
        <item x="58"/>
        <item x="56"/>
        <item x="57"/>
        <item x="55"/>
        <item x="54"/>
        <item x="53"/>
        <item x="52"/>
        <item x="51"/>
        <item x="49"/>
        <item x="50"/>
        <item x="48"/>
        <item x="46"/>
        <item x="47"/>
        <item x="45"/>
        <item x="43"/>
        <item x="44"/>
        <item x="42"/>
        <item x="41"/>
        <item x="40"/>
        <item x="39"/>
        <item x="38"/>
        <item x="37"/>
        <item x="36"/>
        <item x="35"/>
        <item x="34"/>
        <item x="33"/>
        <item x="32"/>
        <item x="31"/>
        <item x="30"/>
        <item x="29"/>
        <item x="28"/>
        <item x="27"/>
        <item x="26"/>
        <item x="25"/>
        <item x="24"/>
        <item x="23"/>
        <item x="22"/>
        <item x="21"/>
        <item x="20"/>
        <item x="19"/>
        <item x="18"/>
        <item x="17"/>
        <item x="16"/>
        <item x="15"/>
        <item x="8"/>
        <item x="9"/>
        <item x="10"/>
        <item x="11"/>
        <item x="12"/>
        <item x="13"/>
        <item x="14"/>
        <item x="0"/>
        <item x="1"/>
        <item x="2"/>
        <item x="3"/>
        <item x="4"/>
        <item x="5"/>
        <item x="6"/>
        <item x="7"/>
        <item t="default"/>
      </items>
    </pivotField>
    <pivotField showAll="0"/>
    <pivotField showAll="0"/>
    <pivotField showAll="0"/>
    <pivotField axis="axisRow" showAll="0">
      <items count="73">
        <item sd="0" x="2"/>
        <item sd="0" x="19"/>
        <item sd="0" x="32"/>
        <item sd="0" x="34"/>
        <item sd="0" x="3"/>
        <item sd="0" x="7"/>
        <item sd="0" x="33"/>
        <item sd="0" x="36"/>
        <item sd="0" x="29"/>
        <item sd="0" x="23"/>
        <item sd="0" x="31"/>
        <item sd="0" x="16"/>
        <item sd="0" x="26"/>
        <item sd="0" x="18"/>
        <item sd="0" x="25"/>
        <item sd="0" x="9"/>
        <item sd="0" x="14"/>
        <item sd="0" x="21"/>
        <item sd="0" x="12"/>
        <item sd="0" x="20"/>
        <item sd="0" x="4"/>
        <item sd="0" x="35"/>
        <item sd="0" x="28"/>
        <item sd="0" x="6"/>
        <item sd="0" x="30"/>
        <item sd="0" x="27"/>
        <item sd="0" x="17"/>
        <item sd="0" x="24"/>
        <item sd="0" x="22"/>
        <item sd="0" x="0"/>
        <item sd="0" x="11"/>
        <item sd="0" x="13"/>
        <item sd="0" x="8"/>
        <item sd="0" x="10"/>
        <item sd="0" x="5"/>
        <item sd="0" x="1"/>
        <item sd="0" m="1" x="41"/>
        <item sd="0" m="1" x="47"/>
        <item sd="0" m="1" x="49"/>
        <item sd="0" m="1" x="52"/>
        <item sd="0" m="1" x="45"/>
        <item sd="0" m="1" x="44"/>
        <item sd="0" m="1" x="53"/>
        <item sd="0" m="1" x="66"/>
        <item sd="0" m="1" x="64"/>
        <item sd="0" m="1" x="42"/>
        <item sd="0" m="1" x="46"/>
        <item sd="0" m="1" x="39"/>
        <item sd="0" m="1" x="63"/>
        <item sd="0" m="1" x="57"/>
        <item sd="0" m="1" x="71"/>
        <item sd="0" m="1" x="38"/>
        <item sd="0" m="1" x="56"/>
        <item sd="0" m="1" x="43"/>
        <item sd="0" m="1" x="61"/>
        <item sd="0" m="1" x="40"/>
        <item sd="0" m="1" x="59"/>
        <item sd="0" m="1" x="50"/>
        <item sd="0" m="1" x="60"/>
        <item sd="0" m="1" x="54"/>
        <item sd="0" m="1" x="65"/>
        <item sd="0" m="1" x="62"/>
        <item sd="0" m="1" x="48"/>
        <item sd="0" m="1" x="37"/>
        <item sd="0" m="1" x="69"/>
        <item sd="0" m="1" x="55"/>
        <item sd="0" m="1" x="51"/>
        <item sd="0" m="1" x="70"/>
        <item sd="0" m="1" x="58"/>
        <item sd="0" m="1" x="68"/>
        <item sd="0" m="1" x="67"/>
        <item sd="0" x="15"/>
        <item t="default" sd="0"/>
      </items>
    </pivotField>
    <pivotField showAll="0"/>
    <pivotField showAll="0"/>
    <pivotField showAll="0" defaultSubtotal="0"/>
    <pivotField showAll="0" defaultSubtotal="0"/>
  </pivotFields>
  <rowFields count="2">
    <field x="4"/>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71"/>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44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10" firstHeaderRow="1" firstDataRow="1" firstDataCol="1"/>
  <pivotFields count="9">
    <pivotField axis="axisRow" dataField="1" showAll="0">
      <items count="543">
        <item x="276"/>
        <item x="277"/>
        <item x="297"/>
        <item x="417"/>
        <item x="413"/>
        <item x="278"/>
        <item x="279"/>
        <item x="275"/>
        <item x="273"/>
        <item x="326"/>
        <item x="280"/>
        <item x="281"/>
        <item x="282"/>
        <item x="284"/>
        <item x="327"/>
        <item x="324"/>
        <item x="285"/>
        <item x="328"/>
        <item x="325"/>
        <item x="286"/>
        <item x="323"/>
        <item x="287"/>
        <item x="322"/>
        <item x="288"/>
        <item x="321"/>
        <item x="289"/>
        <item x="290"/>
        <item x="317"/>
        <item x="319"/>
        <item x="318"/>
        <item x="320"/>
        <item x="316"/>
        <item x="315"/>
        <item x="313"/>
        <item x="308"/>
        <item m="1" x="538"/>
        <item x="291"/>
        <item x="292"/>
        <item x="293"/>
        <item x="294"/>
        <item x="295"/>
        <item x="296"/>
        <item x="314"/>
        <item x="312"/>
        <item x="311"/>
        <item x="300"/>
        <item x="298"/>
        <item x="301"/>
        <item x="302"/>
        <item x="303"/>
        <item x="304"/>
        <item x="305"/>
        <item x="306"/>
        <item x="307"/>
        <item x="309"/>
        <item x="310"/>
        <item x="299"/>
        <item x="272"/>
        <item x="268"/>
        <item x="274"/>
        <item x="270"/>
        <item x="283"/>
        <item x="266"/>
        <item x="271"/>
        <item x="269"/>
        <item x="267"/>
        <item x="265"/>
        <item x="263"/>
        <item x="329"/>
        <item x="264"/>
        <item x="261"/>
        <item x="330"/>
        <item x="262"/>
        <item x="331"/>
        <item x="332"/>
        <item x="334"/>
        <item x="333"/>
        <item x="335"/>
        <item x="338"/>
        <item x="336"/>
        <item x="337"/>
        <item x="339"/>
        <item x="340"/>
        <item x="260"/>
        <item x="341"/>
        <item x="342"/>
        <item x="343"/>
        <item x="344"/>
        <item x="345"/>
        <item x="346"/>
        <item x="347"/>
        <item x="348"/>
        <item x="349"/>
        <item x="350"/>
        <item x="351"/>
        <item x="352"/>
        <item x="353"/>
        <item x="354"/>
        <item x="355"/>
        <item x="356"/>
        <item x="357"/>
        <item x="259"/>
        <item x="358"/>
        <item x="359"/>
        <item x="360"/>
        <item x="361"/>
        <item x="362"/>
        <item x="363"/>
        <item x="364"/>
        <item x="365"/>
        <item x="366"/>
        <item x="367"/>
        <item x="368"/>
        <item x="369"/>
        <item x="370"/>
        <item x="258"/>
        <item x="257"/>
        <item x="371"/>
        <item x="256"/>
        <item x="372"/>
        <item x="373"/>
        <item x="374"/>
        <item x="375"/>
        <item x="255"/>
        <item x="376"/>
        <item x="377"/>
        <item x="378"/>
        <item x="379"/>
        <item x="380"/>
        <item x="381"/>
        <item x="382"/>
        <item x="383"/>
        <item x="384"/>
        <item x="385"/>
        <item x="386"/>
        <item x="387"/>
        <item x="388"/>
        <item x="389"/>
        <item x="390"/>
        <item x="391"/>
        <item x="392"/>
        <item x="393"/>
        <item x="254"/>
        <item x="394"/>
        <item x="252"/>
        <item x="253"/>
        <item x="251"/>
        <item x="395"/>
        <item x="396"/>
        <item x="397"/>
        <item x="398"/>
        <item x="399"/>
        <item x="400"/>
        <item x="401"/>
        <item x="402"/>
        <item x="403"/>
        <item x="404"/>
        <item x="405"/>
        <item x="406"/>
        <item x="407"/>
        <item x="408"/>
        <item x="409"/>
        <item x="410"/>
        <item x="411"/>
        <item x="246"/>
        <item x="414"/>
        <item x="412"/>
        <item x="250"/>
        <item x="249"/>
        <item x="247"/>
        <item x="415"/>
        <item x="416"/>
        <item x="248"/>
        <item x="418"/>
        <item x="419"/>
        <item x="420"/>
        <item x="244"/>
        <item x="421"/>
        <item x="422"/>
        <item x="423"/>
        <item x="424"/>
        <item x="425"/>
        <item x="426"/>
        <item x="427"/>
        <item x="428"/>
        <item x="429"/>
        <item x="430"/>
        <item x="431"/>
        <item x="432"/>
        <item x="433"/>
        <item x="434"/>
        <item x="435"/>
        <item x="436"/>
        <item x="437"/>
        <item x="438"/>
        <item x="439"/>
        <item x="440"/>
        <item x="441"/>
        <item x="243"/>
        <item x="242"/>
        <item x="442"/>
        <item x="443"/>
        <item x="445"/>
        <item x="447"/>
        <item x="448"/>
        <item x="449"/>
        <item x="450"/>
        <item x="451"/>
        <item x="241"/>
        <item x="240"/>
        <item x="452"/>
        <item x="453"/>
        <item x="454"/>
        <item x="455"/>
        <item x="456"/>
        <item x="457"/>
        <item x="458"/>
        <item x="444"/>
        <item x="446"/>
        <item x="459"/>
        <item x="460"/>
        <item x="461"/>
        <item x="462"/>
        <item x="463"/>
        <item x="464"/>
        <item x="465"/>
        <item x="466"/>
        <item x="467"/>
        <item x="468"/>
        <item x="469"/>
        <item x="239"/>
        <item x="238"/>
        <item x="237"/>
        <item x="235"/>
        <item x="230"/>
        <item x="234"/>
        <item x="233"/>
        <item x="231"/>
        <item x="229"/>
        <item x="228"/>
        <item x="470"/>
        <item x="471"/>
        <item x="472"/>
        <item x="473"/>
        <item x="474"/>
        <item x="475"/>
        <item x="476"/>
        <item x="477"/>
        <item x="478"/>
        <item x="226"/>
        <item x="225"/>
        <item x="479"/>
        <item x="480"/>
        <item x="481"/>
        <item x="482"/>
        <item x="224"/>
        <item x="245"/>
        <item x="223"/>
        <item x="483"/>
        <item x="484"/>
        <item x="485"/>
        <item x="486"/>
        <item x="487"/>
        <item x="489"/>
        <item x="488"/>
        <item x="490"/>
        <item x="491"/>
        <item x="492"/>
        <item x="493"/>
        <item x="494"/>
        <item x="495"/>
        <item x="496"/>
        <item x="497"/>
        <item x="222"/>
        <item x="498"/>
        <item x="499"/>
        <item x="500"/>
        <item x="501"/>
        <item x="502"/>
        <item x="503"/>
        <item x="504"/>
        <item x="505"/>
        <item x="506"/>
        <item x="507"/>
        <item x="508"/>
        <item x="509"/>
        <item x="510"/>
        <item x="511"/>
        <item x="512"/>
        <item x="220"/>
        <item x="221"/>
        <item x="513"/>
        <item x="514"/>
        <item x="515"/>
        <item x="516"/>
        <item x="517"/>
        <item x="518"/>
        <item x="217"/>
        <item x="519"/>
        <item x="520"/>
        <item x="523"/>
        <item x="524"/>
        <item x="525"/>
        <item x="211"/>
        <item x="212"/>
        <item x="213"/>
        <item x="214"/>
        <item x="236"/>
        <item x="232"/>
        <item x="210"/>
        <item x="526"/>
        <item x="527"/>
        <item x="521"/>
        <item x="219"/>
        <item x="208"/>
        <item x="207"/>
        <item x="209"/>
        <item x="205"/>
        <item x="218"/>
        <item x="216"/>
        <item x="206"/>
        <item x="204"/>
        <item x="203"/>
        <item x="201"/>
        <item x="198"/>
        <item x="197"/>
        <item x="200"/>
        <item x="202"/>
        <item x="196"/>
        <item x="192"/>
        <item x="195"/>
        <item x="191"/>
        <item x="215"/>
        <item x="190"/>
        <item x="199"/>
        <item x="522"/>
        <item x="528"/>
        <item x="529"/>
        <item x="530"/>
        <item x="531"/>
        <item x="532"/>
        <item x="533"/>
        <item x="534"/>
        <item x="535"/>
        <item m="1" x="539"/>
        <item x="187"/>
        <item x="184"/>
        <item x="182"/>
        <item x="181"/>
        <item x="227"/>
        <item x="189"/>
        <item x="193"/>
        <item x="188"/>
        <item x="186"/>
        <item x="185"/>
        <item x="536"/>
        <item x="179"/>
        <item x="177"/>
        <item x="174"/>
        <item x="176"/>
        <item x="178"/>
        <item x="180"/>
        <item x="183"/>
        <item x="170"/>
        <item x="194"/>
        <item x="175"/>
        <item x="173"/>
        <item x="169"/>
        <item x="166"/>
        <item x="172"/>
        <item x="171"/>
        <item x="167"/>
        <item x="165"/>
        <item x="164"/>
        <item x="168"/>
        <item x="162"/>
        <item x="159"/>
        <item x="157"/>
        <item x="158"/>
        <item x="161"/>
        <item x="156"/>
        <item x="155"/>
        <item x="153"/>
        <item x="154"/>
        <item x="160"/>
        <item x="163"/>
        <item x="151"/>
        <item x="150"/>
        <item x="149"/>
        <item x="148"/>
        <item x="152"/>
        <item x="147"/>
        <item x="145"/>
        <item x="144"/>
        <item x="143"/>
        <item x="140"/>
        <item x="142"/>
        <item x="146"/>
        <item x="141"/>
        <item x="139"/>
        <item x="138"/>
        <item x="137"/>
        <item x="136"/>
        <item x="133"/>
        <item x="132"/>
        <item x="129"/>
        <item x="131"/>
        <item x="130"/>
        <item x="135"/>
        <item x="134"/>
        <item x="128"/>
        <item x="126"/>
        <item x="127"/>
        <item x="123"/>
        <item x="124"/>
        <item x="122"/>
        <item x="121"/>
        <item x="120"/>
        <item x="118"/>
        <item x="117"/>
        <item x="119"/>
        <item x="116"/>
        <item x="114"/>
        <item x="115"/>
        <item x="125"/>
        <item x="113"/>
        <item x="112"/>
        <item x="111"/>
        <item x="110"/>
        <item x="108"/>
        <item x="109"/>
        <item x="107"/>
        <item x="537"/>
        <item m="1" x="540"/>
        <item m="1" x="541"/>
        <item x="106"/>
        <item x="105"/>
        <item x="104"/>
        <item x="103"/>
        <item x="102"/>
        <item x="101"/>
        <item x="100"/>
        <item x="99"/>
        <item x="98"/>
        <item x="97"/>
        <item x="95"/>
        <item x="96"/>
        <item x="94"/>
        <item x="93"/>
        <item x="92"/>
        <item x="91"/>
        <item x="90"/>
        <item x="89"/>
        <item x="88"/>
        <item x="87"/>
        <item x="86"/>
        <item x="83"/>
        <item x="84"/>
        <item x="85"/>
        <item x="82"/>
        <item x="81"/>
        <item x="80"/>
        <item x="79"/>
        <item x="78"/>
        <item x="77"/>
        <item x="76"/>
        <item x="75"/>
        <item x="74"/>
        <item x="73"/>
        <item x="72"/>
        <item x="71"/>
        <item x="70"/>
        <item x="68"/>
        <item x="69"/>
        <item x="67"/>
        <item x="66"/>
        <item x="65"/>
        <item x="64"/>
        <item x="63"/>
        <item x="62"/>
        <item x="61"/>
        <item x="60"/>
        <item x="59"/>
        <item x="58"/>
        <item x="56"/>
        <item x="57"/>
        <item x="55"/>
        <item x="54"/>
        <item x="53"/>
        <item x="52"/>
        <item x="51"/>
        <item x="49"/>
        <item x="50"/>
        <item x="48"/>
        <item x="46"/>
        <item x="47"/>
        <item x="45"/>
        <item x="43"/>
        <item x="44"/>
        <item x="42"/>
        <item x="41"/>
        <item x="40"/>
        <item x="39"/>
        <item x="38"/>
        <item x="37"/>
        <item x="36"/>
        <item x="35"/>
        <item x="34"/>
        <item x="33"/>
        <item x="32"/>
        <item x="31"/>
        <item x="30"/>
        <item x="29"/>
        <item x="28"/>
        <item x="27"/>
        <item x="26"/>
        <item x="25"/>
        <item x="24"/>
        <item x="23"/>
        <item x="22"/>
        <item x="21"/>
        <item x="20"/>
        <item x="19"/>
        <item x="18"/>
        <item x="17"/>
        <item x="16"/>
        <item x="15"/>
        <item x="8"/>
        <item x="9"/>
        <item x="10"/>
        <item x="11"/>
        <item x="12"/>
        <item x="13"/>
        <item x="14"/>
        <item x="0"/>
        <item x="1"/>
        <item x="2"/>
        <item x="3"/>
        <item x="4"/>
        <item x="5"/>
        <item x="6"/>
        <item x="7"/>
        <item t="default"/>
      </items>
    </pivotField>
    <pivotField showAll="0"/>
    <pivotField showAll="0"/>
    <pivotField showAll="0"/>
    <pivotField showAll="0"/>
    <pivotField axis="axisRow" showAll="0">
      <items count="9">
        <item sd="0" x="0"/>
        <item sd="0" x="4"/>
        <item sd="0" x="3"/>
        <item sd="0" x="1"/>
        <item sd="0" x="7"/>
        <item sd="0" x="6"/>
        <item sd="0" x="2"/>
        <item sd="0" x="5"/>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44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73" firstHeaderRow="1" firstDataRow="1" firstDataCol="1"/>
  <pivotFields count="9">
    <pivotField axis="axisRow" dataField="1" showAll="0">
      <items count="543">
        <item x="276"/>
        <item x="277"/>
        <item x="297"/>
        <item x="417"/>
        <item x="413"/>
        <item x="278"/>
        <item x="279"/>
        <item x="275"/>
        <item x="273"/>
        <item x="326"/>
        <item x="280"/>
        <item x="281"/>
        <item x="282"/>
        <item x="284"/>
        <item x="327"/>
        <item x="324"/>
        <item x="285"/>
        <item x="328"/>
        <item x="325"/>
        <item x="286"/>
        <item x="323"/>
        <item x="287"/>
        <item x="322"/>
        <item x="288"/>
        <item x="321"/>
        <item x="289"/>
        <item x="290"/>
        <item x="317"/>
        <item x="319"/>
        <item x="318"/>
        <item x="320"/>
        <item x="316"/>
        <item x="315"/>
        <item x="313"/>
        <item x="308"/>
        <item m="1" x="538"/>
        <item x="291"/>
        <item x="292"/>
        <item x="293"/>
        <item x="294"/>
        <item x="295"/>
        <item x="296"/>
        <item x="314"/>
        <item x="312"/>
        <item x="311"/>
        <item x="300"/>
        <item x="298"/>
        <item x="301"/>
        <item x="302"/>
        <item x="303"/>
        <item x="304"/>
        <item x="305"/>
        <item x="306"/>
        <item x="307"/>
        <item x="309"/>
        <item x="310"/>
        <item x="299"/>
        <item x="272"/>
        <item x="268"/>
        <item x="274"/>
        <item x="270"/>
        <item x="283"/>
        <item x="266"/>
        <item x="271"/>
        <item x="269"/>
        <item x="267"/>
        <item x="265"/>
        <item x="263"/>
        <item x="329"/>
        <item x="264"/>
        <item x="261"/>
        <item x="330"/>
        <item x="262"/>
        <item x="331"/>
        <item x="332"/>
        <item x="334"/>
        <item x="333"/>
        <item x="335"/>
        <item x="338"/>
        <item x="336"/>
        <item x="337"/>
        <item x="339"/>
        <item x="340"/>
        <item x="260"/>
        <item x="341"/>
        <item x="342"/>
        <item x="343"/>
        <item x="344"/>
        <item x="345"/>
        <item x="346"/>
        <item x="347"/>
        <item x="348"/>
        <item x="349"/>
        <item x="350"/>
        <item x="351"/>
        <item x="352"/>
        <item x="353"/>
        <item x="354"/>
        <item x="355"/>
        <item x="356"/>
        <item x="357"/>
        <item x="259"/>
        <item x="358"/>
        <item x="359"/>
        <item x="360"/>
        <item x="361"/>
        <item x="362"/>
        <item x="363"/>
        <item x="364"/>
        <item x="365"/>
        <item x="366"/>
        <item x="367"/>
        <item x="368"/>
        <item x="369"/>
        <item x="370"/>
        <item x="258"/>
        <item x="257"/>
        <item x="371"/>
        <item x="256"/>
        <item x="372"/>
        <item x="373"/>
        <item x="374"/>
        <item x="375"/>
        <item x="255"/>
        <item x="376"/>
        <item x="377"/>
        <item x="378"/>
        <item x="379"/>
        <item x="380"/>
        <item x="381"/>
        <item x="382"/>
        <item x="383"/>
        <item x="384"/>
        <item x="385"/>
        <item x="386"/>
        <item x="387"/>
        <item x="388"/>
        <item x="389"/>
        <item x="390"/>
        <item x="391"/>
        <item x="392"/>
        <item x="393"/>
        <item x="254"/>
        <item x="394"/>
        <item x="252"/>
        <item x="253"/>
        <item x="251"/>
        <item x="395"/>
        <item x="396"/>
        <item x="397"/>
        <item x="398"/>
        <item x="399"/>
        <item x="400"/>
        <item x="401"/>
        <item x="402"/>
        <item x="403"/>
        <item x="404"/>
        <item x="405"/>
        <item x="406"/>
        <item x="407"/>
        <item x="408"/>
        <item x="409"/>
        <item x="410"/>
        <item x="411"/>
        <item x="246"/>
        <item x="414"/>
        <item x="412"/>
        <item x="250"/>
        <item x="249"/>
        <item x="247"/>
        <item x="415"/>
        <item x="416"/>
        <item x="248"/>
        <item x="418"/>
        <item x="419"/>
        <item x="420"/>
        <item x="244"/>
        <item x="421"/>
        <item x="422"/>
        <item x="423"/>
        <item x="424"/>
        <item x="425"/>
        <item x="426"/>
        <item x="427"/>
        <item x="428"/>
        <item x="429"/>
        <item x="430"/>
        <item x="431"/>
        <item x="432"/>
        <item x="433"/>
        <item x="434"/>
        <item x="435"/>
        <item x="436"/>
        <item x="437"/>
        <item x="438"/>
        <item x="439"/>
        <item x="440"/>
        <item x="441"/>
        <item x="243"/>
        <item x="242"/>
        <item x="442"/>
        <item x="443"/>
        <item x="445"/>
        <item x="447"/>
        <item x="448"/>
        <item x="449"/>
        <item x="450"/>
        <item x="451"/>
        <item x="241"/>
        <item x="240"/>
        <item x="452"/>
        <item x="453"/>
        <item x="454"/>
        <item x="455"/>
        <item x="456"/>
        <item x="457"/>
        <item x="458"/>
        <item x="444"/>
        <item x="446"/>
        <item x="459"/>
        <item x="460"/>
        <item x="461"/>
        <item x="462"/>
        <item x="463"/>
        <item x="464"/>
        <item x="465"/>
        <item x="466"/>
        <item x="467"/>
        <item x="468"/>
        <item x="469"/>
        <item x="239"/>
        <item x="238"/>
        <item x="237"/>
        <item x="235"/>
        <item x="230"/>
        <item x="234"/>
        <item x="233"/>
        <item x="231"/>
        <item x="229"/>
        <item x="228"/>
        <item x="470"/>
        <item x="471"/>
        <item x="472"/>
        <item x="473"/>
        <item x="474"/>
        <item x="475"/>
        <item x="476"/>
        <item x="477"/>
        <item x="478"/>
        <item x="226"/>
        <item x="225"/>
        <item x="479"/>
        <item x="480"/>
        <item x="481"/>
        <item x="482"/>
        <item x="224"/>
        <item x="245"/>
        <item x="223"/>
        <item x="483"/>
        <item x="484"/>
        <item x="485"/>
        <item x="486"/>
        <item x="487"/>
        <item x="489"/>
        <item x="488"/>
        <item x="490"/>
        <item x="491"/>
        <item x="492"/>
        <item x="493"/>
        <item x="494"/>
        <item x="495"/>
        <item x="496"/>
        <item x="497"/>
        <item x="222"/>
        <item x="498"/>
        <item x="499"/>
        <item x="500"/>
        <item x="501"/>
        <item x="502"/>
        <item x="503"/>
        <item x="504"/>
        <item x="505"/>
        <item x="506"/>
        <item x="507"/>
        <item x="508"/>
        <item x="509"/>
        <item x="510"/>
        <item x="511"/>
        <item x="512"/>
        <item x="220"/>
        <item x="221"/>
        <item x="513"/>
        <item x="514"/>
        <item x="515"/>
        <item x="516"/>
        <item x="517"/>
        <item x="518"/>
        <item x="217"/>
        <item x="519"/>
        <item x="520"/>
        <item x="523"/>
        <item x="524"/>
        <item x="525"/>
        <item x="211"/>
        <item x="212"/>
        <item x="213"/>
        <item x="214"/>
        <item x="236"/>
        <item x="232"/>
        <item x="210"/>
        <item x="526"/>
        <item x="527"/>
        <item x="521"/>
        <item x="219"/>
        <item x="208"/>
        <item x="207"/>
        <item x="209"/>
        <item x="205"/>
        <item x="218"/>
        <item x="216"/>
        <item x="206"/>
        <item x="204"/>
        <item x="203"/>
        <item x="201"/>
        <item x="198"/>
        <item x="197"/>
        <item x="200"/>
        <item x="202"/>
        <item x="196"/>
        <item x="192"/>
        <item x="195"/>
        <item x="191"/>
        <item x="215"/>
        <item x="190"/>
        <item x="199"/>
        <item x="522"/>
        <item x="528"/>
        <item x="529"/>
        <item x="530"/>
        <item x="531"/>
        <item x="532"/>
        <item x="533"/>
        <item x="534"/>
        <item x="535"/>
        <item m="1" x="539"/>
        <item x="187"/>
        <item x="184"/>
        <item x="182"/>
        <item x="181"/>
        <item x="227"/>
        <item x="189"/>
        <item x="193"/>
        <item x="188"/>
        <item x="186"/>
        <item x="185"/>
        <item x="536"/>
        <item x="179"/>
        <item x="177"/>
        <item x="174"/>
        <item x="176"/>
        <item x="178"/>
        <item x="180"/>
        <item x="183"/>
        <item x="170"/>
        <item x="194"/>
        <item x="175"/>
        <item x="173"/>
        <item x="169"/>
        <item x="166"/>
        <item x="172"/>
        <item x="171"/>
        <item x="167"/>
        <item x="165"/>
        <item x="164"/>
        <item x="168"/>
        <item x="162"/>
        <item x="159"/>
        <item x="157"/>
        <item x="158"/>
        <item x="161"/>
        <item x="156"/>
        <item x="155"/>
        <item x="153"/>
        <item x="154"/>
        <item x="160"/>
        <item x="163"/>
        <item x="151"/>
        <item x="150"/>
        <item x="149"/>
        <item x="148"/>
        <item x="152"/>
        <item x="147"/>
        <item x="145"/>
        <item x="144"/>
        <item x="143"/>
        <item x="140"/>
        <item x="142"/>
        <item x="146"/>
        <item x="141"/>
        <item x="139"/>
        <item x="138"/>
        <item x="137"/>
        <item x="136"/>
        <item x="133"/>
        <item x="132"/>
        <item x="129"/>
        <item x="131"/>
        <item x="130"/>
        <item x="135"/>
        <item x="134"/>
        <item x="128"/>
        <item x="126"/>
        <item x="127"/>
        <item x="123"/>
        <item x="124"/>
        <item x="122"/>
        <item x="121"/>
        <item x="120"/>
        <item x="118"/>
        <item x="117"/>
        <item x="119"/>
        <item x="116"/>
        <item x="114"/>
        <item x="115"/>
        <item x="125"/>
        <item x="113"/>
        <item x="112"/>
        <item x="111"/>
        <item x="110"/>
        <item x="108"/>
        <item x="109"/>
        <item x="107"/>
        <item x="537"/>
        <item m="1" x="540"/>
        <item m="1" x="541"/>
        <item x="106"/>
        <item x="105"/>
        <item x="104"/>
        <item x="103"/>
        <item x="102"/>
        <item x="101"/>
        <item x="100"/>
        <item x="99"/>
        <item x="98"/>
        <item x="97"/>
        <item x="95"/>
        <item x="96"/>
        <item x="94"/>
        <item x="93"/>
        <item x="92"/>
        <item x="91"/>
        <item x="90"/>
        <item x="89"/>
        <item x="88"/>
        <item x="87"/>
        <item x="86"/>
        <item x="83"/>
        <item x="84"/>
        <item x="85"/>
        <item x="82"/>
        <item x="81"/>
        <item x="80"/>
        <item x="79"/>
        <item x="78"/>
        <item x="77"/>
        <item x="76"/>
        <item x="75"/>
        <item x="74"/>
        <item x="73"/>
        <item x="72"/>
        <item x="71"/>
        <item x="70"/>
        <item x="68"/>
        <item x="69"/>
        <item x="67"/>
        <item x="66"/>
        <item x="65"/>
        <item x="64"/>
        <item x="63"/>
        <item x="62"/>
        <item x="61"/>
        <item x="60"/>
        <item x="59"/>
        <item x="58"/>
        <item x="56"/>
        <item x="57"/>
        <item x="55"/>
        <item x="54"/>
        <item x="53"/>
        <item x="52"/>
        <item x="51"/>
        <item x="49"/>
        <item x="50"/>
        <item x="48"/>
        <item x="46"/>
        <item x="47"/>
        <item x="45"/>
        <item x="43"/>
        <item x="44"/>
        <item x="42"/>
        <item x="41"/>
        <item x="40"/>
        <item x="39"/>
        <item x="38"/>
        <item x="37"/>
        <item x="36"/>
        <item x="35"/>
        <item x="34"/>
        <item x="33"/>
        <item x="32"/>
        <item x="31"/>
        <item x="30"/>
        <item x="29"/>
        <item x="28"/>
        <item x="27"/>
        <item x="26"/>
        <item x="25"/>
        <item x="24"/>
        <item x="23"/>
        <item x="22"/>
        <item x="21"/>
        <item x="20"/>
        <item x="19"/>
        <item x="18"/>
        <item x="17"/>
        <item x="16"/>
        <item x="15"/>
        <item x="8"/>
        <item x="9"/>
        <item x="10"/>
        <item x="11"/>
        <item x="12"/>
        <item x="13"/>
        <item x="14"/>
        <item x="0"/>
        <item x="1"/>
        <item x="2"/>
        <item x="3"/>
        <item x="4"/>
        <item x="5"/>
        <item x="6"/>
        <item x="7"/>
        <item t="default"/>
      </items>
    </pivotField>
    <pivotField showAll="0"/>
    <pivotField showAll="0"/>
    <pivotField showAll="0"/>
    <pivotField showAll="0"/>
    <pivotField showAll="0"/>
    <pivotField axis="axisRow" showAll="0">
      <items count="95">
        <item sd="0" x="0"/>
        <item sd="0" m="1" x="82"/>
        <item sd="0" x="26"/>
        <item sd="0" m="1" x="93"/>
        <item sd="0" x="17"/>
        <item sd="0" x="46"/>
        <item sd="0" x="65"/>
        <item sd="0" x="69"/>
        <item sd="0" x="1"/>
        <item sd="0" m="1" x="85"/>
        <item sd="0" x="22"/>
        <item sd="0" x="50"/>
        <item sd="0" m="1" x="72"/>
        <item sd="0" x="15"/>
        <item sd="0" m="1" x="87"/>
        <item sd="0" x="62"/>
        <item sd="0" m="1" x="71"/>
        <item sd="0" x="58"/>
        <item sd="0" m="1" x="88"/>
        <item sd="0" x="32"/>
        <item sd="0" x="12"/>
        <item sd="0" m="1" x="76"/>
        <item sd="0" x="55"/>
        <item sd="0" x="49"/>
        <item sd="0" m="1" x="91"/>
        <item sd="0" x="66"/>
        <item sd="0" x="51"/>
        <item sd="0" x="54"/>
        <item sd="0" x="27"/>
        <item sd="0" x="45"/>
        <item sd="0" m="1" x="74"/>
        <item sd="0" x="16"/>
        <item sd="0" m="1" x="92"/>
        <item sd="0" x="11"/>
        <item sd="0" x="40"/>
        <item sd="0" m="1" x="84"/>
        <item sd="0" x="41"/>
        <item sd="0" x="68"/>
        <item sd="0" x="67"/>
        <item sd="0" x="24"/>
        <item sd="0" m="1" x="89"/>
        <item sd="0" x="19"/>
        <item sd="0" x="20"/>
        <item sd="0" m="1" x="80"/>
        <item sd="0" m="1" x="81"/>
        <item sd="0" m="1" x="75"/>
        <item sd="0" x="14"/>
        <item sd="0" x="6"/>
        <item sd="0" x="7"/>
        <item sd="0" m="1" x="86"/>
        <item sd="0" x="18"/>
        <item sd="0" m="1" x="79"/>
        <item sd="0" x="5"/>
        <item sd="0" m="1" x="83"/>
        <item sd="0" x="23"/>
        <item sd="0" x="63"/>
        <item sd="0" m="1" x="90"/>
        <item sd="0" x="31"/>
        <item sd="0" x="35"/>
        <item sd="0" m="1" x="78"/>
        <item sd="0" x="2"/>
        <item sd="0" x="21"/>
        <item sd="0" m="1" x="77"/>
        <item sd="0" m="1" x="73"/>
        <item sd="0" x="33"/>
        <item sd="0" x="70"/>
        <item sd="0" x="4"/>
        <item sd="0" x="64"/>
        <item sd="0" x="36"/>
        <item sd="0" x="61"/>
        <item sd="0" x="59"/>
        <item sd="0" x="60"/>
        <item sd="0" x="13"/>
        <item sd="0" x="57"/>
        <item sd="0" x="56"/>
        <item sd="0" x="53"/>
        <item sd="0" x="25"/>
        <item sd="0" x="52"/>
        <item sd="0" x="48"/>
        <item sd="0" x="47"/>
        <item sd="0" x="34"/>
        <item sd="0" x="44"/>
        <item sd="0" x="43"/>
        <item sd="0" x="42"/>
        <item sd="0" x="39"/>
        <item sd="0" x="38"/>
        <item sd="0" x="37"/>
        <item sd="0" x="10"/>
        <item sd="0" x="3"/>
        <item sd="0" x="29"/>
        <item sd="0" x="30"/>
        <item sd="0" x="28"/>
        <item sd="0" x="8"/>
        <item sd="0" x="9"/>
        <item t="default" sd="0"/>
      </items>
    </pivotField>
    <pivotField showAll="0" defaultSubtotal="0"/>
    <pivotField showAll="0" defaultSubtotal="0">
      <items count="12">
        <item x="1"/>
        <item x="2"/>
        <item x="3"/>
        <item x="4"/>
        <item x="5"/>
        <item x="6"/>
        <item x="7"/>
        <item x="8"/>
        <item x="9"/>
        <item x="10"/>
        <item x="0"/>
        <item x="11"/>
      </items>
    </pivotField>
  </pivotFields>
  <rowFields count="2">
    <field x="6"/>
    <field x="0"/>
  </rowFields>
  <rowItems count="72">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E61B0F-61C5-BA43-B557-9E90CD891AFF}" name="PivotTable3" cacheId="4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9:G51" firstHeaderRow="1" firstDataRow="1" firstDataCol="1"/>
  <pivotFields count="8">
    <pivotField showAll="0"/>
    <pivotField dataField="1" showAll="0"/>
    <pivotField showAll="0"/>
    <pivotField showAll="0"/>
    <pivotField showAll="0"/>
    <pivotField showAll="0"/>
    <pivotField showAll="0"/>
    <pivotField axis="axisRow" showAll="0">
      <items count="13">
        <item m="1" x="8"/>
        <item m="1" x="2"/>
        <item m="1" x="6"/>
        <item m="1" x="11"/>
        <item m="1" x="4"/>
        <item m="1" x="9"/>
        <item m="1" x="3"/>
        <item m="1" x="7"/>
        <item m="1" x="1"/>
        <item m="1" x="5"/>
        <item x="0"/>
        <item m="1" x="10"/>
        <item t="default"/>
      </items>
    </pivotField>
  </pivotFields>
  <rowFields count="1">
    <field x="7"/>
  </rowFields>
  <rowItems count="2">
    <i>
      <x v="10"/>
    </i>
    <i t="grand">
      <x/>
    </i>
  </rowItems>
  <colItems count="1">
    <i/>
  </colItems>
  <dataFields count="1">
    <dataField name="Count of Title" fld="1"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45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18:J30" firstHeaderRow="1" firstDataRow="2" firstDataCol="1"/>
  <pivotFields count="5">
    <pivotField dataField="1" showAll="0"/>
    <pivotField axis="axisCol" showAll="0">
      <items count="5">
        <item x="0"/>
        <item x="1"/>
        <item x="2"/>
        <item x="3"/>
        <item t="default"/>
      </items>
    </pivotField>
    <pivotField showAll="0"/>
    <pivotField showAll="0"/>
    <pivotField axis="axisRow" showAll="0">
      <items count="14">
        <item x="5"/>
        <item x="4"/>
        <item x="3"/>
        <item x="2"/>
        <item x="0"/>
        <item x="1"/>
        <item x="6"/>
        <item x="7"/>
        <item h="1" x="11"/>
        <item x="8"/>
        <item x="9"/>
        <item h="1" m="1" x="12"/>
        <item h="1" x="10"/>
        <item t="default"/>
      </items>
    </pivotField>
  </pivotFields>
  <rowFields count="1">
    <field x="4"/>
  </rowFields>
  <rowItems count="11">
    <i>
      <x/>
    </i>
    <i>
      <x v="1"/>
    </i>
    <i>
      <x v="2"/>
    </i>
    <i>
      <x v="3"/>
    </i>
    <i>
      <x v="4"/>
    </i>
    <i>
      <x v="5"/>
    </i>
    <i>
      <x v="6"/>
    </i>
    <i>
      <x v="7"/>
    </i>
    <i>
      <x v="9"/>
    </i>
    <i>
      <x v="10"/>
    </i>
    <i t="grand">
      <x/>
    </i>
  </rowItems>
  <colFields count="1">
    <field x="1"/>
  </colFields>
  <colItems count="4">
    <i>
      <x/>
    </i>
    <i>
      <x v="1"/>
    </i>
    <i>
      <x v="2"/>
    </i>
    <i t="grand">
      <x/>
    </i>
  </colItems>
  <dataFields count="1">
    <dataField name="Count of ID" fld="0" subtotal="count" baseField="4" baseItem="0"/>
  </dataFields>
  <chartFormats count="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45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34:N46" firstHeaderRow="1" firstDataRow="2" firstDataCol="1"/>
  <pivotFields count="5">
    <pivotField dataField="1" showAll="0"/>
    <pivotField axis="axisCol" showAll="0">
      <items count="9">
        <item x="0"/>
        <item x="1"/>
        <item x="2"/>
        <item x="3"/>
        <item x="4"/>
        <item x="5"/>
        <item x="6"/>
        <item h="1" x="7"/>
        <item t="default"/>
      </items>
    </pivotField>
    <pivotField showAll="0"/>
    <pivotField showAll="0"/>
    <pivotField axis="axisRow" showAll="0">
      <items count="14">
        <item x="5"/>
        <item x="4"/>
        <item x="3"/>
        <item x="2"/>
        <item x="0"/>
        <item x="1"/>
        <item x="6"/>
        <item x="7"/>
        <item x="11"/>
        <item x="8"/>
        <item x="9"/>
        <item m="1" x="12"/>
        <item x="10"/>
        <item t="default"/>
      </items>
    </pivotField>
  </pivotFields>
  <rowFields count="1">
    <field x="4"/>
  </rowFields>
  <rowItems count="11">
    <i>
      <x/>
    </i>
    <i>
      <x v="1"/>
    </i>
    <i>
      <x v="2"/>
    </i>
    <i>
      <x v="3"/>
    </i>
    <i>
      <x v="4"/>
    </i>
    <i>
      <x v="5"/>
    </i>
    <i>
      <x v="6"/>
    </i>
    <i>
      <x v="7"/>
    </i>
    <i>
      <x v="9"/>
    </i>
    <i>
      <x v="10"/>
    </i>
    <i t="grand">
      <x/>
    </i>
  </rowItems>
  <colFields count="1">
    <field x="1"/>
  </colFields>
  <colItems count="8">
    <i>
      <x/>
    </i>
    <i>
      <x v="1"/>
    </i>
    <i>
      <x v="2"/>
    </i>
    <i>
      <x v="3"/>
    </i>
    <i>
      <x v="4"/>
    </i>
    <i>
      <x v="5"/>
    </i>
    <i>
      <x v="6"/>
    </i>
    <i t="grand">
      <x/>
    </i>
  </colItems>
  <dataFields count="1">
    <dataField name="Count of ID" fld="0" subtotal="count" baseField="1" baseItem="0"/>
  </dataFields>
  <chartFormats count="8">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46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F2:M14" firstHeaderRow="1" firstDataRow="2" firstDataCol="1"/>
  <pivotFields count="5">
    <pivotField dataField="1" showAll="0"/>
    <pivotField axis="axisCol" showAll="0">
      <items count="8">
        <item x="0"/>
        <item x="1"/>
        <item x="2"/>
        <item x="3"/>
        <item x="4"/>
        <item x="5"/>
        <item x="6"/>
        <item t="default"/>
      </items>
    </pivotField>
    <pivotField showAll="0"/>
    <pivotField showAll="0"/>
    <pivotField axis="axisRow" showAll="0">
      <items count="13">
        <item x="4"/>
        <item x="3"/>
        <item x="9"/>
        <item x="1"/>
        <item x="0"/>
        <item x="2"/>
        <item x="5"/>
        <item x="6"/>
        <item h="1" x="10"/>
        <item x="7"/>
        <item x="8"/>
        <item h="1" m="1" x="11"/>
        <item t="default"/>
      </items>
    </pivotField>
  </pivotFields>
  <rowFields count="1">
    <field x="4"/>
  </rowFields>
  <rowItems count="11">
    <i>
      <x/>
    </i>
    <i>
      <x v="1"/>
    </i>
    <i>
      <x v="2"/>
    </i>
    <i>
      <x v="3"/>
    </i>
    <i>
      <x v="4"/>
    </i>
    <i>
      <x v="5"/>
    </i>
    <i>
      <x v="6"/>
    </i>
    <i>
      <x v="7"/>
    </i>
    <i>
      <x v="9"/>
    </i>
    <i>
      <x v="10"/>
    </i>
    <i t="grand">
      <x/>
    </i>
  </rowItems>
  <colFields count="1">
    <field x="1"/>
  </colFields>
  <colItems count="7">
    <i>
      <x/>
    </i>
    <i>
      <x v="1"/>
    </i>
    <i>
      <x v="2"/>
    </i>
    <i>
      <x v="3"/>
    </i>
    <i>
      <x v="4"/>
    </i>
    <i>
      <x v="5"/>
    </i>
    <i t="grand">
      <x/>
    </i>
  </colItems>
  <dataFields count="1">
    <dataField name="Count of ID" fld="0" subtotal="count" baseField="4" baseItem="0"/>
  </dataFields>
  <chartFormats count="20">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 chart="4" format="58" series="1">
      <pivotArea type="data" outline="0" fieldPosition="0">
        <references count="2">
          <reference field="4294967294" count="1" selected="0">
            <x v="0"/>
          </reference>
          <reference field="1" count="1" selected="0">
            <x v="0"/>
          </reference>
        </references>
      </pivotArea>
    </chartFormat>
    <chartFormat chart="4" format="59" series="1">
      <pivotArea type="data" outline="0" fieldPosition="0">
        <references count="2">
          <reference field="4294967294" count="1" selected="0">
            <x v="0"/>
          </reference>
          <reference field="1" count="1" selected="0">
            <x v="1"/>
          </reference>
        </references>
      </pivotArea>
    </chartFormat>
    <chartFormat chart="4" format="60" series="1">
      <pivotArea type="data" outline="0" fieldPosition="0">
        <references count="2">
          <reference field="4294967294" count="1" selected="0">
            <x v="0"/>
          </reference>
          <reference field="1" count="1" selected="0">
            <x v="2"/>
          </reference>
        </references>
      </pivotArea>
    </chartFormat>
    <chartFormat chart="4" format="61" series="1">
      <pivotArea type="data" outline="0" fieldPosition="0">
        <references count="2">
          <reference field="4294967294" count="1" selected="0">
            <x v="0"/>
          </reference>
          <reference field="1" count="1" selected="0">
            <x v="3"/>
          </reference>
        </references>
      </pivotArea>
    </chartFormat>
    <chartFormat chart="4" format="62" series="1">
      <pivotArea type="data" outline="0" fieldPosition="0">
        <references count="2">
          <reference field="4294967294" count="1" selected="0">
            <x v="0"/>
          </reference>
          <reference field="1" count="1" selected="0">
            <x v="4"/>
          </reference>
        </references>
      </pivotArea>
    </chartFormat>
    <chartFormat chart="4" format="63" series="1">
      <pivotArea type="data" outline="0" fieldPosition="0">
        <references count="2">
          <reference field="4294967294" count="1" selected="0">
            <x v="0"/>
          </reference>
          <reference field="1" count="1" selected="0">
            <x v="5"/>
          </reference>
        </references>
      </pivotArea>
    </chartFormat>
    <chartFormat chart="5" format="64" series="1">
      <pivotArea type="data" outline="0" fieldPosition="0">
        <references count="2">
          <reference field="4294967294" count="1" selected="0">
            <x v="0"/>
          </reference>
          <reference field="1" count="1" selected="0">
            <x v="0"/>
          </reference>
        </references>
      </pivotArea>
    </chartFormat>
    <chartFormat chart="5" format="65" series="1">
      <pivotArea type="data" outline="0" fieldPosition="0">
        <references count="2">
          <reference field="4294967294" count="1" selected="0">
            <x v="0"/>
          </reference>
          <reference field="1" count="1" selected="0">
            <x v="1"/>
          </reference>
        </references>
      </pivotArea>
    </chartFormat>
    <chartFormat chart="5" format="66" series="1">
      <pivotArea type="data" outline="0" fieldPosition="0">
        <references count="2">
          <reference field="4294967294" count="1" selected="0">
            <x v="0"/>
          </reference>
          <reference field="1" count="1" selected="0">
            <x v="2"/>
          </reference>
        </references>
      </pivotArea>
    </chartFormat>
    <chartFormat chart="5" format="67" series="1">
      <pivotArea type="data" outline="0" fieldPosition="0">
        <references count="2">
          <reference field="4294967294" count="1" selected="0">
            <x v="0"/>
          </reference>
          <reference field="1" count="1" selected="0">
            <x v="3"/>
          </reference>
        </references>
      </pivotArea>
    </chartFormat>
    <chartFormat chart="5" format="68" series="1">
      <pivotArea type="data" outline="0" fieldPosition="0">
        <references count="2">
          <reference field="4294967294" count="1" selected="0">
            <x v="0"/>
          </reference>
          <reference field="1" count="1" selected="0">
            <x v="4"/>
          </reference>
        </references>
      </pivotArea>
    </chartFormat>
    <chartFormat chart="5" format="69"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538"/>
  <sheetViews>
    <sheetView workbookViewId="0">
      <selection activeCell="H2" sqref="H2"/>
    </sheetView>
  </sheetViews>
  <sheetFormatPr baseColWidth="10" defaultColWidth="8.83203125" defaultRowHeight="15" x14ac:dyDescent="0.2"/>
  <cols>
    <col min="2" max="2" width="52.83203125" customWidth="1"/>
    <col min="3" max="3" width="11.5" bestFit="1" customWidth="1"/>
    <col min="4" max="4" width="17.83203125" style="5" customWidth="1"/>
    <col min="5" max="5" width="60.1640625" customWidth="1"/>
    <col min="6" max="6" width="23.33203125" customWidth="1"/>
    <col min="7" max="7" width="36.5" customWidth="1"/>
    <col min="8" max="8" width="13" style="31" customWidth="1"/>
  </cols>
  <sheetData>
    <row r="1" spans="1:18" x14ac:dyDescent="0.2">
      <c r="A1" s="28" t="s">
        <v>0</v>
      </c>
      <c r="B1" s="28" t="s">
        <v>1</v>
      </c>
      <c r="C1" s="28" t="s">
        <v>2</v>
      </c>
      <c r="D1" s="28" t="s">
        <v>3</v>
      </c>
      <c r="E1" s="28" t="s">
        <v>4</v>
      </c>
      <c r="F1" s="28" t="s">
        <v>5</v>
      </c>
      <c r="G1" s="28" t="s">
        <v>6</v>
      </c>
      <c r="H1" s="29" t="s">
        <v>7</v>
      </c>
      <c r="R1">
        <v>75</v>
      </c>
    </row>
    <row r="2" spans="1:18" x14ac:dyDescent="0.2">
      <c r="A2">
        <v>8271</v>
      </c>
      <c r="B2" t="s">
        <v>1198</v>
      </c>
      <c r="C2" s="1">
        <v>45044</v>
      </c>
      <c r="D2" t="s">
        <v>1199</v>
      </c>
      <c r="E2" t="s">
        <v>21</v>
      </c>
      <c r="F2" t="s">
        <v>11</v>
      </c>
      <c r="G2" t="s">
        <v>30</v>
      </c>
    </row>
    <row r="3" spans="1:18" x14ac:dyDescent="0.2">
      <c r="A3">
        <v>8247</v>
      </c>
      <c r="B3" t="s">
        <v>1194</v>
      </c>
      <c r="C3" s="1">
        <v>45041</v>
      </c>
      <c r="D3" t="s">
        <v>1195</v>
      </c>
      <c r="F3" t="s">
        <v>22</v>
      </c>
      <c r="G3" t="s">
        <v>224</v>
      </c>
    </row>
    <row r="4" spans="1:18" x14ac:dyDescent="0.2">
      <c r="A4">
        <v>8250</v>
      </c>
      <c r="B4" t="s">
        <v>1196</v>
      </c>
      <c r="C4" s="1">
        <v>45041</v>
      </c>
      <c r="D4" t="s">
        <v>1197</v>
      </c>
      <c r="E4" t="s">
        <v>33</v>
      </c>
      <c r="F4" t="s">
        <v>22</v>
      </c>
      <c r="G4" t="s">
        <v>38</v>
      </c>
    </row>
    <row r="5" spans="1:18" x14ac:dyDescent="0.2">
      <c r="A5">
        <v>8223</v>
      </c>
      <c r="B5" t="s">
        <v>1190</v>
      </c>
      <c r="C5" s="1">
        <v>45036</v>
      </c>
      <c r="D5" t="s">
        <v>1191</v>
      </c>
      <c r="F5" t="s">
        <v>11</v>
      </c>
      <c r="G5" t="s">
        <v>104</v>
      </c>
    </row>
    <row r="6" spans="1:18" x14ac:dyDescent="0.2">
      <c r="A6">
        <v>8226</v>
      </c>
      <c r="B6" t="s">
        <v>1192</v>
      </c>
      <c r="C6" s="1">
        <v>45036</v>
      </c>
      <c r="D6" t="s">
        <v>1193</v>
      </c>
      <c r="E6" t="s">
        <v>21</v>
      </c>
      <c r="F6" t="s">
        <v>11</v>
      </c>
      <c r="G6" t="s">
        <v>455</v>
      </c>
    </row>
    <row r="7" spans="1:18" x14ac:dyDescent="0.2">
      <c r="A7">
        <v>8204</v>
      </c>
      <c r="B7" t="s">
        <v>1188</v>
      </c>
      <c r="C7" s="1">
        <v>45034</v>
      </c>
      <c r="D7" t="s">
        <v>1189</v>
      </c>
      <c r="E7" t="s">
        <v>60</v>
      </c>
      <c r="F7" t="s">
        <v>11</v>
      </c>
      <c r="G7" t="s">
        <v>30</v>
      </c>
    </row>
    <row r="8" spans="1:18" x14ac:dyDescent="0.2">
      <c r="A8">
        <v>8173</v>
      </c>
      <c r="B8" t="s">
        <v>1186</v>
      </c>
      <c r="C8" s="1">
        <v>45033</v>
      </c>
      <c r="D8" t="s">
        <v>1187</v>
      </c>
      <c r="E8" t="s">
        <v>21</v>
      </c>
      <c r="F8" t="s">
        <v>11</v>
      </c>
      <c r="G8" t="s">
        <v>598</v>
      </c>
    </row>
    <row r="9" spans="1:18" x14ac:dyDescent="0.2">
      <c r="A9">
        <v>8166</v>
      </c>
      <c r="B9" t="s">
        <v>1184</v>
      </c>
      <c r="C9" s="1">
        <v>45030</v>
      </c>
      <c r="D9" t="s">
        <v>1185</v>
      </c>
      <c r="E9" t="s">
        <v>21</v>
      </c>
      <c r="F9" t="s">
        <v>11</v>
      </c>
      <c r="G9" t="s">
        <v>23</v>
      </c>
    </row>
    <row r="10" spans="1:18" x14ac:dyDescent="0.2">
      <c r="A10">
        <v>8153</v>
      </c>
      <c r="B10" t="s">
        <v>8</v>
      </c>
      <c r="C10" s="1">
        <v>45020</v>
      </c>
      <c r="D10" t="s">
        <v>9</v>
      </c>
      <c r="E10" t="s">
        <v>10</v>
      </c>
      <c r="F10" t="s">
        <v>11</v>
      </c>
      <c r="G10" t="s">
        <v>12</v>
      </c>
    </row>
    <row r="11" spans="1:18" x14ac:dyDescent="0.2">
      <c r="A11">
        <v>8085</v>
      </c>
      <c r="B11" t="s">
        <v>13</v>
      </c>
      <c r="C11" s="1">
        <v>45013</v>
      </c>
      <c r="D11" t="s">
        <v>14</v>
      </c>
      <c r="E11" t="s">
        <v>10</v>
      </c>
      <c r="F11" t="s">
        <v>11</v>
      </c>
      <c r="G11" t="s">
        <v>12</v>
      </c>
    </row>
    <row r="12" spans="1:18" x14ac:dyDescent="0.2">
      <c r="A12">
        <v>8125</v>
      </c>
      <c r="B12" t="s">
        <v>15</v>
      </c>
      <c r="C12" s="1">
        <v>45013</v>
      </c>
      <c r="D12" t="s">
        <v>16</v>
      </c>
      <c r="E12" t="s">
        <v>17</v>
      </c>
      <c r="F12" t="s">
        <v>11</v>
      </c>
      <c r="G12" t="s">
        <v>18</v>
      </c>
    </row>
    <row r="13" spans="1:18" x14ac:dyDescent="0.2">
      <c r="A13">
        <v>8131</v>
      </c>
      <c r="B13" t="s">
        <v>19</v>
      </c>
      <c r="C13" s="1">
        <v>44993</v>
      </c>
      <c r="D13" t="s">
        <v>20</v>
      </c>
      <c r="E13" t="s">
        <v>21</v>
      </c>
      <c r="F13" t="s">
        <v>22</v>
      </c>
      <c r="G13" t="s">
        <v>23</v>
      </c>
    </row>
    <row r="14" spans="1:18" x14ac:dyDescent="0.2">
      <c r="A14">
        <v>8054</v>
      </c>
      <c r="B14" t="s">
        <v>24</v>
      </c>
      <c r="C14" s="1">
        <v>44973</v>
      </c>
      <c r="D14" t="s">
        <v>25</v>
      </c>
      <c r="E14" t="s">
        <v>10</v>
      </c>
      <c r="F14" t="s">
        <v>11</v>
      </c>
      <c r="G14" t="s">
        <v>26</v>
      </c>
    </row>
    <row r="15" spans="1:18" x14ac:dyDescent="0.2">
      <c r="A15">
        <v>8056</v>
      </c>
      <c r="B15" t="s">
        <v>27</v>
      </c>
      <c r="C15" s="1">
        <v>44973</v>
      </c>
      <c r="D15" t="s">
        <v>28</v>
      </c>
      <c r="E15" t="s">
        <v>29</v>
      </c>
      <c r="F15" t="s">
        <v>11</v>
      </c>
      <c r="G15" t="s">
        <v>30</v>
      </c>
    </row>
    <row r="16" spans="1:18" x14ac:dyDescent="0.2">
      <c r="A16">
        <v>8061</v>
      </c>
      <c r="B16" t="s">
        <v>31</v>
      </c>
      <c r="C16" s="1">
        <v>44973</v>
      </c>
      <c r="D16" t="s">
        <v>32</v>
      </c>
      <c r="E16" t="s">
        <v>33</v>
      </c>
      <c r="F16" t="s">
        <v>34</v>
      </c>
      <c r="G16" t="s">
        <v>30</v>
      </c>
    </row>
    <row r="17" spans="1:7" x14ac:dyDescent="0.2">
      <c r="A17">
        <v>8015</v>
      </c>
      <c r="B17" t="s">
        <v>35</v>
      </c>
      <c r="C17" s="1">
        <v>44960</v>
      </c>
      <c r="D17" t="s">
        <v>36</v>
      </c>
      <c r="E17" t="s">
        <v>29</v>
      </c>
      <c r="F17" t="s">
        <v>37</v>
      </c>
      <c r="G17" t="s">
        <v>38</v>
      </c>
    </row>
    <row r="18" spans="1:7" x14ac:dyDescent="0.2">
      <c r="A18">
        <v>7996</v>
      </c>
      <c r="B18" t="s">
        <v>39</v>
      </c>
      <c r="C18" s="1">
        <v>44957</v>
      </c>
      <c r="D18" t="s">
        <v>40</v>
      </c>
      <c r="E18" t="s">
        <v>10</v>
      </c>
      <c r="F18" t="s">
        <v>22</v>
      </c>
      <c r="G18" t="s">
        <v>41</v>
      </c>
    </row>
    <row r="19" spans="1:7" x14ac:dyDescent="0.2">
      <c r="A19">
        <v>7954</v>
      </c>
      <c r="B19" t="s">
        <v>42</v>
      </c>
      <c r="C19" s="1">
        <v>44949</v>
      </c>
      <c r="D19" t="s">
        <v>43</v>
      </c>
      <c r="E19" t="s">
        <v>44</v>
      </c>
      <c r="F19" t="s">
        <v>11</v>
      </c>
      <c r="G19" t="s">
        <v>45</v>
      </c>
    </row>
    <row r="20" spans="1:7" x14ac:dyDescent="0.2">
      <c r="A20">
        <v>7916</v>
      </c>
      <c r="B20" t="s">
        <v>46</v>
      </c>
      <c r="C20" s="1">
        <v>44944</v>
      </c>
      <c r="D20" t="s">
        <v>47</v>
      </c>
      <c r="E20" t="s">
        <v>10</v>
      </c>
      <c r="F20" t="s">
        <v>48</v>
      </c>
      <c r="G20" t="s">
        <v>38</v>
      </c>
    </row>
    <row r="21" spans="1:7" x14ac:dyDescent="0.2">
      <c r="A21">
        <v>7918</v>
      </c>
      <c r="B21" t="s">
        <v>49</v>
      </c>
      <c r="C21" s="1">
        <v>44943</v>
      </c>
      <c r="D21" t="s">
        <v>50</v>
      </c>
      <c r="E21" t="s">
        <v>51</v>
      </c>
      <c r="F21" t="s">
        <v>22</v>
      </c>
      <c r="G21" t="s">
        <v>38</v>
      </c>
    </row>
    <row r="22" spans="1:7" x14ac:dyDescent="0.2">
      <c r="A22">
        <v>7914</v>
      </c>
      <c r="B22" t="s">
        <v>52</v>
      </c>
      <c r="C22" s="1">
        <v>44939</v>
      </c>
      <c r="D22" t="s">
        <v>53</v>
      </c>
      <c r="E22" t="s">
        <v>54</v>
      </c>
      <c r="F22" t="s">
        <v>11</v>
      </c>
      <c r="G22" t="s">
        <v>55</v>
      </c>
    </row>
    <row r="23" spans="1:7" x14ac:dyDescent="0.2">
      <c r="A23">
        <v>7894</v>
      </c>
      <c r="B23" t="s">
        <v>56</v>
      </c>
      <c r="C23" s="1">
        <v>44937</v>
      </c>
      <c r="D23" t="s">
        <v>57</v>
      </c>
      <c r="F23" t="s">
        <v>11</v>
      </c>
      <c r="G23" t="s">
        <v>30</v>
      </c>
    </row>
    <row r="24" spans="1:7" x14ac:dyDescent="0.2">
      <c r="A24">
        <v>7881</v>
      </c>
      <c r="B24" t="s">
        <v>58</v>
      </c>
      <c r="C24" s="1">
        <v>44936</v>
      </c>
      <c r="D24" t="s">
        <v>59</v>
      </c>
      <c r="E24" t="s">
        <v>60</v>
      </c>
      <c r="F24" t="s">
        <v>11</v>
      </c>
      <c r="G24" t="s">
        <v>61</v>
      </c>
    </row>
    <row r="25" spans="1:7" x14ac:dyDescent="0.2">
      <c r="A25">
        <v>7797</v>
      </c>
      <c r="B25" t="s">
        <v>62</v>
      </c>
      <c r="C25" s="1">
        <v>44932</v>
      </c>
      <c r="D25" t="s">
        <v>63</v>
      </c>
      <c r="E25" t="s">
        <v>64</v>
      </c>
      <c r="F25" t="s">
        <v>11</v>
      </c>
      <c r="G25" t="s">
        <v>65</v>
      </c>
    </row>
    <row r="26" spans="1:7" x14ac:dyDescent="0.2">
      <c r="A26">
        <v>7845</v>
      </c>
      <c r="B26" t="s">
        <v>66</v>
      </c>
      <c r="C26" s="1">
        <v>44931</v>
      </c>
      <c r="D26" t="s">
        <v>67</v>
      </c>
      <c r="E26" t="s">
        <v>68</v>
      </c>
      <c r="F26" t="s">
        <v>11</v>
      </c>
      <c r="G26" t="s">
        <v>30</v>
      </c>
    </row>
    <row r="27" spans="1:7" x14ac:dyDescent="0.2">
      <c r="A27">
        <v>7765</v>
      </c>
      <c r="B27" t="s">
        <v>69</v>
      </c>
      <c r="C27" s="1">
        <v>44911</v>
      </c>
      <c r="D27" t="s">
        <v>70</v>
      </c>
      <c r="E27" t="s">
        <v>71</v>
      </c>
      <c r="F27" t="s">
        <v>11</v>
      </c>
      <c r="G27" t="s">
        <v>12</v>
      </c>
    </row>
    <row r="28" spans="1:7" x14ac:dyDescent="0.2">
      <c r="A28">
        <v>7757</v>
      </c>
      <c r="B28" t="s">
        <v>72</v>
      </c>
      <c r="C28" s="1">
        <v>44903</v>
      </c>
      <c r="D28" t="s">
        <v>73</v>
      </c>
      <c r="F28" t="s">
        <v>11</v>
      </c>
      <c r="G28" t="s">
        <v>45</v>
      </c>
    </row>
    <row r="29" spans="1:7" x14ac:dyDescent="0.2">
      <c r="A29">
        <v>7768</v>
      </c>
      <c r="B29" t="s">
        <v>74</v>
      </c>
      <c r="C29" s="1">
        <v>44902</v>
      </c>
      <c r="D29" t="s">
        <v>75</v>
      </c>
      <c r="E29" t="s">
        <v>68</v>
      </c>
      <c r="F29" t="s">
        <v>22</v>
      </c>
      <c r="G29" t="s">
        <v>38</v>
      </c>
    </row>
    <row r="30" spans="1:7" x14ac:dyDescent="0.2">
      <c r="A30">
        <v>7744</v>
      </c>
      <c r="B30" t="s">
        <v>76</v>
      </c>
      <c r="C30" s="1">
        <v>44893</v>
      </c>
      <c r="D30" t="s">
        <v>77</v>
      </c>
      <c r="E30" t="s">
        <v>68</v>
      </c>
      <c r="F30" t="s">
        <v>22</v>
      </c>
      <c r="G30" t="s">
        <v>78</v>
      </c>
    </row>
    <row r="31" spans="1:7" x14ac:dyDescent="0.2">
      <c r="A31">
        <v>7735</v>
      </c>
      <c r="B31" t="s">
        <v>79</v>
      </c>
      <c r="C31" s="1">
        <v>44886</v>
      </c>
      <c r="D31" t="s">
        <v>80</v>
      </c>
      <c r="E31" t="s">
        <v>54</v>
      </c>
      <c r="F31" t="s">
        <v>34</v>
      </c>
      <c r="G31" t="s">
        <v>38</v>
      </c>
    </row>
    <row r="32" spans="1:7" x14ac:dyDescent="0.2">
      <c r="A32">
        <v>7705</v>
      </c>
      <c r="B32" t="s">
        <v>81</v>
      </c>
      <c r="C32" s="1">
        <v>44879</v>
      </c>
      <c r="D32" t="s">
        <v>82</v>
      </c>
      <c r="F32" t="s">
        <v>11</v>
      </c>
      <c r="G32" t="s">
        <v>83</v>
      </c>
    </row>
    <row r="33" spans="1:7" x14ac:dyDescent="0.2">
      <c r="A33">
        <v>7706</v>
      </c>
      <c r="B33" t="s">
        <v>84</v>
      </c>
      <c r="C33" s="1">
        <v>44876</v>
      </c>
      <c r="D33" t="s">
        <v>85</v>
      </c>
      <c r="F33" t="s">
        <v>11</v>
      </c>
      <c r="G33" t="s">
        <v>86</v>
      </c>
    </row>
    <row r="34" spans="1:7" x14ac:dyDescent="0.2">
      <c r="A34">
        <v>7711</v>
      </c>
      <c r="B34" t="s">
        <v>87</v>
      </c>
      <c r="C34" s="1">
        <v>44873</v>
      </c>
      <c r="D34" t="s">
        <v>88</v>
      </c>
      <c r="F34" t="s">
        <v>37</v>
      </c>
      <c r="G34" t="s">
        <v>38</v>
      </c>
    </row>
    <row r="35" spans="1:7" x14ac:dyDescent="0.2">
      <c r="A35">
        <v>7634</v>
      </c>
      <c r="B35" t="s">
        <v>89</v>
      </c>
      <c r="C35" s="1">
        <v>44872</v>
      </c>
      <c r="D35" t="s">
        <v>90</v>
      </c>
      <c r="E35" t="s">
        <v>10</v>
      </c>
      <c r="F35" t="s">
        <v>11</v>
      </c>
      <c r="G35" t="s">
        <v>91</v>
      </c>
    </row>
    <row r="36" spans="1:7" x14ac:dyDescent="0.2">
      <c r="A36">
        <v>7698</v>
      </c>
      <c r="B36" t="s">
        <v>92</v>
      </c>
      <c r="C36" s="1">
        <v>44869</v>
      </c>
      <c r="D36" t="s">
        <v>93</v>
      </c>
      <c r="E36" t="s">
        <v>51</v>
      </c>
      <c r="F36" t="s">
        <v>11</v>
      </c>
      <c r="G36" t="s">
        <v>23</v>
      </c>
    </row>
    <row r="37" spans="1:7" x14ac:dyDescent="0.2">
      <c r="A37">
        <v>7657</v>
      </c>
      <c r="B37" t="s">
        <v>94</v>
      </c>
      <c r="C37" s="1">
        <v>44854</v>
      </c>
      <c r="D37" t="s">
        <v>95</v>
      </c>
      <c r="E37" t="s">
        <v>96</v>
      </c>
      <c r="F37" t="s">
        <v>11</v>
      </c>
      <c r="G37" t="s">
        <v>30</v>
      </c>
    </row>
    <row r="38" spans="1:7" x14ac:dyDescent="0.2">
      <c r="A38">
        <v>7643</v>
      </c>
      <c r="B38" t="s">
        <v>97</v>
      </c>
      <c r="C38" s="1">
        <v>44852</v>
      </c>
      <c r="D38" t="s">
        <v>98</v>
      </c>
      <c r="E38" t="s">
        <v>99</v>
      </c>
      <c r="F38" t="s">
        <v>34</v>
      </c>
      <c r="G38" t="s">
        <v>38</v>
      </c>
    </row>
    <row r="39" spans="1:7" x14ac:dyDescent="0.2">
      <c r="A39">
        <v>7631</v>
      </c>
      <c r="B39" t="s">
        <v>100</v>
      </c>
      <c r="C39" s="1">
        <v>44847</v>
      </c>
      <c r="D39" t="s">
        <v>101</v>
      </c>
      <c r="F39" t="s">
        <v>11</v>
      </c>
      <c r="G39" t="s">
        <v>30</v>
      </c>
    </row>
    <row r="40" spans="1:7" x14ac:dyDescent="0.2">
      <c r="A40">
        <v>7610</v>
      </c>
      <c r="B40" t="s">
        <v>102</v>
      </c>
      <c r="C40" s="1">
        <v>44846</v>
      </c>
      <c r="D40" t="s">
        <v>103</v>
      </c>
      <c r="F40" t="s">
        <v>11</v>
      </c>
      <c r="G40" t="s">
        <v>104</v>
      </c>
    </row>
    <row r="41" spans="1:7" x14ac:dyDescent="0.2">
      <c r="A41">
        <v>7355</v>
      </c>
      <c r="B41" t="s">
        <v>105</v>
      </c>
      <c r="C41" s="1">
        <v>44820</v>
      </c>
      <c r="D41" t="s">
        <v>106</v>
      </c>
      <c r="E41" t="s">
        <v>60</v>
      </c>
      <c r="F41" t="s">
        <v>11</v>
      </c>
      <c r="G41" t="s">
        <v>107</v>
      </c>
    </row>
    <row r="42" spans="1:7" x14ac:dyDescent="0.2">
      <c r="A42">
        <v>7350</v>
      </c>
      <c r="B42" t="s">
        <v>108</v>
      </c>
      <c r="C42" s="1">
        <v>44818</v>
      </c>
      <c r="D42" t="s">
        <v>109</v>
      </c>
      <c r="F42" t="s">
        <v>11</v>
      </c>
      <c r="G42" t="s">
        <v>30</v>
      </c>
    </row>
    <row r="43" spans="1:7" x14ac:dyDescent="0.2">
      <c r="A43">
        <v>7358</v>
      </c>
      <c r="B43" t="s">
        <v>110</v>
      </c>
      <c r="C43" s="1">
        <v>44816</v>
      </c>
      <c r="D43" t="s">
        <v>111</v>
      </c>
      <c r="E43" t="s">
        <v>60</v>
      </c>
      <c r="F43" t="s">
        <v>11</v>
      </c>
      <c r="G43" t="s">
        <v>112</v>
      </c>
    </row>
    <row r="44" spans="1:7" x14ac:dyDescent="0.2">
      <c r="A44">
        <v>7400</v>
      </c>
      <c r="B44" t="s">
        <v>113</v>
      </c>
      <c r="C44" s="1">
        <v>44810</v>
      </c>
      <c r="D44" t="s">
        <v>114</v>
      </c>
      <c r="E44" t="s">
        <v>115</v>
      </c>
      <c r="F44" t="s">
        <v>11</v>
      </c>
      <c r="G44" t="s">
        <v>30</v>
      </c>
    </row>
    <row r="45" spans="1:7" x14ac:dyDescent="0.2">
      <c r="A45">
        <v>7357</v>
      </c>
      <c r="B45" t="s">
        <v>116</v>
      </c>
      <c r="C45" s="1">
        <v>44805</v>
      </c>
      <c r="D45" t="s">
        <v>117</v>
      </c>
      <c r="E45" t="s">
        <v>60</v>
      </c>
      <c r="F45" t="s">
        <v>11</v>
      </c>
      <c r="G45" t="s">
        <v>107</v>
      </c>
    </row>
    <row r="46" spans="1:7" x14ac:dyDescent="0.2">
      <c r="A46">
        <v>7385</v>
      </c>
      <c r="B46" t="s">
        <v>118</v>
      </c>
      <c r="C46" s="1">
        <v>44805</v>
      </c>
      <c r="D46" t="s">
        <v>119</v>
      </c>
      <c r="E46" t="s">
        <v>10</v>
      </c>
      <c r="F46" t="s">
        <v>34</v>
      </c>
      <c r="G46" t="s">
        <v>38</v>
      </c>
    </row>
    <row r="47" spans="1:7" x14ac:dyDescent="0.2">
      <c r="A47">
        <v>7376</v>
      </c>
      <c r="B47" t="s">
        <v>120</v>
      </c>
      <c r="C47" s="1">
        <v>44804</v>
      </c>
      <c r="D47" t="s">
        <v>121</v>
      </c>
      <c r="E47" t="s">
        <v>54</v>
      </c>
      <c r="F47" t="s">
        <v>11</v>
      </c>
      <c r="G47" t="s">
        <v>30</v>
      </c>
    </row>
    <row r="48" spans="1:7" x14ac:dyDescent="0.2">
      <c r="A48">
        <v>7359</v>
      </c>
      <c r="B48" t="s">
        <v>122</v>
      </c>
      <c r="C48" s="1">
        <v>44802</v>
      </c>
      <c r="D48" t="s">
        <v>123</v>
      </c>
      <c r="E48" t="s">
        <v>124</v>
      </c>
      <c r="F48" t="s">
        <v>22</v>
      </c>
      <c r="G48" t="s">
        <v>38</v>
      </c>
    </row>
    <row r="49" spans="1:7" x14ac:dyDescent="0.2">
      <c r="A49">
        <v>7449</v>
      </c>
      <c r="B49" t="s">
        <v>125</v>
      </c>
      <c r="C49" s="1">
        <v>44802</v>
      </c>
      <c r="D49" t="s">
        <v>126</v>
      </c>
      <c r="E49" t="s">
        <v>71</v>
      </c>
      <c r="F49" t="s">
        <v>22</v>
      </c>
      <c r="G49" t="s">
        <v>127</v>
      </c>
    </row>
    <row r="50" spans="1:7" x14ac:dyDescent="0.2">
      <c r="A50">
        <v>7305</v>
      </c>
      <c r="B50" t="s">
        <v>128</v>
      </c>
      <c r="C50" s="1">
        <v>44785</v>
      </c>
      <c r="D50" t="s">
        <v>129</v>
      </c>
      <c r="E50" t="s">
        <v>124</v>
      </c>
      <c r="F50" t="s">
        <v>11</v>
      </c>
      <c r="G50" t="s">
        <v>38</v>
      </c>
    </row>
    <row r="51" spans="1:7" x14ac:dyDescent="0.2">
      <c r="A51">
        <v>7306</v>
      </c>
      <c r="B51" t="s">
        <v>130</v>
      </c>
      <c r="C51" s="1">
        <v>44784</v>
      </c>
      <c r="D51" t="s">
        <v>131</v>
      </c>
      <c r="E51" t="s">
        <v>21</v>
      </c>
      <c r="F51" t="s">
        <v>11</v>
      </c>
      <c r="G51" t="s">
        <v>132</v>
      </c>
    </row>
    <row r="52" spans="1:7" x14ac:dyDescent="0.2">
      <c r="A52">
        <v>7325</v>
      </c>
      <c r="B52" t="s">
        <v>133</v>
      </c>
      <c r="C52" s="1">
        <v>44784</v>
      </c>
      <c r="D52" t="s">
        <v>134</v>
      </c>
      <c r="E52" t="s">
        <v>71</v>
      </c>
      <c r="F52" t="s">
        <v>22</v>
      </c>
      <c r="G52" t="s">
        <v>135</v>
      </c>
    </row>
    <row r="53" spans="1:7" x14ac:dyDescent="0.2">
      <c r="A53">
        <v>7296</v>
      </c>
      <c r="B53" t="s">
        <v>136</v>
      </c>
      <c r="C53" s="1">
        <v>44781</v>
      </c>
      <c r="D53" t="s">
        <v>137</v>
      </c>
      <c r="E53" t="s">
        <v>51</v>
      </c>
      <c r="F53" t="s">
        <v>34</v>
      </c>
      <c r="G53" t="s">
        <v>38</v>
      </c>
    </row>
    <row r="54" spans="1:7" x14ac:dyDescent="0.2">
      <c r="A54">
        <v>7285</v>
      </c>
      <c r="B54" t="s">
        <v>138</v>
      </c>
      <c r="C54" s="1">
        <v>44776</v>
      </c>
      <c r="D54" t="s">
        <v>139</v>
      </c>
      <c r="E54" t="s">
        <v>99</v>
      </c>
      <c r="F54" t="s">
        <v>22</v>
      </c>
      <c r="G54" t="s">
        <v>38</v>
      </c>
    </row>
    <row r="55" spans="1:7" x14ac:dyDescent="0.2">
      <c r="A55">
        <v>7265</v>
      </c>
      <c r="B55" t="s">
        <v>140</v>
      </c>
      <c r="C55" s="1">
        <v>44754</v>
      </c>
      <c r="D55" t="s">
        <v>141</v>
      </c>
      <c r="E55" t="s">
        <v>142</v>
      </c>
      <c r="F55" t="s">
        <v>22</v>
      </c>
      <c r="G55" t="s">
        <v>78</v>
      </c>
    </row>
    <row r="56" spans="1:7" x14ac:dyDescent="0.2">
      <c r="A56">
        <v>7243</v>
      </c>
      <c r="B56" t="s">
        <v>143</v>
      </c>
      <c r="C56" s="1">
        <v>44750</v>
      </c>
      <c r="D56" t="s">
        <v>144</v>
      </c>
      <c r="E56" t="s">
        <v>51</v>
      </c>
      <c r="F56" t="s">
        <v>37</v>
      </c>
      <c r="G56" t="s">
        <v>38</v>
      </c>
    </row>
    <row r="57" spans="1:7" x14ac:dyDescent="0.2">
      <c r="A57">
        <v>7223</v>
      </c>
      <c r="B57" t="s">
        <v>145</v>
      </c>
      <c r="C57" s="1">
        <v>44741</v>
      </c>
      <c r="D57" t="s">
        <v>146</v>
      </c>
      <c r="E57" t="s">
        <v>33</v>
      </c>
      <c r="F57" t="s">
        <v>22</v>
      </c>
      <c r="G57" t="s">
        <v>38</v>
      </c>
    </row>
    <row r="58" spans="1:7" x14ac:dyDescent="0.2">
      <c r="A58">
        <v>7196</v>
      </c>
      <c r="B58" t="s">
        <v>147</v>
      </c>
      <c r="C58" s="1">
        <v>44733</v>
      </c>
      <c r="D58" t="s">
        <v>148</v>
      </c>
      <c r="E58" t="s">
        <v>149</v>
      </c>
      <c r="F58" t="s">
        <v>11</v>
      </c>
      <c r="G58" t="s">
        <v>135</v>
      </c>
    </row>
    <row r="59" spans="1:7" x14ac:dyDescent="0.2">
      <c r="A59">
        <v>7205</v>
      </c>
      <c r="B59" t="s">
        <v>150</v>
      </c>
      <c r="C59" s="1">
        <v>44733</v>
      </c>
      <c r="D59" t="s">
        <v>151</v>
      </c>
      <c r="F59" t="s">
        <v>11</v>
      </c>
      <c r="G59" t="s">
        <v>152</v>
      </c>
    </row>
    <row r="60" spans="1:7" x14ac:dyDescent="0.2">
      <c r="A60">
        <v>7177</v>
      </c>
      <c r="B60" t="s">
        <v>153</v>
      </c>
      <c r="C60" s="1">
        <v>44725</v>
      </c>
      <c r="D60" t="s">
        <v>154</v>
      </c>
      <c r="E60" t="s">
        <v>51</v>
      </c>
      <c r="F60" t="s">
        <v>34</v>
      </c>
      <c r="G60" t="s">
        <v>38</v>
      </c>
    </row>
    <row r="61" spans="1:7" x14ac:dyDescent="0.2">
      <c r="A61">
        <v>7157</v>
      </c>
      <c r="B61" t="s">
        <v>155</v>
      </c>
      <c r="C61" s="1">
        <v>44720</v>
      </c>
      <c r="D61" t="s">
        <v>156</v>
      </c>
      <c r="F61" t="s">
        <v>48</v>
      </c>
      <c r="G61" t="s">
        <v>91</v>
      </c>
    </row>
    <row r="62" spans="1:7" x14ac:dyDescent="0.2">
      <c r="A62">
        <v>7155</v>
      </c>
      <c r="B62" t="s">
        <v>157</v>
      </c>
      <c r="C62" s="1">
        <v>44719</v>
      </c>
      <c r="D62" t="s">
        <v>158</v>
      </c>
      <c r="E62" t="s">
        <v>29</v>
      </c>
      <c r="F62" t="s">
        <v>11</v>
      </c>
      <c r="G62" t="s">
        <v>159</v>
      </c>
    </row>
    <row r="63" spans="1:7" x14ac:dyDescent="0.2">
      <c r="A63">
        <v>7162</v>
      </c>
      <c r="B63" t="s">
        <v>160</v>
      </c>
      <c r="C63" s="1">
        <v>44713</v>
      </c>
      <c r="D63" t="s">
        <v>161</v>
      </c>
      <c r="E63" t="s">
        <v>54</v>
      </c>
      <c r="F63" t="s">
        <v>48</v>
      </c>
      <c r="G63" t="s">
        <v>132</v>
      </c>
    </row>
    <row r="64" spans="1:7" x14ac:dyDescent="0.2">
      <c r="A64">
        <v>7146</v>
      </c>
      <c r="B64" t="s">
        <v>162</v>
      </c>
      <c r="C64" s="1">
        <v>44701</v>
      </c>
      <c r="D64" t="s">
        <v>163</v>
      </c>
      <c r="E64" t="s">
        <v>51</v>
      </c>
      <c r="F64" t="s">
        <v>11</v>
      </c>
      <c r="G64" t="s">
        <v>91</v>
      </c>
    </row>
    <row r="65" spans="1:7" x14ac:dyDescent="0.2">
      <c r="A65">
        <v>7104</v>
      </c>
      <c r="B65" t="s">
        <v>164</v>
      </c>
      <c r="C65" s="1">
        <v>44684</v>
      </c>
      <c r="D65" t="s">
        <v>165</v>
      </c>
      <c r="E65" t="s">
        <v>51</v>
      </c>
      <c r="F65" t="s">
        <v>11</v>
      </c>
      <c r="G65" t="s">
        <v>30</v>
      </c>
    </row>
    <row r="66" spans="1:7" x14ac:dyDescent="0.2">
      <c r="A66">
        <v>7084</v>
      </c>
      <c r="B66" t="s">
        <v>166</v>
      </c>
      <c r="C66" s="1">
        <v>44680</v>
      </c>
      <c r="D66" t="s">
        <v>167</v>
      </c>
      <c r="E66" t="s">
        <v>51</v>
      </c>
      <c r="F66" t="s">
        <v>11</v>
      </c>
      <c r="G66" t="s">
        <v>30</v>
      </c>
    </row>
    <row r="67" spans="1:7" x14ac:dyDescent="0.2">
      <c r="A67">
        <v>7066</v>
      </c>
      <c r="B67" t="s">
        <v>168</v>
      </c>
      <c r="C67" s="1">
        <v>44671</v>
      </c>
      <c r="D67" t="s">
        <v>169</v>
      </c>
      <c r="E67" t="s">
        <v>51</v>
      </c>
      <c r="F67" t="s">
        <v>34</v>
      </c>
      <c r="G67" t="s">
        <v>38</v>
      </c>
    </row>
    <row r="68" spans="1:7" x14ac:dyDescent="0.2">
      <c r="A68">
        <v>7060</v>
      </c>
      <c r="B68" t="s">
        <v>170</v>
      </c>
      <c r="C68" s="1">
        <v>44669</v>
      </c>
      <c r="D68" t="s">
        <v>171</v>
      </c>
      <c r="E68" t="s">
        <v>172</v>
      </c>
      <c r="F68" t="s">
        <v>11</v>
      </c>
      <c r="G68" t="s">
        <v>173</v>
      </c>
    </row>
    <row r="69" spans="1:7" x14ac:dyDescent="0.2">
      <c r="A69">
        <v>7040</v>
      </c>
      <c r="B69" t="s">
        <v>174</v>
      </c>
      <c r="C69" s="1">
        <v>44659</v>
      </c>
      <c r="D69" t="s">
        <v>175</v>
      </c>
      <c r="E69" t="s">
        <v>60</v>
      </c>
      <c r="F69" t="s">
        <v>11</v>
      </c>
      <c r="G69" t="s">
        <v>30</v>
      </c>
    </row>
    <row r="70" spans="1:7" x14ac:dyDescent="0.2">
      <c r="A70">
        <v>7031</v>
      </c>
      <c r="B70" t="s">
        <v>176</v>
      </c>
      <c r="C70" s="1">
        <v>44657</v>
      </c>
      <c r="D70" t="s">
        <v>177</v>
      </c>
      <c r="F70" t="s">
        <v>11</v>
      </c>
      <c r="G70" t="s">
        <v>30</v>
      </c>
    </row>
    <row r="71" spans="1:7" x14ac:dyDescent="0.2">
      <c r="A71">
        <v>7033</v>
      </c>
      <c r="B71" t="s">
        <v>178</v>
      </c>
      <c r="C71" s="1">
        <v>44657</v>
      </c>
      <c r="D71" t="s">
        <v>179</v>
      </c>
      <c r="E71" t="s">
        <v>51</v>
      </c>
      <c r="F71" t="s">
        <v>11</v>
      </c>
      <c r="G71" t="s">
        <v>38</v>
      </c>
    </row>
    <row r="72" spans="1:7" x14ac:dyDescent="0.2">
      <c r="A72">
        <v>7024</v>
      </c>
      <c r="B72" t="s">
        <v>180</v>
      </c>
      <c r="C72" s="1">
        <v>44652</v>
      </c>
      <c r="D72" t="s">
        <v>181</v>
      </c>
      <c r="E72" t="s">
        <v>182</v>
      </c>
      <c r="F72" t="s">
        <v>11</v>
      </c>
      <c r="G72" t="s">
        <v>30</v>
      </c>
    </row>
    <row r="73" spans="1:7" x14ac:dyDescent="0.2">
      <c r="A73">
        <v>6999</v>
      </c>
      <c r="B73" t="s">
        <v>183</v>
      </c>
      <c r="C73" s="1">
        <v>44636</v>
      </c>
      <c r="D73" t="s">
        <v>184</v>
      </c>
      <c r="E73" t="s">
        <v>21</v>
      </c>
      <c r="F73" t="s">
        <v>48</v>
      </c>
      <c r="G73" t="s">
        <v>185</v>
      </c>
    </row>
    <row r="74" spans="1:7" x14ac:dyDescent="0.2">
      <c r="A74">
        <v>6944</v>
      </c>
      <c r="B74" t="s">
        <v>186</v>
      </c>
      <c r="C74" s="1">
        <v>44620</v>
      </c>
      <c r="D74" t="s">
        <v>187</v>
      </c>
      <c r="E74" t="s">
        <v>68</v>
      </c>
      <c r="F74" t="s">
        <v>22</v>
      </c>
      <c r="G74" t="s">
        <v>38</v>
      </c>
    </row>
    <row r="75" spans="1:7" x14ac:dyDescent="0.2">
      <c r="A75">
        <v>6926</v>
      </c>
      <c r="B75" t="s">
        <v>188</v>
      </c>
      <c r="C75" s="1">
        <v>44616</v>
      </c>
      <c r="D75" t="s">
        <v>189</v>
      </c>
      <c r="E75" t="s">
        <v>190</v>
      </c>
      <c r="F75" t="s">
        <v>11</v>
      </c>
      <c r="G75" t="s">
        <v>135</v>
      </c>
    </row>
    <row r="76" spans="1:7" x14ac:dyDescent="0.2">
      <c r="A76">
        <v>6919</v>
      </c>
      <c r="B76" t="s">
        <v>191</v>
      </c>
      <c r="C76" s="1">
        <v>44615</v>
      </c>
      <c r="D76" t="s">
        <v>192</v>
      </c>
      <c r="E76" t="s">
        <v>51</v>
      </c>
      <c r="F76" t="s">
        <v>11</v>
      </c>
      <c r="G76" t="s">
        <v>193</v>
      </c>
    </row>
    <row r="77" spans="1:7" x14ac:dyDescent="0.2">
      <c r="A77">
        <v>6885</v>
      </c>
      <c r="B77" t="s">
        <v>194</v>
      </c>
      <c r="C77" s="1">
        <v>44607</v>
      </c>
      <c r="D77" t="s">
        <v>195</v>
      </c>
      <c r="E77" t="s">
        <v>51</v>
      </c>
      <c r="F77" t="s">
        <v>22</v>
      </c>
      <c r="G77" t="s">
        <v>30</v>
      </c>
    </row>
    <row r="78" spans="1:7" x14ac:dyDescent="0.2">
      <c r="A78">
        <v>6871</v>
      </c>
      <c r="B78" t="s">
        <v>196</v>
      </c>
      <c r="C78" s="1">
        <v>44601</v>
      </c>
      <c r="D78" t="s">
        <v>197</v>
      </c>
      <c r="E78" t="s">
        <v>51</v>
      </c>
      <c r="F78" t="s">
        <v>22</v>
      </c>
      <c r="G78" t="s">
        <v>55</v>
      </c>
    </row>
    <row r="79" spans="1:7" x14ac:dyDescent="0.2">
      <c r="A79">
        <v>6828</v>
      </c>
      <c r="B79" t="s">
        <v>198</v>
      </c>
      <c r="C79" s="1">
        <v>44587</v>
      </c>
      <c r="D79" t="s">
        <v>199</v>
      </c>
      <c r="E79" t="s">
        <v>29</v>
      </c>
      <c r="F79" t="s">
        <v>22</v>
      </c>
      <c r="G79" t="s">
        <v>38</v>
      </c>
    </row>
    <row r="80" spans="1:7" x14ac:dyDescent="0.2">
      <c r="A80">
        <v>6776</v>
      </c>
      <c r="B80" t="s">
        <v>200</v>
      </c>
      <c r="C80" s="1">
        <v>44567</v>
      </c>
      <c r="D80" t="s">
        <v>201</v>
      </c>
      <c r="E80" t="s">
        <v>51</v>
      </c>
      <c r="F80" t="s">
        <v>22</v>
      </c>
      <c r="G80" t="s">
        <v>38</v>
      </c>
    </row>
    <row r="81" spans="1:7" x14ac:dyDescent="0.2">
      <c r="A81">
        <v>6747</v>
      </c>
      <c r="B81" t="s">
        <v>202</v>
      </c>
      <c r="C81" s="1">
        <v>44547</v>
      </c>
      <c r="D81" t="s">
        <v>203</v>
      </c>
      <c r="E81" t="s">
        <v>124</v>
      </c>
      <c r="F81" t="s">
        <v>22</v>
      </c>
      <c r="G81" t="s">
        <v>78</v>
      </c>
    </row>
    <row r="82" spans="1:7" x14ac:dyDescent="0.2">
      <c r="A82">
        <v>6642</v>
      </c>
      <c r="B82" t="s">
        <v>204</v>
      </c>
      <c r="C82" s="1">
        <v>44508</v>
      </c>
      <c r="D82" t="s">
        <v>205</v>
      </c>
      <c r="E82" t="s">
        <v>21</v>
      </c>
      <c r="F82" t="s">
        <v>34</v>
      </c>
      <c r="G82" t="s">
        <v>38</v>
      </c>
    </row>
    <row r="83" spans="1:7" x14ac:dyDescent="0.2">
      <c r="A83">
        <v>6606</v>
      </c>
      <c r="B83" t="s">
        <v>206</v>
      </c>
      <c r="C83" s="1">
        <v>44501</v>
      </c>
      <c r="D83" t="s">
        <v>207</v>
      </c>
      <c r="E83" t="s">
        <v>190</v>
      </c>
      <c r="F83" t="s">
        <v>11</v>
      </c>
      <c r="G83" t="s">
        <v>78</v>
      </c>
    </row>
    <row r="84" spans="1:7" x14ac:dyDescent="0.2">
      <c r="A84">
        <v>6664</v>
      </c>
      <c r="B84" t="s">
        <v>208</v>
      </c>
      <c r="C84" s="1">
        <v>44490</v>
      </c>
      <c r="D84" t="s">
        <v>209</v>
      </c>
      <c r="E84" t="s">
        <v>10</v>
      </c>
      <c r="F84" t="s">
        <v>11</v>
      </c>
      <c r="G84" t="s">
        <v>91</v>
      </c>
    </row>
    <row r="85" spans="1:7" x14ac:dyDescent="0.2">
      <c r="A85">
        <v>6435</v>
      </c>
      <c r="B85" t="s">
        <v>210</v>
      </c>
      <c r="C85" s="1">
        <v>44489</v>
      </c>
      <c r="D85" t="s">
        <v>211</v>
      </c>
      <c r="F85" t="s">
        <v>11</v>
      </c>
      <c r="G85" t="s">
        <v>152</v>
      </c>
    </row>
    <row r="86" spans="1:7" x14ac:dyDescent="0.2">
      <c r="A86">
        <v>6436</v>
      </c>
      <c r="B86" t="s">
        <v>212</v>
      </c>
      <c r="C86" s="1">
        <v>44489</v>
      </c>
      <c r="D86" t="s">
        <v>213</v>
      </c>
      <c r="F86" t="s">
        <v>11</v>
      </c>
      <c r="G86" t="s">
        <v>107</v>
      </c>
    </row>
    <row r="87" spans="1:7" x14ac:dyDescent="0.2">
      <c r="A87">
        <v>6556</v>
      </c>
      <c r="B87" t="s">
        <v>214</v>
      </c>
      <c r="C87" s="1">
        <v>44489</v>
      </c>
      <c r="D87" t="s">
        <v>215</v>
      </c>
      <c r="E87" t="s">
        <v>54</v>
      </c>
      <c r="F87" t="s">
        <v>11</v>
      </c>
      <c r="G87" t="s">
        <v>38</v>
      </c>
    </row>
    <row r="88" spans="1:7" x14ac:dyDescent="0.2">
      <c r="A88">
        <v>6553</v>
      </c>
      <c r="B88" t="s">
        <v>216</v>
      </c>
      <c r="C88" s="1">
        <v>44483</v>
      </c>
      <c r="D88" t="s">
        <v>217</v>
      </c>
      <c r="E88" t="s">
        <v>142</v>
      </c>
      <c r="F88" t="s">
        <v>22</v>
      </c>
      <c r="G88" t="s">
        <v>30</v>
      </c>
    </row>
    <row r="89" spans="1:7" x14ac:dyDescent="0.2">
      <c r="A89">
        <v>6358</v>
      </c>
      <c r="B89" t="s">
        <v>218</v>
      </c>
      <c r="C89" s="1">
        <v>44447</v>
      </c>
      <c r="D89" t="s">
        <v>219</v>
      </c>
      <c r="E89" t="s">
        <v>54</v>
      </c>
      <c r="F89" t="s">
        <v>11</v>
      </c>
      <c r="G89" t="s">
        <v>30</v>
      </c>
    </row>
    <row r="90" spans="1:7" x14ac:dyDescent="0.2">
      <c r="A90">
        <v>6662</v>
      </c>
      <c r="B90" t="s">
        <v>220</v>
      </c>
      <c r="C90" s="1">
        <v>44440</v>
      </c>
      <c r="D90" t="s">
        <v>221</v>
      </c>
      <c r="E90" t="s">
        <v>51</v>
      </c>
      <c r="F90" t="s">
        <v>11</v>
      </c>
      <c r="G90" t="s">
        <v>30</v>
      </c>
    </row>
    <row r="91" spans="1:7" x14ac:dyDescent="0.2">
      <c r="A91">
        <v>6326</v>
      </c>
      <c r="B91" t="s">
        <v>222</v>
      </c>
      <c r="C91" s="1">
        <v>44438</v>
      </c>
      <c r="D91" t="s">
        <v>223</v>
      </c>
      <c r="F91" t="s">
        <v>22</v>
      </c>
      <c r="G91" t="s">
        <v>224</v>
      </c>
    </row>
    <row r="92" spans="1:7" x14ac:dyDescent="0.2">
      <c r="A92">
        <v>6267</v>
      </c>
      <c r="B92" t="s">
        <v>225</v>
      </c>
      <c r="C92" s="1">
        <v>44425</v>
      </c>
      <c r="D92" t="s">
        <v>226</v>
      </c>
      <c r="E92" t="s">
        <v>124</v>
      </c>
      <c r="F92" t="s">
        <v>22</v>
      </c>
      <c r="G92" t="s">
        <v>227</v>
      </c>
    </row>
    <row r="93" spans="1:7" x14ac:dyDescent="0.2">
      <c r="A93">
        <v>6264</v>
      </c>
      <c r="B93" t="s">
        <v>228</v>
      </c>
      <c r="C93" s="1">
        <v>44424</v>
      </c>
      <c r="D93" t="s">
        <v>229</v>
      </c>
      <c r="F93" t="s">
        <v>22</v>
      </c>
      <c r="G93" t="s">
        <v>230</v>
      </c>
    </row>
    <row r="94" spans="1:7" x14ac:dyDescent="0.2">
      <c r="A94">
        <v>6180</v>
      </c>
      <c r="B94" t="s">
        <v>231</v>
      </c>
      <c r="C94" s="1">
        <v>44376</v>
      </c>
      <c r="D94" t="s">
        <v>232</v>
      </c>
      <c r="E94" t="s">
        <v>54</v>
      </c>
      <c r="F94" t="s">
        <v>34</v>
      </c>
      <c r="G94" t="s">
        <v>38</v>
      </c>
    </row>
    <row r="95" spans="1:7" x14ac:dyDescent="0.2">
      <c r="A95">
        <v>6094</v>
      </c>
      <c r="B95" t="s">
        <v>233</v>
      </c>
      <c r="C95" s="1">
        <v>44336</v>
      </c>
      <c r="D95" t="s">
        <v>234</v>
      </c>
      <c r="E95" t="s">
        <v>51</v>
      </c>
      <c r="F95" t="s">
        <v>34</v>
      </c>
      <c r="G95" t="s">
        <v>38</v>
      </c>
    </row>
    <row r="96" spans="1:7" x14ac:dyDescent="0.2">
      <c r="A96">
        <v>6083</v>
      </c>
      <c r="B96" t="s">
        <v>235</v>
      </c>
      <c r="C96" s="1">
        <v>44334</v>
      </c>
      <c r="D96" t="s">
        <v>236</v>
      </c>
      <c r="E96" t="s">
        <v>237</v>
      </c>
      <c r="F96" t="s">
        <v>11</v>
      </c>
      <c r="G96" t="s">
        <v>30</v>
      </c>
    </row>
    <row r="97" spans="1:7" x14ac:dyDescent="0.2">
      <c r="A97">
        <v>6073</v>
      </c>
      <c r="B97" t="s">
        <v>238</v>
      </c>
      <c r="C97" s="1">
        <v>44333</v>
      </c>
      <c r="D97" t="s">
        <v>239</v>
      </c>
      <c r="F97" t="s">
        <v>22</v>
      </c>
      <c r="G97" t="s">
        <v>112</v>
      </c>
    </row>
    <row r="98" spans="1:7" x14ac:dyDescent="0.2">
      <c r="A98">
        <v>6078</v>
      </c>
      <c r="B98" t="s">
        <v>240</v>
      </c>
      <c r="C98" s="1">
        <v>44333</v>
      </c>
      <c r="D98" t="s">
        <v>241</v>
      </c>
      <c r="E98" t="s">
        <v>142</v>
      </c>
      <c r="F98" t="s">
        <v>34</v>
      </c>
      <c r="G98" t="s">
        <v>227</v>
      </c>
    </row>
    <row r="99" spans="1:7" x14ac:dyDescent="0.2">
      <c r="A99">
        <v>6033</v>
      </c>
      <c r="B99" t="s">
        <v>242</v>
      </c>
      <c r="C99" s="1">
        <v>44321</v>
      </c>
      <c r="D99" t="s">
        <v>243</v>
      </c>
      <c r="E99" t="s">
        <v>51</v>
      </c>
      <c r="F99" t="s">
        <v>34</v>
      </c>
      <c r="G99" t="s">
        <v>38</v>
      </c>
    </row>
    <row r="100" spans="1:7" x14ac:dyDescent="0.2">
      <c r="A100">
        <v>6028</v>
      </c>
      <c r="B100" t="s">
        <v>244</v>
      </c>
      <c r="C100" s="1">
        <v>44319</v>
      </c>
      <c r="D100" t="s">
        <v>245</v>
      </c>
      <c r="E100" t="s">
        <v>10</v>
      </c>
      <c r="F100" t="s">
        <v>11</v>
      </c>
      <c r="G100" t="s">
        <v>12</v>
      </c>
    </row>
    <row r="101" spans="1:7" x14ac:dyDescent="0.2">
      <c r="A101">
        <v>6008</v>
      </c>
      <c r="B101" t="s">
        <v>246</v>
      </c>
      <c r="C101" s="1">
        <v>44314</v>
      </c>
      <c r="D101" t="s">
        <v>247</v>
      </c>
      <c r="E101" t="s">
        <v>51</v>
      </c>
      <c r="F101" t="s">
        <v>11</v>
      </c>
      <c r="G101" t="s">
        <v>38</v>
      </c>
    </row>
    <row r="102" spans="1:7" x14ac:dyDescent="0.2">
      <c r="A102">
        <v>5979</v>
      </c>
      <c r="B102" t="s">
        <v>248</v>
      </c>
      <c r="C102" s="1">
        <v>44309</v>
      </c>
      <c r="D102" t="s">
        <v>249</v>
      </c>
      <c r="E102" t="s">
        <v>21</v>
      </c>
      <c r="F102" t="s">
        <v>22</v>
      </c>
      <c r="G102" t="s">
        <v>30</v>
      </c>
    </row>
    <row r="103" spans="1:7" x14ac:dyDescent="0.2">
      <c r="A103">
        <v>5958</v>
      </c>
      <c r="B103" t="s">
        <v>250</v>
      </c>
      <c r="C103" s="1">
        <v>44305</v>
      </c>
      <c r="D103" t="s">
        <v>251</v>
      </c>
      <c r="F103" t="s">
        <v>11</v>
      </c>
      <c r="G103" t="s">
        <v>55</v>
      </c>
    </row>
    <row r="104" spans="1:7" x14ac:dyDescent="0.2">
      <c r="A104">
        <v>6010</v>
      </c>
      <c r="B104" t="s">
        <v>252</v>
      </c>
      <c r="C104" s="1">
        <v>44303</v>
      </c>
      <c r="D104" t="s">
        <v>253</v>
      </c>
      <c r="F104" t="s">
        <v>11</v>
      </c>
      <c r="G104" t="s">
        <v>30</v>
      </c>
    </row>
    <row r="105" spans="1:7" x14ac:dyDescent="0.2">
      <c r="A105">
        <v>5939</v>
      </c>
      <c r="B105" t="s">
        <v>254</v>
      </c>
      <c r="C105" s="1">
        <v>44298</v>
      </c>
      <c r="D105" t="s">
        <v>255</v>
      </c>
      <c r="E105" t="s">
        <v>99</v>
      </c>
      <c r="F105" t="s">
        <v>22</v>
      </c>
      <c r="G105" t="s">
        <v>30</v>
      </c>
    </row>
    <row r="106" spans="1:7" x14ac:dyDescent="0.2">
      <c r="A106">
        <v>5920</v>
      </c>
      <c r="B106" t="s">
        <v>256</v>
      </c>
      <c r="C106" s="1">
        <v>44288</v>
      </c>
      <c r="D106" t="s">
        <v>257</v>
      </c>
      <c r="E106" t="s">
        <v>17</v>
      </c>
      <c r="F106" t="s">
        <v>11</v>
      </c>
      <c r="G106" t="s">
        <v>23</v>
      </c>
    </row>
    <row r="107" spans="1:7" x14ac:dyDescent="0.2">
      <c r="A107">
        <v>5906</v>
      </c>
      <c r="B107" t="s">
        <v>258</v>
      </c>
      <c r="C107" s="1">
        <v>44280</v>
      </c>
      <c r="D107" t="s">
        <v>259</v>
      </c>
      <c r="E107" t="s">
        <v>21</v>
      </c>
      <c r="F107" t="s">
        <v>11</v>
      </c>
      <c r="G107" t="s">
        <v>132</v>
      </c>
    </row>
    <row r="108" spans="1:7" x14ac:dyDescent="0.2">
      <c r="A108">
        <v>5904</v>
      </c>
      <c r="B108" t="s">
        <v>260</v>
      </c>
      <c r="C108" s="1">
        <v>44279</v>
      </c>
      <c r="D108" t="s">
        <v>261</v>
      </c>
      <c r="E108" t="s">
        <v>51</v>
      </c>
      <c r="F108" t="s">
        <v>22</v>
      </c>
      <c r="G108" t="s">
        <v>30</v>
      </c>
    </row>
    <row r="109" spans="1:7" x14ac:dyDescent="0.2">
      <c r="A109">
        <v>5883</v>
      </c>
      <c r="B109" t="s">
        <v>262</v>
      </c>
      <c r="C109" s="1">
        <v>44273</v>
      </c>
      <c r="D109" t="s">
        <v>263</v>
      </c>
      <c r="E109" t="s">
        <v>60</v>
      </c>
      <c r="F109" t="s">
        <v>11</v>
      </c>
      <c r="G109" t="s">
        <v>30</v>
      </c>
    </row>
    <row r="110" spans="1:7" x14ac:dyDescent="0.2">
      <c r="A110">
        <v>5863</v>
      </c>
      <c r="B110" t="s">
        <v>264</v>
      </c>
      <c r="C110" s="1">
        <v>44270</v>
      </c>
      <c r="D110" t="s">
        <v>265</v>
      </c>
      <c r="E110" t="s">
        <v>21</v>
      </c>
      <c r="F110" t="s">
        <v>11</v>
      </c>
      <c r="G110" t="s">
        <v>30</v>
      </c>
    </row>
    <row r="111" spans="1:7" x14ac:dyDescent="0.2">
      <c r="A111">
        <v>5864</v>
      </c>
      <c r="B111" t="s">
        <v>266</v>
      </c>
      <c r="C111" s="1">
        <v>44267</v>
      </c>
      <c r="D111" t="s">
        <v>267</v>
      </c>
      <c r="E111" t="s">
        <v>71</v>
      </c>
      <c r="F111" t="s">
        <v>37</v>
      </c>
      <c r="G111" t="s">
        <v>38</v>
      </c>
    </row>
    <row r="112" spans="1:7" x14ac:dyDescent="0.2">
      <c r="A112">
        <v>5842</v>
      </c>
      <c r="B112" t="s">
        <v>268</v>
      </c>
      <c r="C112" s="1">
        <v>44245</v>
      </c>
      <c r="D112" t="s">
        <v>269</v>
      </c>
      <c r="E112" t="s">
        <v>21</v>
      </c>
      <c r="F112" t="s">
        <v>37</v>
      </c>
      <c r="G112" t="s">
        <v>38</v>
      </c>
    </row>
    <row r="113" spans="1:7" x14ac:dyDescent="0.2">
      <c r="A113">
        <v>5806</v>
      </c>
      <c r="B113" t="s">
        <v>270</v>
      </c>
      <c r="C113" s="1">
        <v>44228</v>
      </c>
      <c r="D113" t="s">
        <v>271</v>
      </c>
      <c r="E113" t="s">
        <v>272</v>
      </c>
      <c r="F113" t="s">
        <v>11</v>
      </c>
      <c r="G113" t="s">
        <v>91</v>
      </c>
    </row>
    <row r="114" spans="1:7" x14ac:dyDescent="0.2">
      <c r="A114">
        <v>5795</v>
      </c>
      <c r="B114" t="s">
        <v>273</v>
      </c>
      <c r="C114" s="1">
        <v>44224</v>
      </c>
      <c r="D114" t="s">
        <v>274</v>
      </c>
      <c r="E114" t="s">
        <v>54</v>
      </c>
      <c r="F114" t="s">
        <v>37</v>
      </c>
      <c r="G114" t="s">
        <v>38</v>
      </c>
    </row>
    <row r="115" spans="1:7" x14ac:dyDescent="0.2">
      <c r="A115">
        <v>5761</v>
      </c>
      <c r="B115" t="s">
        <v>275</v>
      </c>
      <c r="C115" s="1">
        <v>44211</v>
      </c>
      <c r="D115" t="s">
        <v>276</v>
      </c>
      <c r="E115" t="s">
        <v>17</v>
      </c>
      <c r="F115" t="s">
        <v>22</v>
      </c>
      <c r="G115" t="s">
        <v>38</v>
      </c>
    </row>
    <row r="116" spans="1:7" x14ac:dyDescent="0.2">
      <c r="A116">
        <v>5726</v>
      </c>
      <c r="B116" t="s">
        <v>277</v>
      </c>
      <c r="C116" s="1">
        <v>44186</v>
      </c>
      <c r="D116" t="s">
        <v>278</v>
      </c>
      <c r="E116" t="s">
        <v>29</v>
      </c>
      <c r="F116" t="s">
        <v>37</v>
      </c>
      <c r="G116" t="s">
        <v>30</v>
      </c>
    </row>
    <row r="117" spans="1:7" x14ac:dyDescent="0.2">
      <c r="A117">
        <v>5732</v>
      </c>
      <c r="B117" t="s">
        <v>279</v>
      </c>
      <c r="C117" s="1">
        <v>44186</v>
      </c>
      <c r="D117" t="s">
        <v>280</v>
      </c>
      <c r="E117" t="s">
        <v>10</v>
      </c>
      <c r="F117" t="s">
        <v>22</v>
      </c>
      <c r="G117" t="s">
        <v>127</v>
      </c>
    </row>
    <row r="118" spans="1:7" x14ac:dyDescent="0.2">
      <c r="A118">
        <v>5678</v>
      </c>
      <c r="B118" t="s">
        <v>281</v>
      </c>
      <c r="C118" s="1">
        <v>44179</v>
      </c>
      <c r="D118" t="s">
        <v>282</v>
      </c>
      <c r="E118" t="s">
        <v>10</v>
      </c>
      <c r="F118" t="s">
        <v>37</v>
      </c>
      <c r="G118" t="s">
        <v>283</v>
      </c>
    </row>
    <row r="119" spans="1:7" x14ac:dyDescent="0.2">
      <c r="A119">
        <v>5624</v>
      </c>
      <c r="B119" t="s">
        <v>284</v>
      </c>
      <c r="C119" s="1">
        <v>44165</v>
      </c>
      <c r="D119" t="s">
        <v>285</v>
      </c>
      <c r="F119" t="s">
        <v>11</v>
      </c>
      <c r="G119" t="s">
        <v>30</v>
      </c>
    </row>
    <row r="120" spans="1:7" x14ac:dyDescent="0.2">
      <c r="A120">
        <v>5606</v>
      </c>
      <c r="B120" t="s">
        <v>286</v>
      </c>
      <c r="C120" s="1">
        <v>44158</v>
      </c>
      <c r="D120" t="s">
        <v>287</v>
      </c>
      <c r="E120" t="s">
        <v>288</v>
      </c>
      <c r="F120" t="s">
        <v>11</v>
      </c>
      <c r="G120" t="s">
        <v>38</v>
      </c>
    </row>
    <row r="121" spans="1:7" x14ac:dyDescent="0.2">
      <c r="A121">
        <v>5641</v>
      </c>
      <c r="B121" t="s">
        <v>289</v>
      </c>
      <c r="C121" s="1">
        <v>44151</v>
      </c>
      <c r="D121" t="s">
        <v>290</v>
      </c>
      <c r="E121" t="s">
        <v>33</v>
      </c>
      <c r="F121" t="s">
        <v>11</v>
      </c>
      <c r="G121" t="s">
        <v>159</v>
      </c>
    </row>
    <row r="122" spans="1:7" x14ac:dyDescent="0.2">
      <c r="A122">
        <v>5578</v>
      </c>
      <c r="B122" t="s">
        <v>291</v>
      </c>
      <c r="C122" s="1">
        <v>44147</v>
      </c>
      <c r="D122" t="s">
        <v>292</v>
      </c>
      <c r="E122" t="s">
        <v>54</v>
      </c>
      <c r="F122" t="s">
        <v>37</v>
      </c>
      <c r="G122" t="s">
        <v>38</v>
      </c>
    </row>
    <row r="123" spans="1:7" x14ac:dyDescent="0.2">
      <c r="A123">
        <v>5537</v>
      </c>
      <c r="B123" t="s">
        <v>293</v>
      </c>
      <c r="C123" s="1">
        <v>44138</v>
      </c>
      <c r="D123" t="s">
        <v>294</v>
      </c>
      <c r="F123" t="s">
        <v>11</v>
      </c>
      <c r="G123" t="s">
        <v>91</v>
      </c>
    </row>
    <row r="124" spans="1:7" x14ac:dyDescent="0.2">
      <c r="A124">
        <v>5535</v>
      </c>
      <c r="B124" t="s">
        <v>295</v>
      </c>
      <c r="C124" s="1">
        <v>44134</v>
      </c>
      <c r="D124" t="s">
        <v>296</v>
      </c>
      <c r="E124" t="s">
        <v>60</v>
      </c>
      <c r="F124" t="s">
        <v>11</v>
      </c>
      <c r="G124" t="s">
        <v>297</v>
      </c>
    </row>
    <row r="125" spans="1:7" x14ac:dyDescent="0.2">
      <c r="A125">
        <v>5523</v>
      </c>
      <c r="B125" t="s">
        <v>298</v>
      </c>
      <c r="C125" s="1">
        <v>44133</v>
      </c>
      <c r="D125" t="s">
        <v>299</v>
      </c>
      <c r="E125" t="s">
        <v>21</v>
      </c>
      <c r="F125" t="s">
        <v>22</v>
      </c>
      <c r="G125" t="s">
        <v>38</v>
      </c>
    </row>
    <row r="126" spans="1:7" x14ac:dyDescent="0.2">
      <c r="A126">
        <v>5526</v>
      </c>
      <c r="B126" t="s">
        <v>300</v>
      </c>
      <c r="C126" s="1">
        <v>44132</v>
      </c>
      <c r="D126" t="s">
        <v>301</v>
      </c>
      <c r="F126" t="s">
        <v>11</v>
      </c>
      <c r="G126" t="s">
        <v>302</v>
      </c>
    </row>
    <row r="127" spans="1:7" x14ac:dyDescent="0.2">
      <c r="A127">
        <v>5759</v>
      </c>
      <c r="B127" t="s">
        <v>303</v>
      </c>
      <c r="C127" s="1">
        <v>44129</v>
      </c>
      <c r="D127" t="s">
        <v>304</v>
      </c>
      <c r="E127" t="s">
        <v>21</v>
      </c>
      <c r="F127" t="s">
        <v>11</v>
      </c>
      <c r="G127" t="s">
        <v>30</v>
      </c>
    </row>
    <row r="128" spans="1:7" x14ac:dyDescent="0.2">
      <c r="A128">
        <v>5446</v>
      </c>
      <c r="B128" t="s">
        <v>305</v>
      </c>
      <c r="C128" s="1">
        <v>44124</v>
      </c>
      <c r="D128" t="s">
        <v>306</v>
      </c>
      <c r="E128" t="s">
        <v>33</v>
      </c>
      <c r="F128" t="s">
        <v>11</v>
      </c>
      <c r="G128" t="s">
        <v>38</v>
      </c>
    </row>
    <row r="129" spans="1:7" x14ac:dyDescent="0.2">
      <c r="A129">
        <v>5454</v>
      </c>
      <c r="B129" t="s">
        <v>307</v>
      </c>
      <c r="C129" s="1">
        <v>44116</v>
      </c>
      <c r="D129" t="s">
        <v>308</v>
      </c>
      <c r="E129" t="s">
        <v>33</v>
      </c>
      <c r="F129" t="s">
        <v>11</v>
      </c>
      <c r="G129" t="s">
        <v>38</v>
      </c>
    </row>
    <row r="130" spans="1:7" x14ac:dyDescent="0.2">
      <c r="A130">
        <v>5382</v>
      </c>
      <c r="B130" t="s">
        <v>309</v>
      </c>
      <c r="C130" s="1">
        <v>44105</v>
      </c>
      <c r="D130" t="s">
        <v>310</v>
      </c>
      <c r="F130" t="s">
        <v>11</v>
      </c>
      <c r="G130" t="s">
        <v>302</v>
      </c>
    </row>
    <row r="131" spans="1:7" x14ac:dyDescent="0.2">
      <c r="A131">
        <v>5078</v>
      </c>
      <c r="B131" t="s">
        <v>311</v>
      </c>
      <c r="C131" s="1">
        <v>44091</v>
      </c>
      <c r="D131" t="s">
        <v>312</v>
      </c>
      <c r="F131" t="s">
        <v>11</v>
      </c>
      <c r="G131" t="s">
        <v>30</v>
      </c>
    </row>
    <row r="132" spans="1:7" x14ac:dyDescent="0.2">
      <c r="A132">
        <v>5112</v>
      </c>
      <c r="B132" t="s">
        <v>313</v>
      </c>
      <c r="C132" s="1">
        <v>44091</v>
      </c>
      <c r="D132" t="s">
        <v>314</v>
      </c>
      <c r="E132" t="s">
        <v>99</v>
      </c>
      <c r="F132" t="s">
        <v>11</v>
      </c>
      <c r="G132" t="s">
        <v>30</v>
      </c>
    </row>
    <row r="133" spans="1:7" x14ac:dyDescent="0.2">
      <c r="A133">
        <v>5094</v>
      </c>
      <c r="B133" t="s">
        <v>315</v>
      </c>
      <c r="C133" s="1">
        <v>44082</v>
      </c>
      <c r="D133" t="s">
        <v>316</v>
      </c>
      <c r="E133" t="s">
        <v>29</v>
      </c>
      <c r="F133" t="s">
        <v>11</v>
      </c>
      <c r="G133" t="s">
        <v>38</v>
      </c>
    </row>
    <row r="134" spans="1:7" x14ac:dyDescent="0.2">
      <c r="A134">
        <v>5070</v>
      </c>
      <c r="B134" t="s">
        <v>317</v>
      </c>
      <c r="C134" s="1">
        <v>44076</v>
      </c>
      <c r="D134" t="s">
        <v>318</v>
      </c>
      <c r="E134" t="s">
        <v>54</v>
      </c>
      <c r="F134" t="s">
        <v>22</v>
      </c>
      <c r="G134" t="s">
        <v>38</v>
      </c>
    </row>
    <row r="135" spans="1:7" x14ac:dyDescent="0.2">
      <c r="A135">
        <v>5038</v>
      </c>
      <c r="B135" t="s">
        <v>319</v>
      </c>
      <c r="C135" s="1">
        <v>44075</v>
      </c>
      <c r="D135" t="s">
        <v>320</v>
      </c>
      <c r="E135" t="s">
        <v>54</v>
      </c>
      <c r="F135" t="s">
        <v>11</v>
      </c>
      <c r="G135" t="s">
        <v>38</v>
      </c>
    </row>
    <row r="136" spans="1:7" x14ac:dyDescent="0.2">
      <c r="A136">
        <v>5129</v>
      </c>
      <c r="B136" t="s">
        <v>321</v>
      </c>
      <c r="C136" s="1">
        <v>44074</v>
      </c>
      <c r="D136" t="s">
        <v>322</v>
      </c>
      <c r="F136" t="s">
        <v>11</v>
      </c>
      <c r="G136" t="s">
        <v>152</v>
      </c>
    </row>
    <row r="137" spans="1:7" x14ac:dyDescent="0.2">
      <c r="A137">
        <v>5114</v>
      </c>
      <c r="B137" t="s">
        <v>323</v>
      </c>
      <c r="C137" s="1">
        <v>44057</v>
      </c>
      <c r="D137" t="s">
        <v>324</v>
      </c>
      <c r="F137" t="s">
        <v>11</v>
      </c>
      <c r="G137" t="s">
        <v>107</v>
      </c>
    </row>
    <row r="138" spans="1:7" x14ac:dyDescent="0.2">
      <c r="A138">
        <v>5025</v>
      </c>
      <c r="B138" t="s">
        <v>325</v>
      </c>
      <c r="C138" s="1">
        <v>44049</v>
      </c>
      <c r="D138" t="s">
        <v>326</v>
      </c>
      <c r="E138" t="s">
        <v>51</v>
      </c>
      <c r="F138" t="s">
        <v>11</v>
      </c>
      <c r="G138" t="s">
        <v>55</v>
      </c>
    </row>
    <row r="139" spans="1:7" x14ac:dyDescent="0.2">
      <c r="A139">
        <v>5016</v>
      </c>
      <c r="B139" t="s">
        <v>327</v>
      </c>
      <c r="C139" s="1">
        <v>44048</v>
      </c>
      <c r="D139" t="s">
        <v>328</v>
      </c>
      <c r="E139" t="s">
        <v>51</v>
      </c>
      <c r="F139" t="s">
        <v>22</v>
      </c>
      <c r="G139" t="s">
        <v>38</v>
      </c>
    </row>
    <row r="140" spans="1:7" x14ac:dyDescent="0.2">
      <c r="A140">
        <v>5003</v>
      </c>
      <c r="B140" t="s">
        <v>329</v>
      </c>
      <c r="C140" s="1">
        <v>44035</v>
      </c>
      <c r="D140" t="s">
        <v>330</v>
      </c>
      <c r="E140" t="s">
        <v>51</v>
      </c>
      <c r="F140" t="s">
        <v>22</v>
      </c>
      <c r="G140" t="s">
        <v>38</v>
      </c>
    </row>
    <row r="141" spans="1:7" x14ac:dyDescent="0.2">
      <c r="A141">
        <v>4998</v>
      </c>
      <c r="B141" t="s">
        <v>331</v>
      </c>
      <c r="C141" s="1">
        <v>44026</v>
      </c>
      <c r="D141" t="s">
        <v>332</v>
      </c>
      <c r="E141" t="s">
        <v>51</v>
      </c>
      <c r="F141" t="s">
        <v>22</v>
      </c>
      <c r="G141" t="s">
        <v>38</v>
      </c>
    </row>
    <row r="142" spans="1:7" x14ac:dyDescent="0.2">
      <c r="A142">
        <v>4964</v>
      </c>
      <c r="B142" t="s">
        <v>333</v>
      </c>
      <c r="C142" s="1">
        <v>44005</v>
      </c>
      <c r="D142" t="s">
        <v>334</v>
      </c>
      <c r="E142" t="s">
        <v>21</v>
      </c>
      <c r="F142" t="s">
        <v>22</v>
      </c>
      <c r="G142" t="s">
        <v>38</v>
      </c>
    </row>
    <row r="143" spans="1:7" x14ac:dyDescent="0.2">
      <c r="A143">
        <v>4982</v>
      </c>
      <c r="B143" t="s">
        <v>335</v>
      </c>
      <c r="C143" s="1">
        <v>44001</v>
      </c>
      <c r="D143" t="s">
        <v>336</v>
      </c>
      <c r="E143" t="s">
        <v>29</v>
      </c>
      <c r="F143" t="s">
        <v>11</v>
      </c>
      <c r="G143" t="s">
        <v>30</v>
      </c>
    </row>
    <row r="144" spans="1:7" x14ac:dyDescent="0.2">
      <c r="A144">
        <v>4977</v>
      </c>
      <c r="B144" t="s">
        <v>337</v>
      </c>
      <c r="C144" s="1">
        <v>44000</v>
      </c>
      <c r="D144" t="s">
        <v>338</v>
      </c>
      <c r="F144" t="s">
        <v>11</v>
      </c>
      <c r="G144" t="s">
        <v>30</v>
      </c>
    </row>
    <row r="145" spans="1:7" x14ac:dyDescent="0.2">
      <c r="A145">
        <v>4956</v>
      </c>
      <c r="B145" t="s">
        <v>339</v>
      </c>
      <c r="C145" s="1">
        <v>43994</v>
      </c>
      <c r="D145" t="s">
        <v>340</v>
      </c>
      <c r="G145" t="s">
        <v>152</v>
      </c>
    </row>
    <row r="146" spans="1:7" x14ac:dyDescent="0.2">
      <c r="A146">
        <v>4948</v>
      </c>
      <c r="B146" t="s">
        <v>341</v>
      </c>
      <c r="C146" s="1">
        <v>43988</v>
      </c>
      <c r="D146" t="s">
        <v>342</v>
      </c>
      <c r="F146" t="s">
        <v>11</v>
      </c>
      <c r="G146" t="s">
        <v>302</v>
      </c>
    </row>
    <row r="147" spans="1:7" x14ac:dyDescent="0.2">
      <c r="A147">
        <v>4944</v>
      </c>
      <c r="B147" t="s">
        <v>343</v>
      </c>
      <c r="C147" s="1">
        <v>43983</v>
      </c>
      <c r="D147" t="s">
        <v>344</v>
      </c>
      <c r="F147" t="s">
        <v>11</v>
      </c>
      <c r="G147" t="s">
        <v>30</v>
      </c>
    </row>
    <row r="148" spans="1:7" x14ac:dyDescent="0.2">
      <c r="A148">
        <v>4978</v>
      </c>
      <c r="B148" t="s">
        <v>345</v>
      </c>
      <c r="C148" s="1">
        <v>43980</v>
      </c>
      <c r="D148" t="s">
        <v>346</v>
      </c>
      <c r="E148" t="s">
        <v>347</v>
      </c>
      <c r="F148" t="s">
        <v>11</v>
      </c>
      <c r="G148" t="s">
        <v>30</v>
      </c>
    </row>
    <row r="149" spans="1:7" x14ac:dyDescent="0.2">
      <c r="A149">
        <v>4942</v>
      </c>
      <c r="B149" t="s">
        <v>348</v>
      </c>
      <c r="C149" s="1">
        <v>43979</v>
      </c>
      <c r="D149" t="s">
        <v>349</v>
      </c>
      <c r="F149" t="s">
        <v>11</v>
      </c>
      <c r="G149" t="s">
        <v>107</v>
      </c>
    </row>
    <row r="150" spans="1:7" x14ac:dyDescent="0.2">
      <c r="A150">
        <v>4934</v>
      </c>
      <c r="B150" t="s">
        <v>350</v>
      </c>
      <c r="C150" s="1">
        <v>43978</v>
      </c>
      <c r="D150" t="s">
        <v>351</v>
      </c>
      <c r="F150" t="s">
        <v>11</v>
      </c>
      <c r="G150" t="s">
        <v>55</v>
      </c>
    </row>
    <row r="151" spans="1:7" x14ac:dyDescent="0.2">
      <c r="A151">
        <v>4924</v>
      </c>
      <c r="B151" t="s">
        <v>352</v>
      </c>
      <c r="C151" s="1">
        <v>43977</v>
      </c>
      <c r="D151" t="s">
        <v>353</v>
      </c>
      <c r="E151" t="s">
        <v>51</v>
      </c>
      <c r="F151" t="s">
        <v>22</v>
      </c>
      <c r="G151" t="s">
        <v>38</v>
      </c>
    </row>
    <row r="152" spans="1:7" x14ac:dyDescent="0.2">
      <c r="A152">
        <v>4921</v>
      </c>
      <c r="B152" t="s">
        <v>354</v>
      </c>
      <c r="C152" s="1">
        <v>43970</v>
      </c>
      <c r="D152" t="s">
        <v>355</v>
      </c>
      <c r="E152" t="s">
        <v>21</v>
      </c>
      <c r="F152" t="s">
        <v>37</v>
      </c>
      <c r="G152" t="s">
        <v>38</v>
      </c>
    </row>
    <row r="153" spans="1:7" x14ac:dyDescent="0.2">
      <c r="A153">
        <v>4915</v>
      </c>
      <c r="B153" t="s">
        <v>356</v>
      </c>
      <c r="C153" s="1">
        <v>43960</v>
      </c>
      <c r="D153" t="s">
        <v>357</v>
      </c>
      <c r="E153" t="s">
        <v>68</v>
      </c>
      <c r="F153" t="s">
        <v>37</v>
      </c>
      <c r="G153" t="s">
        <v>30</v>
      </c>
    </row>
    <row r="154" spans="1:7" x14ac:dyDescent="0.2">
      <c r="A154">
        <v>4937</v>
      </c>
      <c r="B154" t="s">
        <v>358</v>
      </c>
      <c r="C154" s="1">
        <v>43958</v>
      </c>
      <c r="D154" t="s">
        <v>359</v>
      </c>
      <c r="E154" t="s">
        <v>17</v>
      </c>
      <c r="F154" t="s">
        <v>11</v>
      </c>
      <c r="G154" t="s">
        <v>30</v>
      </c>
    </row>
    <row r="155" spans="1:7" x14ac:dyDescent="0.2">
      <c r="A155">
        <v>4901</v>
      </c>
      <c r="B155" t="s">
        <v>360</v>
      </c>
      <c r="C155" s="1">
        <v>43942</v>
      </c>
      <c r="D155" t="s">
        <v>361</v>
      </c>
      <c r="F155" t="s">
        <v>11</v>
      </c>
      <c r="G155" t="s">
        <v>30</v>
      </c>
    </row>
    <row r="156" spans="1:7" x14ac:dyDescent="0.2">
      <c r="A156">
        <v>4903</v>
      </c>
      <c r="B156" t="s">
        <v>362</v>
      </c>
      <c r="C156" s="1">
        <v>43942</v>
      </c>
      <c r="D156" t="s">
        <v>363</v>
      </c>
      <c r="F156" t="s">
        <v>11</v>
      </c>
      <c r="G156" t="s">
        <v>302</v>
      </c>
    </row>
    <row r="157" spans="1:7" x14ac:dyDescent="0.2">
      <c r="A157">
        <v>4899</v>
      </c>
      <c r="B157" t="s">
        <v>364</v>
      </c>
      <c r="C157" s="1">
        <v>43941</v>
      </c>
      <c r="D157" t="s">
        <v>365</v>
      </c>
      <c r="E157" t="s">
        <v>21</v>
      </c>
      <c r="F157" t="s">
        <v>37</v>
      </c>
      <c r="G157" t="s">
        <v>38</v>
      </c>
    </row>
    <row r="158" spans="1:7" x14ac:dyDescent="0.2">
      <c r="A158">
        <v>4889</v>
      </c>
      <c r="B158" t="s">
        <v>366</v>
      </c>
      <c r="C158" s="1">
        <v>43934</v>
      </c>
      <c r="D158" t="s">
        <v>367</v>
      </c>
      <c r="E158" t="s">
        <v>51</v>
      </c>
      <c r="F158" t="s">
        <v>37</v>
      </c>
      <c r="G158" t="s">
        <v>38</v>
      </c>
    </row>
    <row r="159" spans="1:7" x14ac:dyDescent="0.2">
      <c r="A159">
        <v>4881</v>
      </c>
      <c r="B159" t="s">
        <v>368</v>
      </c>
      <c r="C159" s="1">
        <v>43930</v>
      </c>
      <c r="D159" t="s">
        <v>369</v>
      </c>
      <c r="F159" t="s">
        <v>37</v>
      </c>
      <c r="G159" t="s">
        <v>370</v>
      </c>
    </row>
    <row r="160" spans="1:7" x14ac:dyDescent="0.2">
      <c r="A160">
        <v>4883</v>
      </c>
      <c r="B160" t="s">
        <v>371</v>
      </c>
      <c r="C160" s="1">
        <v>43930</v>
      </c>
      <c r="D160" t="s">
        <v>372</v>
      </c>
      <c r="F160" t="s">
        <v>22</v>
      </c>
      <c r="G160" t="s">
        <v>373</v>
      </c>
    </row>
    <row r="161" spans="1:7" x14ac:dyDescent="0.2">
      <c r="A161">
        <v>4875</v>
      </c>
      <c r="B161" t="s">
        <v>374</v>
      </c>
      <c r="C161" s="1">
        <v>43922</v>
      </c>
      <c r="D161" t="s">
        <v>375</v>
      </c>
      <c r="F161" t="s">
        <v>11</v>
      </c>
      <c r="G161" t="s">
        <v>30</v>
      </c>
    </row>
    <row r="162" spans="1:7" x14ac:dyDescent="0.2">
      <c r="A162">
        <v>4910</v>
      </c>
      <c r="B162" t="s">
        <v>376</v>
      </c>
      <c r="C162" s="1">
        <v>43922</v>
      </c>
      <c r="D162" t="s">
        <v>377</v>
      </c>
      <c r="E162" t="s">
        <v>54</v>
      </c>
      <c r="F162" t="s">
        <v>11</v>
      </c>
      <c r="G162" t="s">
        <v>30</v>
      </c>
    </row>
    <row r="163" spans="1:7" x14ac:dyDescent="0.2">
      <c r="A163">
        <v>4888</v>
      </c>
      <c r="B163" t="s">
        <v>378</v>
      </c>
      <c r="C163" s="1">
        <v>43916</v>
      </c>
      <c r="D163" t="s">
        <v>379</v>
      </c>
      <c r="F163" t="s">
        <v>22</v>
      </c>
      <c r="G163" t="s">
        <v>30</v>
      </c>
    </row>
    <row r="164" spans="1:7" x14ac:dyDescent="0.2">
      <c r="A164">
        <v>4870</v>
      </c>
      <c r="B164" t="s">
        <v>380</v>
      </c>
      <c r="C164" s="1">
        <v>43915</v>
      </c>
      <c r="D164" t="s">
        <v>381</v>
      </c>
      <c r="F164" t="s">
        <v>11</v>
      </c>
      <c r="G164" t="s">
        <v>302</v>
      </c>
    </row>
    <row r="165" spans="1:7" x14ac:dyDescent="0.2">
      <c r="A165">
        <v>4912</v>
      </c>
      <c r="B165" t="s">
        <v>382</v>
      </c>
      <c r="C165" s="1">
        <v>43914</v>
      </c>
      <c r="D165" t="s">
        <v>383</v>
      </c>
      <c r="E165" t="s">
        <v>384</v>
      </c>
      <c r="F165" t="s">
        <v>11</v>
      </c>
      <c r="G165" t="s">
        <v>385</v>
      </c>
    </row>
    <row r="166" spans="1:7" x14ac:dyDescent="0.2">
      <c r="A166">
        <v>4855</v>
      </c>
      <c r="B166" t="s">
        <v>380</v>
      </c>
      <c r="C166" s="1">
        <v>43903</v>
      </c>
      <c r="D166" t="s">
        <v>386</v>
      </c>
      <c r="F166" t="s">
        <v>11</v>
      </c>
      <c r="G166" t="s">
        <v>302</v>
      </c>
    </row>
    <row r="167" spans="1:7" x14ac:dyDescent="0.2">
      <c r="A167">
        <v>4833</v>
      </c>
      <c r="B167" t="s">
        <v>387</v>
      </c>
      <c r="C167" s="1">
        <v>43886</v>
      </c>
      <c r="D167" t="s">
        <v>388</v>
      </c>
      <c r="F167" t="s">
        <v>37</v>
      </c>
      <c r="G167" t="s">
        <v>30</v>
      </c>
    </row>
    <row r="168" spans="1:7" x14ac:dyDescent="0.2">
      <c r="A168">
        <v>4794</v>
      </c>
      <c r="B168" t="s">
        <v>389</v>
      </c>
      <c r="C168" s="1">
        <v>43880</v>
      </c>
      <c r="D168" t="s">
        <v>390</v>
      </c>
      <c r="E168" t="s">
        <v>391</v>
      </c>
      <c r="F168" t="s">
        <v>22</v>
      </c>
      <c r="G168" t="s">
        <v>38</v>
      </c>
    </row>
    <row r="169" spans="1:7" x14ac:dyDescent="0.2">
      <c r="A169">
        <v>4829</v>
      </c>
      <c r="B169" t="s">
        <v>392</v>
      </c>
      <c r="C169" s="1">
        <v>43879</v>
      </c>
      <c r="D169" t="s">
        <v>393</v>
      </c>
      <c r="F169" t="s">
        <v>11</v>
      </c>
      <c r="G169" t="s">
        <v>394</v>
      </c>
    </row>
    <row r="170" spans="1:7" x14ac:dyDescent="0.2">
      <c r="A170">
        <v>4863</v>
      </c>
      <c r="B170" t="s">
        <v>395</v>
      </c>
      <c r="C170" s="1">
        <v>43867</v>
      </c>
      <c r="D170" t="s">
        <v>396</v>
      </c>
      <c r="F170" t="s">
        <v>11</v>
      </c>
      <c r="G170" t="s">
        <v>397</v>
      </c>
    </row>
    <row r="171" spans="1:7" x14ac:dyDescent="0.2">
      <c r="A171">
        <v>4769</v>
      </c>
      <c r="B171" t="s">
        <v>398</v>
      </c>
      <c r="C171" s="1">
        <v>43852</v>
      </c>
      <c r="D171" t="s">
        <v>399</v>
      </c>
      <c r="F171" t="s">
        <v>11</v>
      </c>
      <c r="G171" t="s">
        <v>400</v>
      </c>
    </row>
    <row r="172" spans="1:7" x14ac:dyDescent="0.2">
      <c r="A172">
        <v>4713</v>
      </c>
      <c r="B172" t="s">
        <v>401</v>
      </c>
      <c r="C172" s="1">
        <v>43843</v>
      </c>
      <c r="D172" t="s">
        <v>402</v>
      </c>
      <c r="E172" t="s">
        <v>10</v>
      </c>
      <c r="F172" t="s">
        <v>37</v>
      </c>
      <c r="G172" t="s">
        <v>38</v>
      </c>
    </row>
    <row r="173" spans="1:7" x14ac:dyDescent="0.2">
      <c r="A173">
        <v>4816</v>
      </c>
      <c r="B173" t="s">
        <v>403</v>
      </c>
      <c r="C173" s="1">
        <v>43840</v>
      </c>
      <c r="D173" t="s">
        <v>404</v>
      </c>
      <c r="E173" t="s">
        <v>44</v>
      </c>
      <c r="F173" t="s">
        <v>11</v>
      </c>
      <c r="G173" t="s">
        <v>45</v>
      </c>
    </row>
    <row r="174" spans="1:7" x14ac:dyDescent="0.2">
      <c r="A174">
        <v>4800</v>
      </c>
      <c r="B174" t="s">
        <v>405</v>
      </c>
      <c r="C174" s="1">
        <v>43817</v>
      </c>
      <c r="D174" t="s">
        <v>406</v>
      </c>
      <c r="E174" t="s">
        <v>142</v>
      </c>
      <c r="F174" t="s">
        <v>22</v>
      </c>
      <c r="G174" t="s">
        <v>38</v>
      </c>
    </row>
    <row r="175" spans="1:7" x14ac:dyDescent="0.2">
      <c r="A175">
        <v>4765</v>
      </c>
      <c r="B175" t="s">
        <v>407</v>
      </c>
      <c r="C175" s="1">
        <v>43809</v>
      </c>
      <c r="D175" t="s">
        <v>408</v>
      </c>
      <c r="E175" t="s">
        <v>172</v>
      </c>
      <c r="F175" t="s">
        <v>11</v>
      </c>
      <c r="G175" t="s">
        <v>12</v>
      </c>
    </row>
    <row r="176" spans="1:7" x14ac:dyDescent="0.2">
      <c r="A176">
        <v>4650</v>
      </c>
      <c r="B176" t="s">
        <v>409</v>
      </c>
      <c r="C176" s="1">
        <v>43808</v>
      </c>
      <c r="D176" t="s">
        <v>410</v>
      </c>
      <c r="E176" t="s">
        <v>21</v>
      </c>
      <c r="F176" t="s">
        <v>37</v>
      </c>
      <c r="G176" t="s">
        <v>38</v>
      </c>
    </row>
    <row r="177" spans="1:7" x14ac:dyDescent="0.2">
      <c r="A177">
        <v>4763</v>
      </c>
      <c r="B177" t="s">
        <v>411</v>
      </c>
      <c r="C177" s="1">
        <v>43808</v>
      </c>
      <c r="D177" t="s">
        <v>412</v>
      </c>
      <c r="E177" t="s">
        <v>21</v>
      </c>
      <c r="F177" t="s">
        <v>11</v>
      </c>
      <c r="G177" t="s">
        <v>38</v>
      </c>
    </row>
    <row r="178" spans="1:7" x14ac:dyDescent="0.2">
      <c r="A178">
        <v>4656</v>
      </c>
      <c r="B178" t="s">
        <v>413</v>
      </c>
      <c r="C178" s="1">
        <v>43807</v>
      </c>
      <c r="D178" t="s">
        <v>414</v>
      </c>
      <c r="E178" t="s">
        <v>51</v>
      </c>
      <c r="F178" t="s">
        <v>37</v>
      </c>
      <c r="G178" t="s">
        <v>38</v>
      </c>
    </row>
    <row r="179" spans="1:7" x14ac:dyDescent="0.2">
      <c r="A179">
        <v>4641</v>
      </c>
      <c r="B179" t="s">
        <v>415</v>
      </c>
      <c r="C179" s="1">
        <v>43801</v>
      </c>
      <c r="D179" t="s">
        <v>416</v>
      </c>
      <c r="E179" t="s">
        <v>182</v>
      </c>
      <c r="F179" t="s">
        <v>11</v>
      </c>
      <c r="G179" t="s">
        <v>38</v>
      </c>
    </row>
    <row r="180" spans="1:7" x14ac:dyDescent="0.2">
      <c r="A180">
        <v>4658</v>
      </c>
      <c r="B180" t="s">
        <v>417</v>
      </c>
      <c r="C180" s="1">
        <v>43801</v>
      </c>
      <c r="D180" t="s">
        <v>418</v>
      </c>
      <c r="F180" t="s">
        <v>22</v>
      </c>
      <c r="G180" t="s">
        <v>30</v>
      </c>
    </row>
    <row r="181" spans="1:7" x14ac:dyDescent="0.2">
      <c r="A181">
        <v>4636</v>
      </c>
      <c r="B181" t="s">
        <v>419</v>
      </c>
      <c r="C181" s="1">
        <v>43795</v>
      </c>
      <c r="D181" t="s">
        <v>420</v>
      </c>
      <c r="F181" t="s">
        <v>22</v>
      </c>
      <c r="G181" t="s">
        <v>30</v>
      </c>
    </row>
    <row r="182" spans="1:7" x14ac:dyDescent="0.2">
      <c r="A182">
        <v>4659</v>
      </c>
      <c r="B182" t="s">
        <v>421</v>
      </c>
      <c r="C182" s="1">
        <v>43787</v>
      </c>
      <c r="D182" t="s">
        <v>422</v>
      </c>
      <c r="E182" t="s">
        <v>29</v>
      </c>
      <c r="F182" t="s">
        <v>48</v>
      </c>
      <c r="G182" t="s">
        <v>38</v>
      </c>
    </row>
    <row r="183" spans="1:7" x14ac:dyDescent="0.2">
      <c r="A183">
        <v>4574</v>
      </c>
      <c r="B183" t="s">
        <v>423</v>
      </c>
      <c r="C183" s="1">
        <v>43781</v>
      </c>
      <c r="D183" t="s">
        <v>424</v>
      </c>
      <c r="E183" t="s">
        <v>10</v>
      </c>
      <c r="F183" t="s">
        <v>34</v>
      </c>
      <c r="G183" t="s">
        <v>38</v>
      </c>
    </row>
    <row r="184" spans="1:7" x14ac:dyDescent="0.2">
      <c r="A184">
        <v>4534</v>
      </c>
      <c r="B184" t="s">
        <v>425</v>
      </c>
      <c r="C184" s="1">
        <v>43770</v>
      </c>
      <c r="D184" t="s">
        <v>426</v>
      </c>
      <c r="F184" t="s">
        <v>22</v>
      </c>
      <c r="G184" t="s">
        <v>30</v>
      </c>
    </row>
    <row r="185" spans="1:7" x14ac:dyDescent="0.2">
      <c r="A185">
        <v>4662</v>
      </c>
      <c r="B185" t="s">
        <v>427</v>
      </c>
      <c r="C185" s="1">
        <v>43770</v>
      </c>
      <c r="D185" t="s">
        <v>428</v>
      </c>
      <c r="E185" t="s">
        <v>33</v>
      </c>
      <c r="F185" t="s">
        <v>22</v>
      </c>
      <c r="G185" t="s">
        <v>78</v>
      </c>
    </row>
    <row r="186" spans="1:7" x14ac:dyDescent="0.2">
      <c r="A186">
        <v>4531</v>
      </c>
      <c r="B186" t="s">
        <v>429</v>
      </c>
      <c r="C186" s="1">
        <v>43769</v>
      </c>
      <c r="D186" t="s">
        <v>430</v>
      </c>
      <c r="E186" t="s">
        <v>51</v>
      </c>
      <c r="F186" t="s">
        <v>37</v>
      </c>
      <c r="G186" t="s">
        <v>38</v>
      </c>
    </row>
    <row r="187" spans="1:7" x14ac:dyDescent="0.2">
      <c r="A187">
        <v>4608</v>
      </c>
      <c r="B187" t="s">
        <v>431</v>
      </c>
      <c r="C187" s="1">
        <v>43763</v>
      </c>
      <c r="D187" t="s">
        <v>432</v>
      </c>
      <c r="E187" t="s">
        <v>29</v>
      </c>
      <c r="F187" t="s">
        <v>11</v>
      </c>
      <c r="G187" t="s">
        <v>91</v>
      </c>
    </row>
    <row r="188" spans="1:7" x14ac:dyDescent="0.2">
      <c r="A188">
        <v>4594</v>
      </c>
      <c r="B188" t="s">
        <v>433</v>
      </c>
      <c r="C188" s="1">
        <v>43759</v>
      </c>
      <c r="D188" t="s">
        <v>434</v>
      </c>
      <c r="F188" t="s">
        <v>11</v>
      </c>
      <c r="G188" t="s">
        <v>91</v>
      </c>
    </row>
    <row r="189" spans="1:7" x14ac:dyDescent="0.2">
      <c r="A189">
        <v>4493</v>
      </c>
      <c r="B189" t="s">
        <v>435</v>
      </c>
      <c r="C189" s="1">
        <v>43748</v>
      </c>
      <c r="D189" t="s">
        <v>436</v>
      </c>
      <c r="F189" t="s">
        <v>11</v>
      </c>
      <c r="G189" t="s">
        <v>104</v>
      </c>
    </row>
    <row r="190" spans="1:7" x14ac:dyDescent="0.2">
      <c r="A190">
        <v>4592</v>
      </c>
      <c r="B190" t="s">
        <v>437</v>
      </c>
      <c r="C190" s="1">
        <v>43746</v>
      </c>
      <c r="D190" t="s">
        <v>438</v>
      </c>
      <c r="F190" t="s">
        <v>11</v>
      </c>
      <c r="G190" t="s">
        <v>439</v>
      </c>
    </row>
    <row r="191" spans="1:7" x14ac:dyDescent="0.2">
      <c r="A191">
        <v>4579</v>
      </c>
      <c r="B191" t="s">
        <v>440</v>
      </c>
      <c r="C191" s="1">
        <v>43738</v>
      </c>
      <c r="D191" t="s">
        <v>441</v>
      </c>
      <c r="F191" t="s">
        <v>11</v>
      </c>
      <c r="G191" t="s">
        <v>104</v>
      </c>
    </row>
    <row r="192" spans="1:7" x14ac:dyDescent="0.2">
      <c r="A192">
        <v>4411</v>
      </c>
      <c r="B192" t="s">
        <v>442</v>
      </c>
      <c r="C192" s="1">
        <v>43720</v>
      </c>
      <c r="D192" t="s">
        <v>443</v>
      </c>
      <c r="E192" t="s">
        <v>124</v>
      </c>
      <c r="F192" t="s">
        <v>34</v>
      </c>
      <c r="G192" t="s">
        <v>38</v>
      </c>
    </row>
    <row r="193" spans="1:7" x14ac:dyDescent="0.2">
      <c r="A193">
        <v>4387</v>
      </c>
      <c r="B193" t="s">
        <v>444</v>
      </c>
      <c r="C193" s="1">
        <v>43717</v>
      </c>
      <c r="D193" t="s">
        <v>445</v>
      </c>
      <c r="E193" t="s">
        <v>54</v>
      </c>
      <c r="F193" t="s">
        <v>22</v>
      </c>
      <c r="G193" t="s">
        <v>38</v>
      </c>
    </row>
    <row r="194" spans="1:7" x14ac:dyDescent="0.2">
      <c r="A194">
        <v>4368</v>
      </c>
      <c r="B194" t="s">
        <v>446</v>
      </c>
      <c r="C194" s="1">
        <v>43713</v>
      </c>
      <c r="D194" t="s">
        <v>447</v>
      </c>
      <c r="E194" t="s">
        <v>99</v>
      </c>
      <c r="F194" t="s">
        <v>11</v>
      </c>
      <c r="G194" t="s">
        <v>30</v>
      </c>
    </row>
    <row r="195" spans="1:7" x14ac:dyDescent="0.2">
      <c r="A195">
        <v>4591</v>
      </c>
      <c r="B195" t="s">
        <v>448</v>
      </c>
      <c r="C195" s="1">
        <v>43709</v>
      </c>
      <c r="D195" t="s">
        <v>449</v>
      </c>
      <c r="F195" t="s">
        <v>11</v>
      </c>
      <c r="G195" t="s">
        <v>30</v>
      </c>
    </row>
    <row r="196" spans="1:7" x14ac:dyDescent="0.2">
      <c r="A196">
        <v>4762</v>
      </c>
      <c r="B196" t="s">
        <v>108</v>
      </c>
      <c r="C196" s="1">
        <v>43709</v>
      </c>
      <c r="D196" t="s">
        <v>450</v>
      </c>
      <c r="F196" t="s">
        <v>11</v>
      </c>
      <c r="G196" t="s">
        <v>30</v>
      </c>
    </row>
    <row r="197" spans="1:7" x14ac:dyDescent="0.2">
      <c r="A197">
        <v>4373</v>
      </c>
      <c r="B197" t="s">
        <v>451</v>
      </c>
      <c r="C197" s="1">
        <v>43705</v>
      </c>
      <c r="D197" t="s">
        <v>452</v>
      </c>
      <c r="F197" t="s">
        <v>37</v>
      </c>
      <c r="G197" t="s">
        <v>41</v>
      </c>
    </row>
    <row r="198" spans="1:7" x14ac:dyDescent="0.2">
      <c r="A198">
        <v>4359</v>
      </c>
      <c r="B198" t="s">
        <v>453</v>
      </c>
      <c r="C198" s="1">
        <v>43700</v>
      </c>
      <c r="D198" t="s">
        <v>454</v>
      </c>
      <c r="F198" t="s">
        <v>11</v>
      </c>
      <c r="G198" t="s">
        <v>455</v>
      </c>
    </row>
    <row r="199" spans="1:7" x14ac:dyDescent="0.2">
      <c r="A199">
        <v>4336</v>
      </c>
      <c r="B199" t="s">
        <v>456</v>
      </c>
      <c r="C199" s="1">
        <v>43696</v>
      </c>
      <c r="D199" t="s">
        <v>457</v>
      </c>
      <c r="E199" t="s">
        <v>54</v>
      </c>
      <c r="F199" t="s">
        <v>37</v>
      </c>
      <c r="G199" t="s">
        <v>38</v>
      </c>
    </row>
    <row r="200" spans="1:7" x14ac:dyDescent="0.2">
      <c r="A200">
        <v>4328</v>
      </c>
      <c r="B200" t="s">
        <v>458</v>
      </c>
      <c r="C200" s="1">
        <v>43692</v>
      </c>
      <c r="D200" t="s">
        <v>459</v>
      </c>
      <c r="E200" t="s">
        <v>21</v>
      </c>
      <c r="F200" t="s">
        <v>11</v>
      </c>
      <c r="G200" t="s">
        <v>38</v>
      </c>
    </row>
    <row r="201" spans="1:7" x14ac:dyDescent="0.2">
      <c r="A201">
        <v>4435</v>
      </c>
      <c r="B201" t="s">
        <v>460</v>
      </c>
      <c r="C201" s="1">
        <v>43679</v>
      </c>
      <c r="D201" t="s">
        <v>461</v>
      </c>
      <c r="F201" t="s">
        <v>11</v>
      </c>
      <c r="G201" t="s">
        <v>439</v>
      </c>
    </row>
    <row r="202" spans="1:7" x14ac:dyDescent="0.2">
      <c r="A202">
        <v>4354</v>
      </c>
      <c r="B202" t="s">
        <v>462</v>
      </c>
      <c r="C202" s="1">
        <v>43672</v>
      </c>
      <c r="D202" t="s">
        <v>463</v>
      </c>
      <c r="F202" t="s">
        <v>11</v>
      </c>
      <c r="G202" t="s">
        <v>91</v>
      </c>
    </row>
    <row r="203" spans="1:7" x14ac:dyDescent="0.2">
      <c r="A203">
        <v>4291</v>
      </c>
      <c r="B203" t="s">
        <v>464</v>
      </c>
      <c r="C203" s="1">
        <v>43671</v>
      </c>
      <c r="D203" t="s">
        <v>465</v>
      </c>
      <c r="E203" t="s">
        <v>99</v>
      </c>
      <c r="F203" t="s">
        <v>37</v>
      </c>
      <c r="G203" t="s">
        <v>38</v>
      </c>
    </row>
    <row r="204" spans="1:7" x14ac:dyDescent="0.2">
      <c r="A204">
        <v>4357</v>
      </c>
      <c r="B204" t="s">
        <v>466</v>
      </c>
      <c r="C204" s="1">
        <v>43664</v>
      </c>
      <c r="D204" t="s">
        <v>467</v>
      </c>
      <c r="F204" t="s">
        <v>11</v>
      </c>
      <c r="G204" t="s">
        <v>439</v>
      </c>
    </row>
    <row r="205" spans="1:7" x14ac:dyDescent="0.2">
      <c r="A205">
        <v>4283</v>
      </c>
      <c r="B205" t="s">
        <v>468</v>
      </c>
      <c r="C205" s="1">
        <v>43663</v>
      </c>
      <c r="D205" t="s">
        <v>469</v>
      </c>
      <c r="E205" t="s">
        <v>21</v>
      </c>
      <c r="F205" t="s">
        <v>22</v>
      </c>
      <c r="G205" t="s">
        <v>38</v>
      </c>
    </row>
    <row r="206" spans="1:7" x14ac:dyDescent="0.2">
      <c r="A206">
        <v>4280</v>
      </c>
      <c r="B206" t="s">
        <v>470</v>
      </c>
      <c r="C206" s="1">
        <v>43656</v>
      </c>
      <c r="D206" t="s">
        <v>471</v>
      </c>
      <c r="E206" t="s">
        <v>21</v>
      </c>
      <c r="F206" t="s">
        <v>11</v>
      </c>
      <c r="G206" t="s">
        <v>30</v>
      </c>
    </row>
    <row r="207" spans="1:7" x14ac:dyDescent="0.2">
      <c r="A207">
        <v>4242</v>
      </c>
      <c r="B207" t="s">
        <v>472</v>
      </c>
      <c r="C207" s="1">
        <v>43637</v>
      </c>
      <c r="D207" t="s">
        <v>473</v>
      </c>
      <c r="E207" t="s">
        <v>96</v>
      </c>
      <c r="F207" t="s">
        <v>11</v>
      </c>
      <c r="G207" t="s">
        <v>385</v>
      </c>
    </row>
    <row r="208" spans="1:7" x14ac:dyDescent="0.2">
      <c r="A208">
        <v>4254</v>
      </c>
      <c r="B208" t="s">
        <v>474</v>
      </c>
      <c r="C208" s="1">
        <v>43637</v>
      </c>
      <c r="D208" t="s">
        <v>475</v>
      </c>
      <c r="F208" t="s">
        <v>11</v>
      </c>
      <c r="G208" t="s">
        <v>55</v>
      </c>
    </row>
    <row r="209" spans="1:7" x14ac:dyDescent="0.2">
      <c r="A209">
        <v>4234</v>
      </c>
      <c r="B209" t="s">
        <v>476</v>
      </c>
      <c r="C209" s="1">
        <v>43636</v>
      </c>
      <c r="D209" t="s">
        <v>477</v>
      </c>
      <c r="F209" t="s">
        <v>22</v>
      </c>
      <c r="G209" t="s">
        <v>30</v>
      </c>
    </row>
    <row r="210" spans="1:7" x14ac:dyDescent="0.2">
      <c r="A210">
        <v>4225</v>
      </c>
      <c r="B210" t="s">
        <v>478</v>
      </c>
      <c r="C210" s="1">
        <v>43635</v>
      </c>
      <c r="D210" t="s">
        <v>479</v>
      </c>
      <c r="E210" t="s">
        <v>21</v>
      </c>
      <c r="F210" t="s">
        <v>22</v>
      </c>
      <c r="G210" t="s">
        <v>38</v>
      </c>
    </row>
    <row r="211" spans="1:7" x14ac:dyDescent="0.2">
      <c r="A211">
        <v>4239</v>
      </c>
      <c r="B211" t="s">
        <v>480</v>
      </c>
      <c r="C211" s="1">
        <v>43630</v>
      </c>
      <c r="D211" t="s">
        <v>481</v>
      </c>
      <c r="F211" t="s">
        <v>11</v>
      </c>
      <c r="G211" t="s">
        <v>135</v>
      </c>
    </row>
    <row r="212" spans="1:7" x14ac:dyDescent="0.2">
      <c r="A212">
        <v>4195</v>
      </c>
      <c r="B212" t="s">
        <v>482</v>
      </c>
      <c r="C212" s="1">
        <v>43622</v>
      </c>
      <c r="D212" t="s">
        <v>483</v>
      </c>
      <c r="E212" t="s">
        <v>33</v>
      </c>
      <c r="F212" t="s">
        <v>34</v>
      </c>
      <c r="G212" t="s">
        <v>38</v>
      </c>
    </row>
    <row r="213" spans="1:7" x14ac:dyDescent="0.2">
      <c r="A213">
        <v>4164</v>
      </c>
      <c r="B213" t="s">
        <v>484</v>
      </c>
      <c r="C213" s="1">
        <v>43620</v>
      </c>
      <c r="D213" t="s">
        <v>485</v>
      </c>
      <c r="E213" t="s">
        <v>237</v>
      </c>
      <c r="F213" t="s">
        <v>11</v>
      </c>
      <c r="G213" t="s">
        <v>30</v>
      </c>
    </row>
    <row r="214" spans="1:7" x14ac:dyDescent="0.2">
      <c r="A214">
        <v>4167</v>
      </c>
      <c r="B214" t="s">
        <v>486</v>
      </c>
      <c r="C214" s="1">
        <v>43620</v>
      </c>
      <c r="D214" t="s">
        <v>487</v>
      </c>
      <c r="E214" t="s">
        <v>237</v>
      </c>
      <c r="F214" t="s">
        <v>37</v>
      </c>
      <c r="G214" t="s">
        <v>30</v>
      </c>
    </row>
    <row r="215" spans="1:7" x14ac:dyDescent="0.2">
      <c r="A215">
        <v>4170</v>
      </c>
      <c r="B215" t="s">
        <v>488</v>
      </c>
      <c r="C215" s="1">
        <v>43620</v>
      </c>
      <c r="D215" t="s">
        <v>489</v>
      </c>
      <c r="F215" t="s">
        <v>37</v>
      </c>
      <c r="G215" t="s">
        <v>224</v>
      </c>
    </row>
    <row r="216" spans="1:7" x14ac:dyDescent="0.2">
      <c r="A216">
        <v>4172</v>
      </c>
      <c r="B216" t="s">
        <v>490</v>
      </c>
      <c r="C216" s="1">
        <v>43620</v>
      </c>
      <c r="D216" t="s">
        <v>491</v>
      </c>
      <c r="E216" t="s">
        <v>21</v>
      </c>
      <c r="F216" t="s">
        <v>37</v>
      </c>
      <c r="G216" t="s">
        <v>38</v>
      </c>
    </row>
    <row r="217" spans="1:7" x14ac:dyDescent="0.2">
      <c r="A217">
        <v>4406</v>
      </c>
      <c r="B217" t="s">
        <v>492</v>
      </c>
      <c r="C217" s="1">
        <v>43617</v>
      </c>
      <c r="D217" t="s">
        <v>493</v>
      </c>
      <c r="F217" t="s">
        <v>11</v>
      </c>
      <c r="G217" t="s">
        <v>297</v>
      </c>
    </row>
    <row r="218" spans="1:7" x14ac:dyDescent="0.2">
      <c r="A218">
        <v>4247</v>
      </c>
      <c r="B218" t="s">
        <v>494</v>
      </c>
      <c r="C218" s="1">
        <v>43614</v>
      </c>
      <c r="D218" t="s">
        <v>495</v>
      </c>
      <c r="F218" t="s">
        <v>11</v>
      </c>
      <c r="G218" t="s">
        <v>12</v>
      </c>
    </row>
    <row r="219" spans="1:7" x14ac:dyDescent="0.2">
      <c r="A219">
        <v>4141</v>
      </c>
      <c r="B219" t="s">
        <v>496</v>
      </c>
      <c r="C219" s="1">
        <v>43613</v>
      </c>
      <c r="D219" t="s">
        <v>497</v>
      </c>
      <c r="F219" t="s">
        <v>11</v>
      </c>
      <c r="G219" t="s">
        <v>498</v>
      </c>
    </row>
    <row r="220" spans="1:7" x14ac:dyDescent="0.2">
      <c r="A220">
        <v>4244</v>
      </c>
      <c r="B220" t="s">
        <v>499</v>
      </c>
      <c r="C220" s="1">
        <v>43598</v>
      </c>
      <c r="D220" t="s">
        <v>500</v>
      </c>
      <c r="F220" t="s">
        <v>11</v>
      </c>
      <c r="G220" t="s">
        <v>12</v>
      </c>
    </row>
    <row r="221" spans="1:7" x14ac:dyDescent="0.2">
      <c r="A221">
        <v>4209</v>
      </c>
      <c r="B221" t="s">
        <v>501</v>
      </c>
      <c r="C221" s="1">
        <v>43594</v>
      </c>
      <c r="D221" t="s">
        <v>502</v>
      </c>
      <c r="F221" t="s">
        <v>11</v>
      </c>
      <c r="G221" t="s">
        <v>12</v>
      </c>
    </row>
    <row r="222" spans="1:7" x14ac:dyDescent="0.2">
      <c r="A222">
        <v>4096</v>
      </c>
      <c r="B222" t="s">
        <v>503</v>
      </c>
      <c r="C222" s="1">
        <v>43591</v>
      </c>
      <c r="D222" t="s">
        <v>504</v>
      </c>
      <c r="E222" t="s">
        <v>21</v>
      </c>
      <c r="F222" t="s">
        <v>37</v>
      </c>
      <c r="G222" t="s">
        <v>38</v>
      </c>
    </row>
    <row r="223" spans="1:7" x14ac:dyDescent="0.2">
      <c r="A223">
        <v>4100</v>
      </c>
      <c r="B223" t="s">
        <v>505</v>
      </c>
      <c r="C223" s="1">
        <v>43587</v>
      </c>
      <c r="D223" t="s">
        <v>506</v>
      </c>
      <c r="E223" t="s">
        <v>21</v>
      </c>
      <c r="F223" t="s">
        <v>37</v>
      </c>
      <c r="G223" t="s">
        <v>38</v>
      </c>
    </row>
    <row r="224" spans="1:7" x14ac:dyDescent="0.2">
      <c r="A224">
        <v>4040</v>
      </c>
      <c r="B224" t="s">
        <v>507</v>
      </c>
      <c r="C224" s="1">
        <v>43584</v>
      </c>
      <c r="D224" t="s">
        <v>508</v>
      </c>
      <c r="E224" t="s">
        <v>10</v>
      </c>
      <c r="F224" t="s">
        <v>11</v>
      </c>
      <c r="G224" t="s">
        <v>38</v>
      </c>
    </row>
    <row r="225" spans="1:7" x14ac:dyDescent="0.2">
      <c r="A225">
        <v>3964</v>
      </c>
      <c r="B225" t="s">
        <v>509</v>
      </c>
      <c r="C225" s="1">
        <v>43574</v>
      </c>
      <c r="D225" t="s">
        <v>510</v>
      </c>
      <c r="E225" t="s">
        <v>29</v>
      </c>
      <c r="F225" t="s">
        <v>11</v>
      </c>
      <c r="G225" t="s">
        <v>38</v>
      </c>
    </row>
    <row r="226" spans="1:7" x14ac:dyDescent="0.2">
      <c r="A226">
        <v>3949</v>
      </c>
      <c r="B226" t="s">
        <v>511</v>
      </c>
      <c r="C226" s="1">
        <v>43573</v>
      </c>
      <c r="D226" t="s">
        <v>512</v>
      </c>
      <c r="F226" t="s">
        <v>11</v>
      </c>
      <c r="G226" t="s">
        <v>55</v>
      </c>
    </row>
    <row r="227" spans="1:7" x14ac:dyDescent="0.2">
      <c r="A227">
        <v>3939</v>
      </c>
      <c r="B227" t="s">
        <v>513</v>
      </c>
      <c r="C227" s="1">
        <v>43571</v>
      </c>
      <c r="D227" t="s">
        <v>514</v>
      </c>
      <c r="E227" t="s">
        <v>33</v>
      </c>
      <c r="F227" t="s">
        <v>11</v>
      </c>
      <c r="G227" t="s">
        <v>38</v>
      </c>
    </row>
    <row r="228" spans="1:7" x14ac:dyDescent="0.2">
      <c r="A228">
        <v>3934</v>
      </c>
      <c r="B228" t="s">
        <v>515</v>
      </c>
      <c r="C228" s="1">
        <v>43570</v>
      </c>
      <c r="D228" t="s">
        <v>516</v>
      </c>
      <c r="E228" t="s">
        <v>54</v>
      </c>
      <c r="F228" t="s">
        <v>37</v>
      </c>
      <c r="G228" t="s">
        <v>38</v>
      </c>
    </row>
    <row r="229" spans="1:7" x14ac:dyDescent="0.2">
      <c r="A229">
        <v>4577</v>
      </c>
      <c r="B229" t="s">
        <v>517</v>
      </c>
      <c r="C229" s="1">
        <v>43570</v>
      </c>
      <c r="D229" t="s">
        <v>518</v>
      </c>
      <c r="F229" t="s">
        <v>11</v>
      </c>
      <c r="G229" t="s">
        <v>55</v>
      </c>
    </row>
    <row r="230" spans="1:7" x14ac:dyDescent="0.2">
      <c r="A230">
        <v>3872</v>
      </c>
      <c r="B230" t="s">
        <v>519</v>
      </c>
      <c r="C230" s="1">
        <v>43558</v>
      </c>
      <c r="D230" t="s">
        <v>520</v>
      </c>
      <c r="E230" t="s">
        <v>21</v>
      </c>
      <c r="F230" t="s">
        <v>11</v>
      </c>
      <c r="G230" t="s">
        <v>30</v>
      </c>
    </row>
    <row r="231" spans="1:7" x14ac:dyDescent="0.2">
      <c r="A231">
        <v>3871</v>
      </c>
      <c r="B231" t="s">
        <v>521</v>
      </c>
      <c r="C231" s="1">
        <v>43557</v>
      </c>
      <c r="D231" t="s">
        <v>522</v>
      </c>
      <c r="F231" t="s">
        <v>22</v>
      </c>
      <c r="G231" t="s">
        <v>91</v>
      </c>
    </row>
    <row r="232" spans="1:7" x14ac:dyDescent="0.2">
      <c r="A232">
        <v>3843</v>
      </c>
      <c r="B232" t="s">
        <v>523</v>
      </c>
      <c r="C232" s="1">
        <v>43556</v>
      </c>
      <c r="D232" t="s">
        <v>524</v>
      </c>
      <c r="F232" t="s">
        <v>11</v>
      </c>
      <c r="G232" t="s">
        <v>30</v>
      </c>
    </row>
    <row r="233" spans="1:7" x14ac:dyDescent="0.2">
      <c r="A233">
        <v>3868</v>
      </c>
      <c r="B233" t="s">
        <v>525</v>
      </c>
      <c r="C233" s="1">
        <v>43556</v>
      </c>
      <c r="D233" t="s">
        <v>526</v>
      </c>
      <c r="E233" t="s">
        <v>21</v>
      </c>
      <c r="F233" t="s">
        <v>37</v>
      </c>
      <c r="G233" t="s">
        <v>38</v>
      </c>
    </row>
    <row r="234" spans="1:7" x14ac:dyDescent="0.2">
      <c r="A234">
        <v>4177</v>
      </c>
      <c r="B234" t="s">
        <v>527</v>
      </c>
      <c r="C234" s="1">
        <v>43556</v>
      </c>
      <c r="D234" t="s">
        <v>528</v>
      </c>
      <c r="F234" t="s">
        <v>11</v>
      </c>
      <c r="G234" t="s">
        <v>12</v>
      </c>
    </row>
    <row r="235" spans="1:7" x14ac:dyDescent="0.2">
      <c r="A235">
        <v>3859</v>
      </c>
      <c r="B235" t="s">
        <v>529</v>
      </c>
      <c r="C235" s="1">
        <v>43553</v>
      </c>
      <c r="D235" t="s">
        <v>530</v>
      </c>
      <c r="E235" t="s">
        <v>17</v>
      </c>
      <c r="F235" t="s">
        <v>48</v>
      </c>
      <c r="G235" t="s">
        <v>531</v>
      </c>
    </row>
    <row r="236" spans="1:7" x14ac:dyDescent="0.2">
      <c r="A236">
        <v>3856</v>
      </c>
      <c r="B236" t="s">
        <v>532</v>
      </c>
      <c r="C236" s="1">
        <v>43552</v>
      </c>
      <c r="D236" t="s">
        <v>533</v>
      </c>
      <c r="E236" t="s">
        <v>54</v>
      </c>
      <c r="F236" t="s">
        <v>37</v>
      </c>
      <c r="G236" t="s">
        <v>30</v>
      </c>
    </row>
    <row r="237" spans="1:7" x14ac:dyDescent="0.2">
      <c r="A237">
        <v>3838</v>
      </c>
      <c r="B237" t="s">
        <v>534</v>
      </c>
      <c r="C237" s="1">
        <v>43549</v>
      </c>
      <c r="D237" t="s">
        <v>535</v>
      </c>
      <c r="F237" t="s">
        <v>11</v>
      </c>
      <c r="G237" t="s">
        <v>61</v>
      </c>
    </row>
    <row r="238" spans="1:7" x14ac:dyDescent="0.2">
      <c r="A238">
        <v>4174</v>
      </c>
      <c r="B238" t="s">
        <v>536</v>
      </c>
      <c r="C238" s="1">
        <v>43539</v>
      </c>
      <c r="D238" t="s">
        <v>537</v>
      </c>
      <c r="E238" t="s">
        <v>21</v>
      </c>
      <c r="F238" t="s">
        <v>11</v>
      </c>
      <c r="G238" t="s">
        <v>12</v>
      </c>
    </row>
    <row r="239" spans="1:7" x14ac:dyDescent="0.2">
      <c r="A239">
        <v>3823</v>
      </c>
      <c r="B239" t="s">
        <v>538</v>
      </c>
      <c r="C239" s="1">
        <v>43537</v>
      </c>
      <c r="D239" t="s">
        <v>539</v>
      </c>
      <c r="F239" t="s">
        <v>34</v>
      </c>
      <c r="G239" t="s">
        <v>540</v>
      </c>
    </row>
    <row r="240" spans="1:7" x14ac:dyDescent="0.2">
      <c r="A240">
        <v>3817</v>
      </c>
      <c r="B240" t="s">
        <v>541</v>
      </c>
      <c r="C240" s="1">
        <v>43534</v>
      </c>
      <c r="D240" t="s">
        <v>542</v>
      </c>
      <c r="F240" t="s">
        <v>11</v>
      </c>
      <c r="G240" t="s">
        <v>112</v>
      </c>
    </row>
    <row r="241" spans="1:7" x14ac:dyDescent="0.2">
      <c r="A241">
        <v>3815</v>
      </c>
      <c r="B241" t="s">
        <v>543</v>
      </c>
      <c r="C241" s="1">
        <v>43523</v>
      </c>
      <c r="D241" t="s">
        <v>544</v>
      </c>
      <c r="F241" t="s">
        <v>37</v>
      </c>
      <c r="G241" t="s">
        <v>30</v>
      </c>
    </row>
    <row r="242" spans="1:7" x14ac:dyDescent="0.2">
      <c r="A242">
        <v>3724</v>
      </c>
      <c r="B242" t="s">
        <v>545</v>
      </c>
      <c r="C242" s="1">
        <v>43521</v>
      </c>
      <c r="D242" t="s">
        <v>546</v>
      </c>
      <c r="E242" t="s">
        <v>21</v>
      </c>
      <c r="F242" t="s">
        <v>37</v>
      </c>
      <c r="G242" t="s">
        <v>30</v>
      </c>
    </row>
    <row r="243" spans="1:7" x14ac:dyDescent="0.2">
      <c r="A243">
        <v>3717</v>
      </c>
      <c r="B243" t="s">
        <v>547</v>
      </c>
      <c r="C243" s="1">
        <v>43518</v>
      </c>
      <c r="D243" t="s">
        <v>548</v>
      </c>
      <c r="E243" t="s">
        <v>549</v>
      </c>
      <c r="F243" t="s">
        <v>37</v>
      </c>
      <c r="G243" t="s">
        <v>30</v>
      </c>
    </row>
    <row r="244" spans="1:7" x14ac:dyDescent="0.2">
      <c r="A244">
        <v>3634</v>
      </c>
      <c r="B244" t="s">
        <v>550</v>
      </c>
      <c r="C244" s="1">
        <v>43516</v>
      </c>
      <c r="D244" t="s">
        <v>551</v>
      </c>
      <c r="E244" t="s">
        <v>21</v>
      </c>
      <c r="F244" t="s">
        <v>37</v>
      </c>
      <c r="G244" t="s">
        <v>127</v>
      </c>
    </row>
    <row r="245" spans="1:7" x14ac:dyDescent="0.2">
      <c r="A245">
        <v>3629</v>
      </c>
      <c r="B245" t="s">
        <v>552</v>
      </c>
      <c r="C245" s="1">
        <v>43515</v>
      </c>
      <c r="D245" t="s">
        <v>553</v>
      </c>
      <c r="F245" t="s">
        <v>34</v>
      </c>
      <c r="G245" t="s">
        <v>30</v>
      </c>
    </row>
    <row r="246" spans="1:7" x14ac:dyDescent="0.2">
      <c r="A246">
        <v>3507</v>
      </c>
      <c r="B246" t="s">
        <v>554</v>
      </c>
      <c r="C246" s="1">
        <v>43503</v>
      </c>
      <c r="D246" t="s">
        <v>555</v>
      </c>
      <c r="E246" t="s">
        <v>51</v>
      </c>
      <c r="F246" t="s">
        <v>37</v>
      </c>
      <c r="G246" t="s">
        <v>556</v>
      </c>
    </row>
    <row r="247" spans="1:7" x14ac:dyDescent="0.2">
      <c r="A247">
        <v>3951</v>
      </c>
      <c r="B247" t="s">
        <v>557</v>
      </c>
      <c r="C247" s="1">
        <v>43496</v>
      </c>
      <c r="D247" t="s">
        <v>558</v>
      </c>
      <c r="F247" t="s">
        <v>11</v>
      </c>
      <c r="G247" t="s">
        <v>83</v>
      </c>
    </row>
    <row r="248" spans="1:7" x14ac:dyDescent="0.2">
      <c r="A248">
        <v>3376</v>
      </c>
      <c r="B248" t="s">
        <v>559</v>
      </c>
      <c r="C248" s="1">
        <v>43493</v>
      </c>
      <c r="D248" t="s">
        <v>560</v>
      </c>
      <c r="E248" t="s">
        <v>17</v>
      </c>
      <c r="F248" t="s">
        <v>37</v>
      </c>
      <c r="G248" t="s">
        <v>78</v>
      </c>
    </row>
    <row r="249" spans="1:7" x14ac:dyDescent="0.2">
      <c r="A249">
        <v>3421</v>
      </c>
      <c r="B249" t="s">
        <v>561</v>
      </c>
      <c r="C249" s="1">
        <v>43487</v>
      </c>
      <c r="D249" t="s">
        <v>562</v>
      </c>
      <c r="F249" t="s">
        <v>11</v>
      </c>
      <c r="G249" t="s">
        <v>107</v>
      </c>
    </row>
    <row r="250" spans="1:7" x14ac:dyDescent="0.2">
      <c r="A250">
        <v>3442</v>
      </c>
      <c r="B250" t="s">
        <v>563</v>
      </c>
      <c r="C250" s="1">
        <v>43486</v>
      </c>
      <c r="D250" t="s">
        <v>564</v>
      </c>
      <c r="F250" t="s">
        <v>11</v>
      </c>
      <c r="G250" t="s">
        <v>12</v>
      </c>
    </row>
    <row r="251" spans="1:7" x14ac:dyDescent="0.2">
      <c r="A251">
        <v>3415</v>
      </c>
      <c r="B251" t="s">
        <v>565</v>
      </c>
      <c r="C251" s="1">
        <v>43485</v>
      </c>
      <c r="D251" t="s">
        <v>566</v>
      </c>
      <c r="F251" t="s">
        <v>11</v>
      </c>
      <c r="G251" t="s">
        <v>91</v>
      </c>
    </row>
    <row r="252" spans="1:7" x14ac:dyDescent="0.2">
      <c r="A252">
        <v>3410</v>
      </c>
      <c r="B252" t="s">
        <v>567</v>
      </c>
      <c r="C252" s="1">
        <v>43480</v>
      </c>
      <c r="D252" t="s">
        <v>568</v>
      </c>
      <c r="E252" t="s">
        <v>29</v>
      </c>
      <c r="F252" t="s">
        <v>11</v>
      </c>
      <c r="G252" t="s">
        <v>12</v>
      </c>
    </row>
    <row r="253" spans="1:7" x14ac:dyDescent="0.2">
      <c r="A253">
        <v>3274</v>
      </c>
      <c r="B253" t="s">
        <v>569</v>
      </c>
      <c r="C253" s="1">
        <v>43475</v>
      </c>
      <c r="D253" t="s">
        <v>570</v>
      </c>
      <c r="E253" t="s">
        <v>71</v>
      </c>
      <c r="F253" t="s">
        <v>34</v>
      </c>
      <c r="G253" t="s">
        <v>38</v>
      </c>
    </row>
    <row r="254" spans="1:7" x14ac:dyDescent="0.2">
      <c r="A254">
        <v>3254</v>
      </c>
      <c r="B254" t="s">
        <v>571</v>
      </c>
      <c r="C254" s="1">
        <v>43452</v>
      </c>
      <c r="D254" t="s">
        <v>572</v>
      </c>
      <c r="E254" t="s">
        <v>33</v>
      </c>
      <c r="F254" t="s">
        <v>11</v>
      </c>
      <c r="G254" t="s">
        <v>370</v>
      </c>
    </row>
    <row r="255" spans="1:7" x14ac:dyDescent="0.2">
      <c r="A255">
        <v>3257</v>
      </c>
      <c r="B255" t="s">
        <v>573</v>
      </c>
      <c r="C255" s="1">
        <v>43452</v>
      </c>
      <c r="D255" t="s">
        <v>574</v>
      </c>
      <c r="F255" t="s">
        <v>48</v>
      </c>
      <c r="G255" t="s">
        <v>575</v>
      </c>
    </row>
    <row r="256" spans="1:7" x14ac:dyDescent="0.2">
      <c r="A256">
        <v>3225</v>
      </c>
      <c r="B256" t="s">
        <v>576</v>
      </c>
      <c r="C256" s="1">
        <v>43447</v>
      </c>
      <c r="D256" t="s">
        <v>577</v>
      </c>
      <c r="E256" t="s">
        <v>29</v>
      </c>
      <c r="F256" t="s">
        <v>22</v>
      </c>
      <c r="G256" t="s">
        <v>224</v>
      </c>
    </row>
    <row r="257" spans="1:7" x14ac:dyDescent="0.2">
      <c r="A257">
        <v>2977</v>
      </c>
      <c r="B257" t="s">
        <v>578</v>
      </c>
      <c r="C257" s="1">
        <v>43437</v>
      </c>
      <c r="D257" t="s">
        <v>579</v>
      </c>
      <c r="E257" t="s">
        <v>21</v>
      </c>
      <c r="F257" t="s">
        <v>34</v>
      </c>
      <c r="G257" t="s">
        <v>38</v>
      </c>
    </row>
    <row r="258" spans="1:7" x14ac:dyDescent="0.2">
      <c r="A258">
        <v>2783</v>
      </c>
      <c r="B258" t="s">
        <v>580</v>
      </c>
      <c r="C258" s="1">
        <v>43431</v>
      </c>
      <c r="D258" t="s">
        <v>581</v>
      </c>
      <c r="F258" t="s">
        <v>34</v>
      </c>
      <c r="G258" t="s">
        <v>30</v>
      </c>
    </row>
    <row r="259" spans="1:7" x14ac:dyDescent="0.2">
      <c r="A259">
        <v>2747</v>
      </c>
      <c r="B259" t="s">
        <v>582</v>
      </c>
      <c r="C259" s="1">
        <v>43430</v>
      </c>
      <c r="D259" t="s">
        <v>583</v>
      </c>
      <c r="E259" t="s">
        <v>21</v>
      </c>
      <c r="F259" t="s">
        <v>48</v>
      </c>
      <c r="G259" t="s">
        <v>132</v>
      </c>
    </row>
    <row r="260" spans="1:7" x14ac:dyDescent="0.2">
      <c r="A260">
        <v>2642</v>
      </c>
      <c r="B260" t="s">
        <v>584</v>
      </c>
      <c r="C260" s="1">
        <v>43424</v>
      </c>
      <c r="D260" t="s">
        <v>585</v>
      </c>
      <c r="F260" t="s">
        <v>37</v>
      </c>
      <c r="G260" t="s">
        <v>132</v>
      </c>
    </row>
    <row r="261" spans="1:7" x14ac:dyDescent="0.2">
      <c r="A261">
        <v>2408</v>
      </c>
      <c r="B261" t="s">
        <v>586</v>
      </c>
      <c r="C261" s="1">
        <v>43416</v>
      </c>
      <c r="D261" t="s">
        <v>587</v>
      </c>
      <c r="F261" t="s">
        <v>11</v>
      </c>
      <c r="G261" t="s">
        <v>455</v>
      </c>
    </row>
    <row r="262" spans="1:7" x14ac:dyDescent="0.2">
      <c r="A262">
        <v>2111</v>
      </c>
      <c r="B262" t="s">
        <v>588</v>
      </c>
      <c r="C262" s="1">
        <v>43406</v>
      </c>
      <c r="D262" t="s">
        <v>589</v>
      </c>
      <c r="E262" t="s">
        <v>51</v>
      </c>
      <c r="F262" t="s">
        <v>37</v>
      </c>
      <c r="G262" t="s">
        <v>38</v>
      </c>
    </row>
    <row r="263" spans="1:7" x14ac:dyDescent="0.2">
      <c r="A263">
        <v>1935</v>
      </c>
      <c r="B263" t="s">
        <v>590</v>
      </c>
      <c r="C263" s="1">
        <v>43399</v>
      </c>
      <c r="D263" t="s">
        <v>591</v>
      </c>
      <c r="F263" t="s">
        <v>11</v>
      </c>
      <c r="G263" t="s">
        <v>86</v>
      </c>
    </row>
    <row r="264" spans="1:7" x14ac:dyDescent="0.2">
      <c r="A264">
        <v>1947</v>
      </c>
      <c r="B264" t="s">
        <v>592</v>
      </c>
      <c r="C264" s="1">
        <v>43399</v>
      </c>
      <c r="D264" t="s">
        <v>593</v>
      </c>
      <c r="F264" t="s">
        <v>11</v>
      </c>
      <c r="G264" t="s">
        <v>91</v>
      </c>
    </row>
    <row r="265" spans="1:7" x14ac:dyDescent="0.2">
      <c r="A265">
        <v>1914</v>
      </c>
      <c r="B265" t="s">
        <v>594</v>
      </c>
      <c r="C265" s="1">
        <v>43398</v>
      </c>
      <c r="D265" t="s">
        <v>595</v>
      </c>
      <c r="F265" t="s">
        <v>11</v>
      </c>
      <c r="G265" t="s">
        <v>91</v>
      </c>
    </row>
    <row r="266" spans="1:7" x14ac:dyDescent="0.2">
      <c r="A266">
        <v>1930</v>
      </c>
      <c r="B266" t="s">
        <v>596</v>
      </c>
      <c r="C266" s="1">
        <v>43398</v>
      </c>
      <c r="D266" t="s">
        <v>597</v>
      </c>
      <c r="F266" t="s">
        <v>48</v>
      </c>
      <c r="G266" t="s">
        <v>598</v>
      </c>
    </row>
    <row r="267" spans="1:7" x14ac:dyDescent="0.2">
      <c r="A267">
        <v>1701</v>
      </c>
      <c r="B267" t="s">
        <v>599</v>
      </c>
      <c r="C267" s="1">
        <v>43370</v>
      </c>
      <c r="D267" t="s">
        <v>600</v>
      </c>
      <c r="E267" t="s">
        <v>10</v>
      </c>
      <c r="F267" t="s">
        <v>11</v>
      </c>
      <c r="G267" t="s">
        <v>12</v>
      </c>
    </row>
    <row r="268" spans="1:7" x14ac:dyDescent="0.2">
      <c r="A268">
        <v>1668</v>
      </c>
      <c r="B268" t="s">
        <v>601</v>
      </c>
      <c r="C268" s="1">
        <v>43363</v>
      </c>
      <c r="D268" t="s">
        <v>602</v>
      </c>
      <c r="E268" t="s">
        <v>51</v>
      </c>
      <c r="F268" t="s">
        <v>37</v>
      </c>
      <c r="G268" t="s">
        <v>38</v>
      </c>
    </row>
    <row r="269" spans="1:7" x14ac:dyDescent="0.2">
      <c r="A269">
        <v>1698</v>
      </c>
      <c r="B269" t="s">
        <v>603</v>
      </c>
      <c r="C269" s="1">
        <v>43363</v>
      </c>
      <c r="D269" t="s">
        <v>604</v>
      </c>
      <c r="E269" t="s">
        <v>21</v>
      </c>
      <c r="F269" t="s">
        <v>37</v>
      </c>
      <c r="G269" t="s">
        <v>30</v>
      </c>
    </row>
    <row r="270" spans="1:7" x14ac:dyDescent="0.2">
      <c r="A270">
        <v>1544</v>
      </c>
      <c r="B270" t="s">
        <v>605</v>
      </c>
      <c r="C270" s="1">
        <v>43356</v>
      </c>
      <c r="D270" t="s">
        <v>606</v>
      </c>
      <c r="F270" t="s">
        <v>22</v>
      </c>
      <c r="G270" t="s">
        <v>91</v>
      </c>
    </row>
    <row r="271" spans="1:7" x14ac:dyDescent="0.2">
      <c r="A271">
        <v>1696</v>
      </c>
      <c r="B271" t="s">
        <v>607</v>
      </c>
      <c r="C271" s="1">
        <v>43344</v>
      </c>
      <c r="D271" t="s">
        <v>608</v>
      </c>
      <c r="F271" t="s">
        <v>11</v>
      </c>
      <c r="G271" t="s">
        <v>30</v>
      </c>
    </row>
    <row r="272" spans="1:7" x14ac:dyDescent="0.2">
      <c r="A272">
        <v>1615</v>
      </c>
      <c r="B272" t="s">
        <v>609</v>
      </c>
      <c r="C272" s="1">
        <v>43336</v>
      </c>
      <c r="D272" t="s">
        <v>610</v>
      </c>
      <c r="F272" t="s">
        <v>11</v>
      </c>
      <c r="G272" t="s">
        <v>611</v>
      </c>
    </row>
    <row r="273" spans="1:7" x14ac:dyDescent="0.2">
      <c r="A273">
        <v>1681</v>
      </c>
      <c r="B273" t="s">
        <v>612</v>
      </c>
      <c r="C273" s="1">
        <v>43336</v>
      </c>
      <c r="D273" t="s">
        <v>613</v>
      </c>
      <c r="F273" t="s">
        <v>37</v>
      </c>
      <c r="G273" t="s">
        <v>78</v>
      </c>
    </row>
    <row r="274" spans="1:7" x14ac:dyDescent="0.2">
      <c r="A274">
        <v>1493</v>
      </c>
      <c r="B274" t="s">
        <v>614</v>
      </c>
      <c r="C274" s="1">
        <v>43329</v>
      </c>
      <c r="D274" t="s">
        <v>615</v>
      </c>
      <c r="E274" t="s">
        <v>33</v>
      </c>
      <c r="F274" t="s">
        <v>37</v>
      </c>
      <c r="G274" t="s">
        <v>38</v>
      </c>
    </row>
    <row r="275" spans="1:7" x14ac:dyDescent="0.2">
      <c r="A275">
        <v>1294</v>
      </c>
      <c r="B275" t="s">
        <v>616</v>
      </c>
      <c r="C275" s="1">
        <v>43325</v>
      </c>
      <c r="D275" t="s">
        <v>617</v>
      </c>
      <c r="F275" t="s">
        <v>11</v>
      </c>
      <c r="G275" t="s">
        <v>55</v>
      </c>
    </row>
    <row r="276" spans="1:7" x14ac:dyDescent="0.2">
      <c r="A276">
        <v>1613</v>
      </c>
      <c r="B276" t="s">
        <v>618</v>
      </c>
      <c r="C276" s="1">
        <v>43318</v>
      </c>
      <c r="D276" t="s">
        <v>619</v>
      </c>
      <c r="F276" t="s">
        <v>11</v>
      </c>
      <c r="G276" t="s">
        <v>297</v>
      </c>
    </row>
    <row r="277" spans="1:7" x14ac:dyDescent="0.2">
      <c r="A277">
        <v>1289</v>
      </c>
      <c r="B277" t="s">
        <v>620</v>
      </c>
      <c r="C277" s="1">
        <v>43316</v>
      </c>
      <c r="D277" t="s">
        <v>621</v>
      </c>
      <c r="E277" t="s">
        <v>29</v>
      </c>
      <c r="F277" t="s">
        <v>11</v>
      </c>
      <c r="G277" t="s">
        <v>23</v>
      </c>
    </row>
    <row r="278" spans="1:7" x14ac:dyDescent="0.2">
      <c r="A278">
        <v>433</v>
      </c>
      <c r="B278" t="s">
        <v>1200</v>
      </c>
      <c r="C278" s="1">
        <v>43307</v>
      </c>
      <c r="D278" t="s">
        <v>1201</v>
      </c>
      <c r="E278" t="s">
        <v>51</v>
      </c>
      <c r="F278" t="s">
        <v>22</v>
      </c>
      <c r="G278" t="s">
        <v>38</v>
      </c>
    </row>
    <row r="279" spans="1:7" x14ac:dyDescent="0.2">
      <c r="A279">
        <v>437</v>
      </c>
      <c r="B279" t="s">
        <v>622</v>
      </c>
      <c r="C279" s="1">
        <v>43294</v>
      </c>
      <c r="D279" t="s">
        <v>623</v>
      </c>
      <c r="E279" t="s">
        <v>21</v>
      </c>
      <c r="F279" t="s">
        <v>11</v>
      </c>
      <c r="G279" t="s">
        <v>23</v>
      </c>
    </row>
    <row r="280" spans="1:7" x14ac:dyDescent="0.2">
      <c r="A280">
        <v>1286</v>
      </c>
      <c r="B280" t="s">
        <v>624</v>
      </c>
      <c r="C280" s="1">
        <v>43289</v>
      </c>
      <c r="D280" t="s">
        <v>625</v>
      </c>
      <c r="E280" t="s">
        <v>21</v>
      </c>
      <c r="F280" t="s">
        <v>11</v>
      </c>
      <c r="G280" t="s">
        <v>23</v>
      </c>
    </row>
    <row r="281" spans="1:7" x14ac:dyDescent="0.2">
      <c r="A281">
        <v>1288</v>
      </c>
      <c r="B281" t="s">
        <v>626</v>
      </c>
      <c r="C281" s="1">
        <v>43280</v>
      </c>
      <c r="D281" t="s">
        <v>627</v>
      </c>
      <c r="E281" t="s">
        <v>17</v>
      </c>
      <c r="F281" t="s">
        <v>11</v>
      </c>
      <c r="G281" t="s">
        <v>23</v>
      </c>
    </row>
    <row r="282" spans="1:7" x14ac:dyDescent="0.2">
      <c r="A282">
        <v>1306</v>
      </c>
      <c r="B282" t="s">
        <v>628</v>
      </c>
      <c r="C282" s="1">
        <v>43267</v>
      </c>
      <c r="D282" t="s">
        <v>629</v>
      </c>
      <c r="F282" t="s">
        <v>11</v>
      </c>
      <c r="G282" t="s">
        <v>598</v>
      </c>
    </row>
    <row r="283" spans="1:7" x14ac:dyDescent="0.2">
      <c r="A283">
        <v>1309</v>
      </c>
      <c r="B283" t="s">
        <v>108</v>
      </c>
      <c r="C283" s="1">
        <v>43261</v>
      </c>
      <c r="D283" t="s">
        <v>630</v>
      </c>
      <c r="F283" t="s">
        <v>11</v>
      </c>
      <c r="G283" t="s">
        <v>159</v>
      </c>
    </row>
    <row r="284" spans="1:7" x14ac:dyDescent="0.2">
      <c r="A284">
        <v>1310</v>
      </c>
      <c r="B284" t="s">
        <v>631</v>
      </c>
      <c r="C284" s="1">
        <v>43255</v>
      </c>
      <c r="D284" t="s">
        <v>632</v>
      </c>
      <c r="F284" t="s">
        <v>11</v>
      </c>
      <c r="G284" t="s">
        <v>455</v>
      </c>
    </row>
    <row r="285" spans="1:7" x14ac:dyDescent="0.2">
      <c r="A285">
        <v>1626</v>
      </c>
      <c r="B285" t="s">
        <v>633</v>
      </c>
      <c r="C285" s="1">
        <v>43252</v>
      </c>
      <c r="D285" t="s">
        <v>634</v>
      </c>
      <c r="F285" t="s">
        <v>11</v>
      </c>
      <c r="G285" t="s">
        <v>635</v>
      </c>
    </row>
    <row r="286" spans="1:7" x14ac:dyDescent="0.2">
      <c r="A286">
        <v>1312</v>
      </c>
      <c r="B286" t="s">
        <v>636</v>
      </c>
      <c r="C286" s="1">
        <v>43250</v>
      </c>
      <c r="D286" t="s">
        <v>637</v>
      </c>
      <c r="E286" t="s">
        <v>54</v>
      </c>
      <c r="F286" t="s">
        <v>11</v>
      </c>
      <c r="G286" t="s">
        <v>91</v>
      </c>
    </row>
    <row r="287" spans="1:7" x14ac:dyDescent="0.2">
      <c r="A287">
        <v>1318</v>
      </c>
      <c r="B287" t="s">
        <v>638</v>
      </c>
      <c r="C287" s="1">
        <v>43237</v>
      </c>
      <c r="D287" t="s">
        <v>639</v>
      </c>
      <c r="E287" t="s">
        <v>54</v>
      </c>
      <c r="F287" t="s">
        <v>11</v>
      </c>
      <c r="G287" t="s">
        <v>91</v>
      </c>
    </row>
    <row r="288" spans="1:7" x14ac:dyDescent="0.2">
      <c r="A288">
        <v>1346</v>
      </c>
      <c r="B288" t="s">
        <v>640</v>
      </c>
      <c r="C288" s="1">
        <v>43231</v>
      </c>
      <c r="D288" t="s">
        <v>641</v>
      </c>
      <c r="E288" t="s">
        <v>96</v>
      </c>
      <c r="F288" t="s">
        <v>22</v>
      </c>
      <c r="G288" t="s">
        <v>38</v>
      </c>
    </row>
    <row r="289" spans="1:7" x14ac:dyDescent="0.2">
      <c r="A289">
        <v>1351</v>
      </c>
      <c r="B289" t="s">
        <v>642</v>
      </c>
      <c r="C289" s="1">
        <v>43230</v>
      </c>
      <c r="D289" t="s">
        <v>643</v>
      </c>
      <c r="E289" t="s">
        <v>29</v>
      </c>
      <c r="F289" t="s">
        <v>48</v>
      </c>
      <c r="G289" t="s">
        <v>30</v>
      </c>
    </row>
    <row r="290" spans="1:7" x14ac:dyDescent="0.2">
      <c r="A290">
        <v>1353</v>
      </c>
      <c r="B290" t="s">
        <v>374</v>
      </c>
      <c r="C290" s="1">
        <v>43229</v>
      </c>
      <c r="D290" t="s">
        <v>644</v>
      </c>
      <c r="E290" t="s">
        <v>645</v>
      </c>
      <c r="F290" t="s">
        <v>11</v>
      </c>
      <c r="G290" t="s">
        <v>30</v>
      </c>
    </row>
    <row r="291" spans="1:7" x14ac:dyDescent="0.2">
      <c r="A291">
        <v>1357</v>
      </c>
      <c r="B291" t="s">
        <v>646</v>
      </c>
      <c r="C291" s="1">
        <v>43222</v>
      </c>
      <c r="D291" t="s">
        <v>647</v>
      </c>
      <c r="F291" t="s">
        <v>34</v>
      </c>
      <c r="G291" t="s">
        <v>30</v>
      </c>
    </row>
    <row r="292" spans="1:7" x14ac:dyDescent="0.2">
      <c r="A292">
        <v>1360</v>
      </c>
      <c r="B292" t="s">
        <v>648</v>
      </c>
      <c r="C292" s="1">
        <v>43222</v>
      </c>
      <c r="D292" t="s">
        <v>649</v>
      </c>
      <c r="F292" t="s">
        <v>22</v>
      </c>
      <c r="G292" t="s">
        <v>55</v>
      </c>
    </row>
    <row r="293" spans="1:7" x14ac:dyDescent="0.2">
      <c r="A293">
        <v>1390</v>
      </c>
      <c r="B293" t="s">
        <v>650</v>
      </c>
      <c r="C293" s="1">
        <v>43210</v>
      </c>
      <c r="D293" t="s">
        <v>651</v>
      </c>
      <c r="E293" t="s">
        <v>29</v>
      </c>
      <c r="F293" t="s">
        <v>11</v>
      </c>
      <c r="G293" t="s">
        <v>30</v>
      </c>
    </row>
    <row r="294" spans="1:7" x14ac:dyDescent="0.2">
      <c r="A294">
        <v>1391</v>
      </c>
      <c r="B294" t="s">
        <v>652</v>
      </c>
      <c r="C294" s="1">
        <v>43200</v>
      </c>
      <c r="D294" t="s">
        <v>653</v>
      </c>
      <c r="E294" t="s">
        <v>149</v>
      </c>
      <c r="F294" t="s">
        <v>11</v>
      </c>
      <c r="G294" t="s">
        <v>654</v>
      </c>
    </row>
    <row r="295" spans="1:7" x14ac:dyDescent="0.2">
      <c r="A295">
        <v>1392</v>
      </c>
      <c r="B295" t="s">
        <v>655</v>
      </c>
      <c r="C295" s="1">
        <v>43195</v>
      </c>
      <c r="D295" t="s">
        <v>656</v>
      </c>
      <c r="E295" t="s">
        <v>29</v>
      </c>
      <c r="F295" t="s">
        <v>37</v>
      </c>
      <c r="G295" t="s">
        <v>78</v>
      </c>
    </row>
    <row r="296" spans="1:7" x14ac:dyDescent="0.2">
      <c r="A296">
        <v>1396</v>
      </c>
      <c r="B296" t="s">
        <v>657</v>
      </c>
      <c r="C296" s="1">
        <v>43188</v>
      </c>
      <c r="D296" t="s">
        <v>658</v>
      </c>
      <c r="F296" t="s">
        <v>11</v>
      </c>
      <c r="G296" t="s">
        <v>173</v>
      </c>
    </row>
    <row r="297" spans="1:7" x14ac:dyDescent="0.2">
      <c r="A297">
        <v>1399</v>
      </c>
      <c r="B297" t="s">
        <v>659</v>
      </c>
      <c r="C297" s="1">
        <v>43186</v>
      </c>
      <c r="D297" t="s">
        <v>660</v>
      </c>
      <c r="F297" t="s">
        <v>37</v>
      </c>
      <c r="G297" t="s">
        <v>30</v>
      </c>
    </row>
    <row r="298" spans="1:7" x14ac:dyDescent="0.2">
      <c r="A298">
        <v>1400</v>
      </c>
      <c r="B298" t="s">
        <v>661</v>
      </c>
      <c r="C298" s="1">
        <v>43181</v>
      </c>
      <c r="D298" t="s">
        <v>662</v>
      </c>
      <c r="F298" t="s">
        <v>11</v>
      </c>
      <c r="G298" t="s">
        <v>12</v>
      </c>
    </row>
    <row r="299" spans="1:7" x14ac:dyDescent="0.2">
      <c r="A299">
        <v>769</v>
      </c>
      <c r="B299" t="s">
        <v>663</v>
      </c>
      <c r="C299" s="1">
        <v>43180</v>
      </c>
      <c r="D299" t="s">
        <v>664</v>
      </c>
      <c r="E299" t="s">
        <v>182</v>
      </c>
      <c r="F299" t="s">
        <v>37</v>
      </c>
      <c r="G299" t="s">
        <v>38</v>
      </c>
    </row>
    <row r="300" spans="1:7" x14ac:dyDescent="0.2">
      <c r="A300">
        <v>1436</v>
      </c>
      <c r="B300" t="s">
        <v>665</v>
      </c>
      <c r="C300" s="1">
        <v>43143</v>
      </c>
      <c r="D300" t="s">
        <v>666</v>
      </c>
      <c r="F300" t="s">
        <v>34</v>
      </c>
      <c r="G300" t="s">
        <v>30</v>
      </c>
    </row>
    <row r="301" spans="1:7" x14ac:dyDescent="0.2">
      <c r="A301">
        <v>1490</v>
      </c>
      <c r="B301" t="s">
        <v>667</v>
      </c>
      <c r="C301" s="1">
        <v>43136</v>
      </c>
      <c r="D301" t="s">
        <v>668</v>
      </c>
      <c r="F301" t="s">
        <v>11</v>
      </c>
      <c r="G301" t="s">
        <v>132</v>
      </c>
    </row>
    <row r="302" spans="1:7" x14ac:dyDescent="0.2">
      <c r="A302">
        <v>1431</v>
      </c>
      <c r="B302" t="s">
        <v>669</v>
      </c>
      <c r="C302" s="1">
        <v>43134</v>
      </c>
      <c r="D302" t="s">
        <v>670</v>
      </c>
      <c r="F302" t="s">
        <v>11</v>
      </c>
      <c r="G302" t="s">
        <v>91</v>
      </c>
    </row>
    <row r="303" spans="1:7" x14ac:dyDescent="0.2">
      <c r="A303">
        <v>1438</v>
      </c>
      <c r="B303" t="s">
        <v>671</v>
      </c>
      <c r="C303" s="1">
        <v>43131</v>
      </c>
      <c r="D303" t="s">
        <v>672</v>
      </c>
      <c r="F303" t="s">
        <v>11</v>
      </c>
      <c r="G303" t="s">
        <v>30</v>
      </c>
    </row>
    <row r="304" spans="1:7" x14ac:dyDescent="0.2">
      <c r="A304">
        <v>1445</v>
      </c>
      <c r="B304" t="s">
        <v>673</v>
      </c>
      <c r="C304" s="1">
        <v>43131</v>
      </c>
      <c r="D304" t="s">
        <v>674</v>
      </c>
      <c r="F304" t="s">
        <v>11</v>
      </c>
      <c r="G304" t="s">
        <v>675</v>
      </c>
    </row>
    <row r="305" spans="1:7" x14ac:dyDescent="0.2">
      <c r="A305">
        <v>1448</v>
      </c>
      <c r="B305" t="s">
        <v>676</v>
      </c>
      <c r="C305" s="1">
        <v>43130</v>
      </c>
      <c r="D305" t="s">
        <v>677</v>
      </c>
      <c r="E305" t="s">
        <v>124</v>
      </c>
      <c r="F305" t="s">
        <v>22</v>
      </c>
      <c r="G305" t="s">
        <v>38</v>
      </c>
    </row>
    <row r="306" spans="1:7" x14ac:dyDescent="0.2">
      <c r="A306">
        <v>1452</v>
      </c>
      <c r="B306" t="s">
        <v>678</v>
      </c>
      <c r="C306" s="1">
        <v>43110</v>
      </c>
      <c r="D306" t="s">
        <v>679</v>
      </c>
      <c r="F306" t="s">
        <v>22</v>
      </c>
      <c r="G306" t="s">
        <v>30</v>
      </c>
    </row>
    <row r="307" spans="1:7" x14ac:dyDescent="0.2">
      <c r="A307">
        <v>1453</v>
      </c>
      <c r="B307" t="s">
        <v>680</v>
      </c>
      <c r="C307" s="1">
        <v>43109</v>
      </c>
      <c r="D307" t="s">
        <v>681</v>
      </c>
      <c r="E307" t="s">
        <v>33</v>
      </c>
      <c r="F307" t="s">
        <v>34</v>
      </c>
      <c r="G307" t="s">
        <v>38</v>
      </c>
    </row>
    <row r="308" spans="1:7" x14ac:dyDescent="0.2">
      <c r="A308">
        <v>1456</v>
      </c>
      <c r="B308" t="s">
        <v>682</v>
      </c>
      <c r="C308" s="1">
        <v>43109</v>
      </c>
      <c r="D308" t="s">
        <v>683</v>
      </c>
      <c r="E308" t="s">
        <v>51</v>
      </c>
      <c r="F308" t="s">
        <v>37</v>
      </c>
      <c r="G308" t="s">
        <v>38</v>
      </c>
    </row>
    <row r="309" spans="1:7" x14ac:dyDescent="0.2">
      <c r="A309">
        <v>1460</v>
      </c>
      <c r="B309" t="s">
        <v>684</v>
      </c>
      <c r="C309" s="1">
        <v>43075</v>
      </c>
      <c r="D309" t="s">
        <v>685</v>
      </c>
      <c r="E309" t="s">
        <v>686</v>
      </c>
      <c r="F309" t="s">
        <v>11</v>
      </c>
      <c r="G309" t="s">
        <v>498</v>
      </c>
    </row>
    <row r="310" spans="1:7" x14ac:dyDescent="0.2">
      <c r="A310">
        <v>1382</v>
      </c>
      <c r="B310" t="s">
        <v>687</v>
      </c>
      <c r="C310" s="1">
        <v>43070</v>
      </c>
      <c r="D310" t="s">
        <v>688</v>
      </c>
      <c r="E310" t="s">
        <v>10</v>
      </c>
      <c r="F310" t="s">
        <v>11</v>
      </c>
      <c r="G310" t="s">
        <v>12</v>
      </c>
    </row>
    <row r="311" spans="1:7" x14ac:dyDescent="0.2">
      <c r="A311">
        <v>1465</v>
      </c>
      <c r="B311" t="s">
        <v>689</v>
      </c>
      <c r="C311" s="1">
        <v>43070</v>
      </c>
      <c r="D311" t="s">
        <v>690</v>
      </c>
      <c r="E311" t="s">
        <v>71</v>
      </c>
      <c r="F311" t="s">
        <v>34</v>
      </c>
      <c r="G311" t="s">
        <v>38</v>
      </c>
    </row>
    <row r="312" spans="1:7" x14ac:dyDescent="0.2">
      <c r="A312">
        <v>1468</v>
      </c>
      <c r="B312" t="s">
        <v>691</v>
      </c>
      <c r="C312" s="1">
        <v>43067</v>
      </c>
      <c r="D312" t="s">
        <v>692</v>
      </c>
      <c r="E312" t="s">
        <v>54</v>
      </c>
      <c r="F312" t="s">
        <v>11</v>
      </c>
      <c r="G312" t="s">
        <v>91</v>
      </c>
    </row>
    <row r="313" spans="1:7" x14ac:dyDescent="0.2">
      <c r="A313">
        <v>1415</v>
      </c>
      <c r="B313" t="s">
        <v>693</v>
      </c>
      <c r="C313" s="1">
        <v>43057</v>
      </c>
      <c r="D313" t="s">
        <v>694</v>
      </c>
      <c r="F313" t="s">
        <v>11</v>
      </c>
      <c r="G313" t="s">
        <v>598</v>
      </c>
    </row>
    <row r="314" spans="1:7" x14ac:dyDescent="0.2">
      <c r="A314">
        <v>1413</v>
      </c>
      <c r="B314" t="s">
        <v>695</v>
      </c>
      <c r="C314" s="1">
        <v>43049</v>
      </c>
      <c r="D314" t="s">
        <v>696</v>
      </c>
      <c r="E314" t="s">
        <v>21</v>
      </c>
      <c r="F314" t="s">
        <v>48</v>
      </c>
      <c r="G314" t="s">
        <v>78</v>
      </c>
    </row>
    <row r="315" spans="1:7" x14ac:dyDescent="0.2">
      <c r="A315">
        <v>1381</v>
      </c>
      <c r="B315" t="s">
        <v>697</v>
      </c>
      <c r="C315" s="1">
        <v>43041</v>
      </c>
      <c r="D315" t="s">
        <v>698</v>
      </c>
      <c r="E315" t="s">
        <v>182</v>
      </c>
      <c r="F315" t="s">
        <v>22</v>
      </c>
      <c r="G315" t="s">
        <v>699</v>
      </c>
    </row>
    <row r="316" spans="1:7" x14ac:dyDescent="0.2">
      <c r="A316">
        <v>1411</v>
      </c>
      <c r="B316" t="s">
        <v>700</v>
      </c>
      <c r="C316" s="1">
        <v>43040</v>
      </c>
      <c r="D316" t="s">
        <v>701</v>
      </c>
      <c r="F316" t="s">
        <v>11</v>
      </c>
      <c r="G316" t="s">
        <v>38</v>
      </c>
    </row>
    <row r="317" spans="1:7" x14ac:dyDescent="0.2">
      <c r="A317">
        <v>1379</v>
      </c>
      <c r="B317" t="s">
        <v>702</v>
      </c>
      <c r="C317" s="1">
        <v>43034</v>
      </c>
      <c r="D317" t="s">
        <v>703</v>
      </c>
      <c r="F317" t="s">
        <v>22</v>
      </c>
      <c r="G317" t="s">
        <v>224</v>
      </c>
    </row>
    <row r="318" spans="1:7" x14ac:dyDescent="0.2">
      <c r="A318">
        <v>1377</v>
      </c>
      <c r="B318" t="s">
        <v>704</v>
      </c>
      <c r="C318" s="1">
        <v>43029</v>
      </c>
      <c r="D318" t="s">
        <v>705</v>
      </c>
      <c r="E318" t="s">
        <v>29</v>
      </c>
      <c r="F318" t="s">
        <v>11</v>
      </c>
      <c r="G318" t="s">
        <v>55</v>
      </c>
    </row>
    <row r="319" spans="1:7" x14ac:dyDescent="0.2">
      <c r="A319">
        <v>1361</v>
      </c>
      <c r="B319" t="s">
        <v>706</v>
      </c>
      <c r="C319" s="1">
        <v>43024</v>
      </c>
      <c r="D319" t="s">
        <v>707</v>
      </c>
      <c r="E319" t="s">
        <v>54</v>
      </c>
      <c r="F319" t="s">
        <v>708</v>
      </c>
      <c r="G319" t="s">
        <v>38</v>
      </c>
    </row>
    <row r="320" spans="1:7" x14ac:dyDescent="0.2">
      <c r="A320">
        <v>1370</v>
      </c>
      <c r="B320" t="s">
        <v>709</v>
      </c>
      <c r="C320" s="1">
        <v>43023</v>
      </c>
      <c r="D320" t="s">
        <v>710</v>
      </c>
      <c r="E320" t="s">
        <v>21</v>
      </c>
      <c r="F320" t="s">
        <v>11</v>
      </c>
      <c r="G320" t="s">
        <v>30</v>
      </c>
    </row>
    <row r="321" spans="1:7" x14ac:dyDescent="0.2">
      <c r="A321">
        <v>1368</v>
      </c>
      <c r="B321" t="s">
        <v>711</v>
      </c>
      <c r="C321" s="1">
        <v>43022</v>
      </c>
      <c r="D321" t="s">
        <v>712</v>
      </c>
      <c r="E321" t="s">
        <v>182</v>
      </c>
      <c r="F321" t="s">
        <v>11</v>
      </c>
      <c r="G321" t="s">
        <v>30</v>
      </c>
    </row>
    <row r="322" spans="1:7" x14ac:dyDescent="0.2">
      <c r="A322">
        <v>1372</v>
      </c>
      <c r="B322" t="s">
        <v>713</v>
      </c>
      <c r="C322" s="1">
        <v>43013</v>
      </c>
      <c r="D322" t="s">
        <v>714</v>
      </c>
      <c r="F322" t="s">
        <v>715</v>
      </c>
      <c r="G322" t="s">
        <v>91</v>
      </c>
    </row>
    <row r="323" spans="1:7" x14ac:dyDescent="0.2">
      <c r="A323">
        <v>1355</v>
      </c>
      <c r="B323" t="s">
        <v>716</v>
      </c>
      <c r="C323" s="1">
        <v>43011</v>
      </c>
      <c r="D323" t="s">
        <v>717</v>
      </c>
      <c r="E323" t="s">
        <v>21</v>
      </c>
      <c r="F323" t="s">
        <v>37</v>
      </c>
      <c r="G323" t="s">
        <v>224</v>
      </c>
    </row>
    <row r="324" spans="1:7" x14ac:dyDescent="0.2">
      <c r="A324">
        <v>1352</v>
      </c>
      <c r="B324" t="s">
        <v>718</v>
      </c>
      <c r="C324" s="1">
        <v>43005</v>
      </c>
      <c r="D324" t="s">
        <v>719</v>
      </c>
      <c r="E324" t="s">
        <v>21</v>
      </c>
      <c r="F324" t="s">
        <v>37</v>
      </c>
      <c r="G324" t="s">
        <v>38</v>
      </c>
    </row>
    <row r="325" spans="1:7" x14ac:dyDescent="0.2">
      <c r="A325">
        <v>1347</v>
      </c>
      <c r="B325" t="s">
        <v>720</v>
      </c>
      <c r="C325" s="1">
        <v>42996</v>
      </c>
      <c r="D325" t="s">
        <v>721</v>
      </c>
      <c r="E325" t="s">
        <v>51</v>
      </c>
      <c r="F325" t="s">
        <v>37</v>
      </c>
      <c r="G325" t="s">
        <v>38</v>
      </c>
    </row>
    <row r="326" spans="1:7" x14ac:dyDescent="0.2">
      <c r="A326">
        <v>1317</v>
      </c>
      <c r="B326" t="s">
        <v>722</v>
      </c>
      <c r="C326" s="1">
        <v>42993</v>
      </c>
      <c r="D326" t="s">
        <v>723</v>
      </c>
      <c r="E326" t="s">
        <v>21</v>
      </c>
      <c r="F326" t="s">
        <v>37</v>
      </c>
      <c r="G326" t="s">
        <v>132</v>
      </c>
    </row>
    <row r="327" spans="1:7" x14ac:dyDescent="0.2">
      <c r="A327">
        <v>1343</v>
      </c>
      <c r="B327" t="s">
        <v>724</v>
      </c>
      <c r="C327" s="1">
        <v>42993</v>
      </c>
      <c r="D327" t="s">
        <v>725</v>
      </c>
      <c r="E327" t="s">
        <v>190</v>
      </c>
      <c r="F327" t="s">
        <v>11</v>
      </c>
      <c r="G327" t="s">
        <v>38</v>
      </c>
    </row>
    <row r="328" spans="1:7" x14ac:dyDescent="0.2">
      <c r="A328">
        <v>1295</v>
      </c>
      <c r="B328" t="s">
        <v>726</v>
      </c>
      <c r="C328" s="1">
        <v>42979</v>
      </c>
      <c r="D328" t="s">
        <v>727</v>
      </c>
      <c r="F328" t="s">
        <v>11</v>
      </c>
      <c r="G328" t="s">
        <v>30</v>
      </c>
    </row>
    <row r="329" spans="1:7" x14ac:dyDescent="0.2">
      <c r="A329">
        <v>1315</v>
      </c>
      <c r="B329" t="s">
        <v>728</v>
      </c>
      <c r="C329" s="1">
        <v>42979</v>
      </c>
      <c r="D329" t="s">
        <v>729</v>
      </c>
      <c r="E329" t="s">
        <v>99</v>
      </c>
      <c r="F329" t="s">
        <v>11</v>
      </c>
      <c r="G329" t="s">
        <v>30</v>
      </c>
    </row>
    <row r="330" spans="1:7" x14ac:dyDescent="0.2">
      <c r="A330">
        <v>1324</v>
      </c>
      <c r="B330" t="s">
        <v>730</v>
      </c>
      <c r="C330" s="1">
        <v>42979</v>
      </c>
      <c r="D330" t="s">
        <v>731</v>
      </c>
      <c r="E330" t="s">
        <v>21</v>
      </c>
      <c r="F330" t="s">
        <v>11</v>
      </c>
      <c r="G330" t="s">
        <v>30</v>
      </c>
    </row>
    <row r="331" spans="1:7" x14ac:dyDescent="0.2">
      <c r="A331">
        <v>1928</v>
      </c>
      <c r="B331" t="s">
        <v>732</v>
      </c>
      <c r="C331" s="1">
        <v>42978</v>
      </c>
      <c r="D331" t="s">
        <v>733</v>
      </c>
      <c r="F331" t="s">
        <v>11</v>
      </c>
      <c r="G331" t="s">
        <v>30</v>
      </c>
    </row>
    <row r="332" spans="1:7" x14ac:dyDescent="0.2">
      <c r="A332">
        <v>1940</v>
      </c>
      <c r="B332" t="s">
        <v>734</v>
      </c>
      <c r="C332" s="1">
        <v>42978</v>
      </c>
      <c r="D332" t="s">
        <v>735</v>
      </c>
      <c r="E332" t="s">
        <v>33</v>
      </c>
      <c r="F332" t="s">
        <v>11</v>
      </c>
      <c r="G332" t="s">
        <v>30</v>
      </c>
    </row>
    <row r="333" spans="1:7" x14ac:dyDescent="0.2">
      <c r="A333">
        <v>1950</v>
      </c>
      <c r="B333" t="s">
        <v>736</v>
      </c>
      <c r="C333" s="1">
        <v>42978</v>
      </c>
      <c r="D333" t="s">
        <v>737</v>
      </c>
      <c r="E333" t="s">
        <v>21</v>
      </c>
      <c r="F333" t="s">
        <v>37</v>
      </c>
      <c r="G333" t="s">
        <v>38</v>
      </c>
    </row>
    <row r="334" spans="1:7" x14ac:dyDescent="0.2">
      <c r="A334">
        <v>2007</v>
      </c>
      <c r="B334" t="s">
        <v>738</v>
      </c>
      <c r="C334" s="1">
        <v>42969</v>
      </c>
      <c r="D334" t="s">
        <v>739</v>
      </c>
      <c r="F334" t="s">
        <v>708</v>
      </c>
      <c r="G334" t="s">
        <v>91</v>
      </c>
    </row>
    <row r="335" spans="1:7" x14ac:dyDescent="0.2">
      <c r="A335">
        <v>2015</v>
      </c>
      <c r="B335" t="s">
        <v>740</v>
      </c>
      <c r="C335" s="1">
        <v>42965</v>
      </c>
      <c r="D335" t="s">
        <v>741</v>
      </c>
      <c r="F335" t="s">
        <v>11</v>
      </c>
      <c r="G335" t="s">
        <v>742</v>
      </c>
    </row>
    <row r="336" spans="1:7" x14ac:dyDescent="0.2">
      <c r="A336">
        <v>2012</v>
      </c>
      <c r="B336" t="s">
        <v>743</v>
      </c>
      <c r="C336" s="1">
        <v>42962</v>
      </c>
      <c r="D336" t="s">
        <v>744</v>
      </c>
      <c r="F336" t="s">
        <v>11</v>
      </c>
      <c r="G336" t="s">
        <v>91</v>
      </c>
    </row>
    <row r="337" spans="1:7" x14ac:dyDescent="0.2">
      <c r="A337">
        <v>2032</v>
      </c>
      <c r="B337" t="s">
        <v>745</v>
      </c>
      <c r="C337" s="1">
        <v>42947</v>
      </c>
      <c r="D337" t="s">
        <v>746</v>
      </c>
      <c r="F337" t="s">
        <v>11</v>
      </c>
      <c r="G337" t="s">
        <v>83</v>
      </c>
    </row>
    <row r="338" spans="1:7" x14ac:dyDescent="0.2">
      <c r="A338">
        <v>2084</v>
      </c>
      <c r="B338" t="s">
        <v>747</v>
      </c>
      <c r="C338" s="1">
        <v>42947</v>
      </c>
      <c r="D338" t="s">
        <v>748</v>
      </c>
      <c r="E338" t="s">
        <v>51</v>
      </c>
      <c r="F338" t="s">
        <v>34</v>
      </c>
      <c r="G338" t="s">
        <v>38</v>
      </c>
    </row>
    <row r="339" spans="1:7" x14ac:dyDescent="0.2">
      <c r="A339">
        <v>2087</v>
      </c>
      <c r="B339" t="s">
        <v>749</v>
      </c>
      <c r="C339" s="1">
        <v>42947</v>
      </c>
      <c r="D339" t="s">
        <v>750</v>
      </c>
      <c r="E339" t="s">
        <v>29</v>
      </c>
      <c r="F339" t="s">
        <v>34</v>
      </c>
      <c r="G339" t="s">
        <v>38</v>
      </c>
    </row>
    <row r="340" spans="1:7" x14ac:dyDescent="0.2">
      <c r="A340">
        <v>2034</v>
      </c>
      <c r="B340" t="s">
        <v>751</v>
      </c>
      <c r="C340" s="1">
        <v>42946</v>
      </c>
      <c r="D340" t="s">
        <v>752</v>
      </c>
      <c r="F340" t="s">
        <v>11</v>
      </c>
      <c r="G340" t="s">
        <v>152</v>
      </c>
    </row>
    <row r="341" spans="1:7" x14ac:dyDescent="0.2">
      <c r="A341">
        <v>2088</v>
      </c>
      <c r="B341" t="s">
        <v>753</v>
      </c>
      <c r="C341" s="1">
        <v>42936</v>
      </c>
      <c r="D341" t="s">
        <v>754</v>
      </c>
      <c r="E341" t="s">
        <v>29</v>
      </c>
      <c r="F341" t="s">
        <v>22</v>
      </c>
      <c r="G341" t="s">
        <v>30</v>
      </c>
    </row>
    <row r="342" spans="1:7" x14ac:dyDescent="0.2">
      <c r="A342">
        <v>2089</v>
      </c>
      <c r="B342" t="s">
        <v>755</v>
      </c>
      <c r="C342" s="1">
        <v>42917</v>
      </c>
      <c r="D342" t="s">
        <v>756</v>
      </c>
      <c r="F342" t="s">
        <v>11</v>
      </c>
      <c r="G342" t="s">
        <v>91</v>
      </c>
    </row>
    <row r="343" spans="1:7" x14ac:dyDescent="0.2">
      <c r="A343">
        <v>2199</v>
      </c>
      <c r="B343" t="s">
        <v>757</v>
      </c>
      <c r="C343" s="1">
        <v>42898</v>
      </c>
      <c r="D343" t="s">
        <v>758</v>
      </c>
      <c r="F343" t="s">
        <v>22</v>
      </c>
      <c r="G343" t="s">
        <v>30</v>
      </c>
    </row>
    <row r="344" spans="1:7" x14ac:dyDescent="0.2">
      <c r="A344">
        <v>2201</v>
      </c>
      <c r="B344" t="s">
        <v>759</v>
      </c>
      <c r="C344" s="1">
        <v>42896</v>
      </c>
      <c r="D344" t="s">
        <v>760</v>
      </c>
      <c r="E344" t="s">
        <v>761</v>
      </c>
      <c r="F344" t="s">
        <v>11</v>
      </c>
      <c r="G344" t="s">
        <v>30</v>
      </c>
    </row>
    <row r="345" spans="1:7" x14ac:dyDescent="0.2">
      <c r="A345">
        <v>2203</v>
      </c>
      <c r="B345" t="s">
        <v>762</v>
      </c>
      <c r="C345" s="1">
        <v>42889</v>
      </c>
      <c r="D345" t="s">
        <v>763</v>
      </c>
      <c r="E345" t="s">
        <v>51</v>
      </c>
      <c r="F345" t="s">
        <v>11</v>
      </c>
      <c r="G345" t="s">
        <v>455</v>
      </c>
    </row>
    <row r="346" spans="1:7" x14ac:dyDescent="0.2">
      <c r="A346">
        <v>2209</v>
      </c>
      <c r="B346" t="s">
        <v>764</v>
      </c>
      <c r="C346" s="1">
        <v>42888</v>
      </c>
      <c r="D346" t="s">
        <v>765</v>
      </c>
      <c r="E346" t="s">
        <v>21</v>
      </c>
      <c r="F346" t="s">
        <v>34</v>
      </c>
      <c r="G346" t="s">
        <v>38</v>
      </c>
    </row>
    <row r="347" spans="1:7" x14ac:dyDescent="0.2">
      <c r="A347">
        <v>2210</v>
      </c>
      <c r="B347" t="s">
        <v>766</v>
      </c>
      <c r="C347" s="1">
        <v>42885</v>
      </c>
      <c r="D347" t="s">
        <v>767</v>
      </c>
      <c r="E347" t="s">
        <v>33</v>
      </c>
      <c r="F347" t="s">
        <v>11</v>
      </c>
      <c r="G347" t="s">
        <v>30</v>
      </c>
    </row>
    <row r="348" spans="1:7" x14ac:dyDescent="0.2">
      <c r="A348">
        <v>2213</v>
      </c>
      <c r="B348" t="s">
        <v>768</v>
      </c>
      <c r="C348" s="1">
        <v>42878</v>
      </c>
      <c r="D348" t="s">
        <v>769</v>
      </c>
      <c r="F348" t="s">
        <v>11</v>
      </c>
      <c r="G348" t="s">
        <v>598</v>
      </c>
    </row>
    <row r="349" spans="1:7" x14ac:dyDescent="0.2">
      <c r="A349">
        <v>2305</v>
      </c>
      <c r="B349" t="s">
        <v>108</v>
      </c>
      <c r="C349" s="1">
        <v>42874</v>
      </c>
      <c r="D349" t="s">
        <v>770</v>
      </c>
      <c r="F349" t="s">
        <v>11</v>
      </c>
      <c r="G349" t="s">
        <v>224</v>
      </c>
    </row>
    <row r="350" spans="1:7" x14ac:dyDescent="0.2">
      <c r="A350">
        <v>2306</v>
      </c>
      <c r="B350" t="s">
        <v>771</v>
      </c>
      <c r="C350" s="1">
        <v>42873</v>
      </c>
      <c r="D350" t="s">
        <v>772</v>
      </c>
      <c r="E350" t="s">
        <v>10</v>
      </c>
      <c r="F350" t="s">
        <v>11</v>
      </c>
      <c r="G350" t="s">
        <v>455</v>
      </c>
    </row>
    <row r="351" spans="1:7" x14ac:dyDescent="0.2">
      <c r="A351">
        <v>2311</v>
      </c>
      <c r="B351" t="s">
        <v>773</v>
      </c>
      <c r="C351" s="1">
        <v>42871</v>
      </c>
      <c r="D351" t="s">
        <v>774</v>
      </c>
      <c r="F351" t="s">
        <v>708</v>
      </c>
      <c r="G351" t="s">
        <v>598</v>
      </c>
    </row>
    <row r="352" spans="1:7" x14ac:dyDescent="0.2">
      <c r="A352">
        <v>2321</v>
      </c>
      <c r="B352" t="s">
        <v>775</v>
      </c>
      <c r="C352" s="1">
        <v>42861</v>
      </c>
      <c r="D352" t="s">
        <v>776</v>
      </c>
      <c r="F352" t="s">
        <v>37</v>
      </c>
      <c r="G352" t="s">
        <v>30</v>
      </c>
    </row>
    <row r="353" spans="1:7" x14ac:dyDescent="0.2">
      <c r="A353">
        <v>2323</v>
      </c>
      <c r="B353" t="s">
        <v>777</v>
      </c>
      <c r="C353" s="1">
        <v>42858</v>
      </c>
      <c r="D353" t="s">
        <v>778</v>
      </c>
      <c r="E353" t="s">
        <v>21</v>
      </c>
      <c r="F353" t="s">
        <v>11</v>
      </c>
      <c r="G353" t="s">
        <v>91</v>
      </c>
    </row>
    <row r="354" spans="1:7" x14ac:dyDescent="0.2">
      <c r="A354">
        <v>2337</v>
      </c>
      <c r="B354" t="s">
        <v>779</v>
      </c>
      <c r="C354" s="1">
        <v>42856</v>
      </c>
      <c r="D354" t="s">
        <v>780</v>
      </c>
      <c r="E354" t="s">
        <v>21</v>
      </c>
      <c r="F354" t="s">
        <v>22</v>
      </c>
      <c r="G354" t="s">
        <v>30</v>
      </c>
    </row>
    <row r="355" spans="1:7" x14ac:dyDescent="0.2">
      <c r="A355">
        <v>2338</v>
      </c>
      <c r="B355" t="s">
        <v>781</v>
      </c>
      <c r="C355" s="1">
        <v>42855</v>
      </c>
      <c r="D355" t="s">
        <v>782</v>
      </c>
      <c r="E355" t="s">
        <v>783</v>
      </c>
      <c r="F355" t="s">
        <v>715</v>
      </c>
      <c r="G355" t="s">
        <v>784</v>
      </c>
    </row>
    <row r="356" spans="1:7" x14ac:dyDescent="0.2">
      <c r="A356">
        <v>2340</v>
      </c>
      <c r="B356" t="s">
        <v>785</v>
      </c>
      <c r="C356" s="1">
        <v>42854</v>
      </c>
      <c r="D356" t="s">
        <v>786</v>
      </c>
      <c r="E356" t="s">
        <v>29</v>
      </c>
      <c r="F356" t="s">
        <v>22</v>
      </c>
      <c r="G356" t="s">
        <v>30</v>
      </c>
    </row>
    <row r="357" spans="1:7" x14ac:dyDescent="0.2">
      <c r="A357">
        <v>2341</v>
      </c>
      <c r="B357" t="s">
        <v>787</v>
      </c>
      <c r="C357" s="1">
        <v>42853</v>
      </c>
      <c r="D357" t="s">
        <v>788</v>
      </c>
      <c r="E357" t="s">
        <v>789</v>
      </c>
      <c r="F357" t="s">
        <v>11</v>
      </c>
      <c r="G357" t="s">
        <v>159</v>
      </c>
    </row>
    <row r="358" spans="1:7" x14ac:dyDescent="0.2">
      <c r="A358">
        <v>2343</v>
      </c>
      <c r="B358" t="s">
        <v>790</v>
      </c>
      <c r="C358" s="1">
        <v>42852</v>
      </c>
      <c r="D358" t="s">
        <v>791</v>
      </c>
      <c r="F358" t="s">
        <v>11</v>
      </c>
      <c r="G358" t="s">
        <v>30</v>
      </c>
    </row>
    <row r="359" spans="1:7" x14ac:dyDescent="0.2">
      <c r="A359">
        <v>2344</v>
      </c>
      <c r="B359" t="s">
        <v>684</v>
      </c>
      <c r="C359" s="1">
        <v>42811</v>
      </c>
      <c r="D359" t="s">
        <v>792</v>
      </c>
      <c r="E359" t="s">
        <v>68</v>
      </c>
      <c r="F359" t="s">
        <v>11</v>
      </c>
      <c r="G359" t="s">
        <v>498</v>
      </c>
    </row>
    <row r="360" spans="1:7" x14ac:dyDescent="0.2">
      <c r="A360">
        <v>2437</v>
      </c>
      <c r="B360" t="s">
        <v>793</v>
      </c>
      <c r="C360" s="1">
        <v>42809</v>
      </c>
      <c r="D360" t="s">
        <v>794</v>
      </c>
      <c r="E360" t="s">
        <v>21</v>
      </c>
      <c r="F360" t="s">
        <v>37</v>
      </c>
      <c r="G360" t="s">
        <v>795</v>
      </c>
    </row>
    <row r="361" spans="1:7" x14ac:dyDescent="0.2">
      <c r="A361">
        <v>2439</v>
      </c>
      <c r="B361" t="s">
        <v>796</v>
      </c>
      <c r="C361" s="1">
        <v>42807</v>
      </c>
      <c r="D361" t="s">
        <v>797</v>
      </c>
      <c r="F361" t="s">
        <v>11</v>
      </c>
      <c r="G361" t="s">
        <v>297</v>
      </c>
    </row>
    <row r="362" spans="1:7" x14ac:dyDescent="0.2">
      <c r="A362">
        <v>2442</v>
      </c>
      <c r="B362" t="s">
        <v>798</v>
      </c>
      <c r="C362" s="1">
        <v>42806</v>
      </c>
      <c r="D362" t="s">
        <v>799</v>
      </c>
      <c r="F362" t="s">
        <v>11</v>
      </c>
      <c r="G362" t="s">
        <v>30</v>
      </c>
    </row>
    <row r="363" spans="1:7" x14ac:dyDescent="0.2">
      <c r="A363">
        <v>2444</v>
      </c>
      <c r="B363" t="s">
        <v>800</v>
      </c>
      <c r="C363" s="1">
        <v>42796</v>
      </c>
      <c r="D363" t="s">
        <v>801</v>
      </c>
      <c r="E363" t="s">
        <v>10</v>
      </c>
      <c r="F363" t="s">
        <v>11</v>
      </c>
      <c r="G363" t="s">
        <v>12</v>
      </c>
    </row>
    <row r="364" spans="1:7" x14ac:dyDescent="0.2">
      <c r="A364">
        <v>2451</v>
      </c>
      <c r="B364" t="s">
        <v>802</v>
      </c>
      <c r="C364" s="1">
        <v>42794</v>
      </c>
      <c r="D364" t="s">
        <v>803</v>
      </c>
      <c r="E364" t="s">
        <v>10</v>
      </c>
      <c r="F364" t="s">
        <v>37</v>
      </c>
      <c r="G364" t="s">
        <v>283</v>
      </c>
    </row>
    <row r="365" spans="1:7" x14ac:dyDescent="0.2">
      <c r="A365">
        <v>2515</v>
      </c>
      <c r="B365" t="s">
        <v>804</v>
      </c>
      <c r="C365" s="1">
        <v>42791</v>
      </c>
      <c r="D365" t="s">
        <v>805</v>
      </c>
      <c r="F365" t="s">
        <v>11</v>
      </c>
      <c r="G365" t="s">
        <v>83</v>
      </c>
    </row>
    <row r="366" spans="1:7" x14ac:dyDescent="0.2">
      <c r="A366">
        <v>2519</v>
      </c>
      <c r="B366" t="s">
        <v>806</v>
      </c>
      <c r="C366" s="1">
        <v>42766</v>
      </c>
      <c r="D366" t="s">
        <v>807</v>
      </c>
      <c r="E366" t="s">
        <v>51</v>
      </c>
      <c r="F366" t="s">
        <v>37</v>
      </c>
      <c r="G366" t="s">
        <v>38</v>
      </c>
    </row>
    <row r="367" spans="1:7" x14ac:dyDescent="0.2">
      <c r="A367">
        <v>2521</v>
      </c>
      <c r="B367" t="s">
        <v>808</v>
      </c>
      <c r="C367" s="1">
        <v>42765</v>
      </c>
      <c r="D367" t="s">
        <v>809</v>
      </c>
      <c r="E367" t="s">
        <v>190</v>
      </c>
      <c r="F367" t="s">
        <v>11</v>
      </c>
      <c r="G367" t="s">
        <v>30</v>
      </c>
    </row>
    <row r="368" spans="1:7" x14ac:dyDescent="0.2">
      <c r="A368">
        <v>2523</v>
      </c>
      <c r="B368" t="s">
        <v>810</v>
      </c>
      <c r="C368" s="1">
        <v>42764</v>
      </c>
      <c r="D368" t="s">
        <v>811</v>
      </c>
      <c r="E368" t="s">
        <v>51</v>
      </c>
      <c r="F368" t="s">
        <v>37</v>
      </c>
      <c r="G368" t="s">
        <v>38</v>
      </c>
    </row>
    <row r="369" spans="1:7" x14ac:dyDescent="0.2">
      <c r="A369">
        <v>2525</v>
      </c>
      <c r="B369" t="s">
        <v>812</v>
      </c>
      <c r="C369" s="1">
        <v>42763</v>
      </c>
      <c r="D369" t="s">
        <v>813</v>
      </c>
      <c r="E369" t="s">
        <v>814</v>
      </c>
      <c r="F369" t="s">
        <v>11</v>
      </c>
      <c r="G369" t="s">
        <v>815</v>
      </c>
    </row>
    <row r="370" spans="1:7" x14ac:dyDescent="0.2">
      <c r="A370">
        <v>2536</v>
      </c>
      <c r="B370" t="s">
        <v>816</v>
      </c>
      <c r="C370" s="1">
        <v>42762</v>
      </c>
      <c r="D370" t="s">
        <v>817</v>
      </c>
      <c r="F370" t="s">
        <v>11</v>
      </c>
      <c r="G370" t="s">
        <v>30</v>
      </c>
    </row>
    <row r="371" spans="1:7" x14ac:dyDescent="0.2">
      <c r="A371">
        <v>2549</v>
      </c>
      <c r="B371" t="s">
        <v>818</v>
      </c>
      <c r="C371" s="1">
        <v>42755</v>
      </c>
      <c r="D371" t="s">
        <v>819</v>
      </c>
      <c r="F371" t="s">
        <v>48</v>
      </c>
      <c r="G371" t="s">
        <v>224</v>
      </c>
    </row>
    <row r="372" spans="1:7" x14ac:dyDescent="0.2">
      <c r="A372">
        <v>2551</v>
      </c>
      <c r="B372" t="s">
        <v>820</v>
      </c>
      <c r="C372" s="1">
        <v>42736</v>
      </c>
      <c r="D372" t="s">
        <v>821</v>
      </c>
      <c r="E372" t="s">
        <v>822</v>
      </c>
      <c r="F372" t="s">
        <v>11</v>
      </c>
      <c r="G372" t="s">
        <v>385</v>
      </c>
    </row>
    <row r="373" spans="1:7" x14ac:dyDescent="0.2">
      <c r="A373">
        <v>2768</v>
      </c>
      <c r="B373" t="s">
        <v>823</v>
      </c>
      <c r="C373" s="1">
        <v>42735</v>
      </c>
      <c r="D373" t="s">
        <v>824</v>
      </c>
      <c r="E373" t="s">
        <v>29</v>
      </c>
      <c r="F373" t="s">
        <v>22</v>
      </c>
      <c r="G373" t="s">
        <v>30</v>
      </c>
    </row>
    <row r="374" spans="1:7" x14ac:dyDescent="0.2">
      <c r="A374">
        <v>2819</v>
      </c>
      <c r="B374" t="s">
        <v>825</v>
      </c>
      <c r="C374" s="1">
        <v>42734</v>
      </c>
      <c r="D374" t="s">
        <v>826</v>
      </c>
      <c r="E374" t="s">
        <v>21</v>
      </c>
      <c r="F374" t="s">
        <v>37</v>
      </c>
      <c r="G374" t="s">
        <v>30</v>
      </c>
    </row>
    <row r="375" spans="1:7" x14ac:dyDescent="0.2">
      <c r="A375">
        <v>2825</v>
      </c>
      <c r="B375" t="s">
        <v>827</v>
      </c>
      <c r="C375" s="1">
        <v>42733</v>
      </c>
      <c r="D375" t="s">
        <v>828</v>
      </c>
      <c r="F375" t="s">
        <v>11</v>
      </c>
      <c r="G375" t="s">
        <v>91</v>
      </c>
    </row>
    <row r="376" spans="1:7" x14ac:dyDescent="0.2">
      <c r="A376">
        <v>2828</v>
      </c>
      <c r="B376" t="s">
        <v>829</v>
      </c>
      <c r="C376" s="1">
        <v>42732</v>
      </c>
      <c r="D376" t="s">
        <v>830</v>
      </c>
      <c r="E376" t="s">
        <v>21</v>
      </c>
      <c r="F376" t="s">
        <v>22</v>
      </c>
      <c r="G376" t="s">
        <v>30</v>
      </c>
    </row>
    <row r="377" spans="1:7" x14ac:dyDescent="0.2">
      <c r="A377">
        <v>2829</v>
      </c>
      <c r="B377" t="s">
        <v>831</v>
      </c>
      <c r="C377" s="1">
        <v>42719</v>
      </c>
      <c r="D377" t="s">
        <v>832</v>
      </c>
      <c r="F377" t="s">
        <v>11</v>
      </c>
      <c r="G377" t="s">
        <v>23</v>
      </c>
    </row>
    <row r="378" spans="1:7" x14ac:dyDescent="0.2">
      <c r="A378">
        <v>2989</v>
      </c>
      <c r="B378" t="s">
        <v>833</v>
      </c>
      <c r="C378" s="1">
        <v>42705</v>
      </c>
      <c r="D378" t="s">
        <v>834</v>
      </c>
      <c r="E378" t="s">
        <v>21</v>
      </c>
      <c r="F378" t="s">
        <v>715</v>
      </c>
      <c r="G378" t="s">
        <v>12</v>
      </c>
    </row>
    <row r="379" spans="1:7" x14ac:dyDescent="0.2">
      <c r="A379">
        <v>2995</v>
      </c>
      <c r="B379" t="s">
        <v>835</v>
      </c>
      <c r="C379" s="1">
        <v>42704</v>
      </c>
      <c r="D379" t="s">
        <v>836</v>
      </c>
      <c r="F379" t="s">
        <v>22</v>
      </c>
      <c r="G379" t="s">
        <v>30</v>
      </c>
    </row>
    <row r="380" spans="1:7" x14ac:dyDescent="0.2">
      <c r="A380">
        <v>2996</v>
      </c>
      <c r="B380" t="s">
        <v>837</v>
      </c>
      <c r="C380" s="1">
        <v>42703</v>
      </c>
      <c r="D380" t="s">
        <v>838</v>
      </c>
      <c r="E380" t="s">
        <v>51</v>
      </c>
      <c r="F380" t="s">
        <v>11</v>
      </c>
      <c r="G380" t="s">
        <v>30</v>
      </c>
    </row>
    <row r="381" spans="1:7" x14ac:dyDescent="0.2">
      <c r="A381">
        <v>2999</v>
      </c>
      <c r="B381" t="s">
        <v>839</v>
      </c>
      <c r="C381" s="1">
        <v>42702</v>
      </c>
      <c r="D381" t="s">
        <v>840</v>
      </c>
      <c r="F381" t="s">
        <v>22</v>
      </c>
      <c r="G381" t="s">
        <v>127</v>
      </c>
    </row>
    <row r="382" spans="1:7" x14ac:dyDescent="0.2">
      <c r="A382">
        <v>3000</v>
      </c>
      <c r="B382" t="s">
        <v>841</v>
      </c>
      <c r="C382" s="1">
        <v>42701</v>
      </c>
      <c r="D382" t="s">
        <v>842</v>
      </c>
      <c r="E382" t="s">
        <v>549</v>
      </c>
      <c r="F382" t="s">
        <v>11</v>
      </c>
      <c r="G382" t="s">
        <v>55</v>
      </c>
    </row>
    <row r="383" spans="1:7" x14ac:dyDescent="0.2">
      <c r="A383">
        <v>3002</v>
      </c>
      <c r="B383" t="s">
        <v>843</v>
      </c>
      <c r="C383" s="1">
        <v>42700</v>
      </c>
      <c r="D383" t="s">
        <v>844</v>
      </c>
      <c r="E383" t="s">
        <v>190</v>
      </c>
      <c r="F383" t="s">
        <v>37</v>
      </c>
      <c r="G383" t="s">
        <v>78</v>
      </c>
    </row>
    <row r="384" spans="1:7" x14ac:dyDescent="0.2">
      <c r="A384">
        <v>3003</v>
      </c>
      <c r="B384" t="s">
        <v>845</v>
      </c>
      <c r="C384" s="1">
        <v>42675</v>
      </c>
      <c r="D384" t="s">
        <v>846</v>
      </c>
      <c r="F384" t="s">
        <v>11</v>
      </c>
      <c r="G384" t="s">
        <v>847</v>
      </c>
    </row>
    <row r="385" spans="1:7" x14ac:dyDescent="0.2">
      <c r="A385">
        <v>3005</v>
      </c>
      <c r="B385" t="s">
        <v>848</v>
      </c>
      <c r="C385" s="1">
        <v>42674</v>
      </c>
      <c r="D385" t="s">
        <v>849</v>
      </c>
      <c r="E385" t="s">
        <v>10</v>
      </c>
      <c r="F385" t="s">
        <v>11</v>
      </c>
      <c r="G385" t="s">
        <v>815</v>
      </c>
    </row>
    <row r="386" spans="1:7" x14ac:dyDescent="0.2">
      <c r="A386">
        <v>3007</v>
      </c>
      <c r="B386" t="s">
        <v>850</v>
      </c>
      <c r="C386" s="1">
        <v>42673</v>
      </c>
      <c r="D386" t="s">
        <v>851</v>
      </c>
      <c r="F386" t="s">
        <v>11</v>
      </c>
      <c r="G386" t="s">
        <v>23</v>
      </c>
    </row>
    <row r="387" spans="1:7" x14ac:dyDescent="0.2">
      <c r="A387">
        <v>3053</v>
      </c>
      <c r="B387" t="s">
        <v>852</v>
      </c>
      <c r="C387" s="1">
        <v>42660</v>
      </c>
      <c r="D387" t="s">
        <v>853</v>
      </c>
      <c r="F387" t="s">
        <v>715</v>
      </c>
      <c r="G387" t="s">
        <v>91</v>
      </c>
    </row>
    <row r="388" spans="1:7" x14ac:dyDescent="0.2">
      <c r="A388">
        <v>3059</v>
      </c>
      <c r="B388" t="s">
        <v>854</v>
      </c>
      <c r="C388" s="1">
        <v>42657</v>
      </c>
      <c r="D388" t="s">
        <v>855</v>
      </c>
      <c r="E388" t="s">
        <v>21</v>
      </c>
      <c r="F388" t="s">
        <v>48</v>
      </c>
      <c r="G388" t="s">
        <v>856</v>
      </c>
    </row>
    <row r="389" spans="1:7" x14ac:dyDescent="0.2">
      <c r="A389">
        <v>3062</v>
      </c>
      <c r="B389" t="s">
        <v>857</v>
      </c>
      <c r="C389" s="1">
        <v>42646</v>
      </c>
      <c r="D389" t="s">
        <v>858</v>
      </c>
      <c r="F389" t="s">
        <v>11</v>
      </c>
      <c r="G389" t="s">
        <v>224</v>
      </c>
    </row>
    <row r="390" spans="1:7" x14ac:dyDescent="0.2">
      <c r="A390">
        <v>3063</v>
      </c>
      <c r="B390" t="s">
        <v>859</v>
      </c>
      <c r="C390" s="1">
        <v>42644</v>
      </c>
      <c r="D390" t="s">
        <v>860</v>
      </c>
      <c r="F390" t="s">
        <v>11</v>
      </c>
      <c r="G390" t="s">
        <v>55</v>
      </c>
    </row>
    <row r="391" spans="1:7" x14ac:dyDescent="0.2">
      <c r="A391">
        <v>3065</v>
      </c>
      <c r="B391" t="s">
        <v>861</v>
      </c>
      <c r="C391" s="1">
        <v>42643</v>
      </c>
      <c r="D391" t="s">
        <v>862</v>
      </c>
      <c r="F391" t="s">
        <v>11</v>
      </c>
      <c r="G391" t="s">
        <v>30</v>
      </c>
    </row>
    <row r="392" spans="1:7" x14ac:dyDescent="0.2">
      <c r="A392">
        <v>3208</v>
      </c>
      <c r="B392" t="s">
        <v>863</v>
      </c>
      <c r="C392" s="1">
        <v>42640</v>
      </c>
      <c r="D392" t="s">
        <v>864</v>
      </c>
      <c r="E392" t="s">
        <v>21</v>
      </c>
      <c r="F392" t="s">
        <v>37</v>
      </c>
      <c r="G392" t="s">
        <v>30</v>
      </c>
    </row>
    <row r="393" spans="1:7" x14ac:dyDescent="0.2">
      <c r="A393">
        <v>3212</v>
      </c>
      <c r="B393" t="s">
        <v>865</v>
      </c>
      <c r="C393" s="1">
        <v>42627</v>
      </c>
      <c r="D393" t="s">
        <v>866</v>
      </c>
      <c r="E393" t="s">
        <v>172</v>
      </c>
      <c r="F393" t="s">
        <v>11</v>
      </c>
      <c r="G393" t="s">
        <v>498</v>
      </c>
    </row>
    <row r="394" spans="1:7" x14ac:dyDescent="0.2">
      <c r="A394">
        <v>3218</v>
      </c>
      <c r="B394" t="s">
        <v>867</v>
      </c>
      <c r="C394" s="1">
        <v>42626</v>
      </c>
      <c r="D394" t="s">
        <v>868</v>
      </c>
      <c r="E394" t="s">
        <v>10</v>
      </c>
      <c r="F394" t="s">
        <v>11</v>
      </c>
      <c r="G394" t="s">
        <v>91</v>
      </c>
    </row>
    <row r="395" spans="1:7" x14ac:dyDescent="0.2">
      <c r="A395">
        <v>3224</v>
      </c>
      <c r="B395" t="s">
        <v>869</v>
      </c>
      <c r="C395" s="1">
        <v>42615</v>
      </c>
      <c r="D395" t="s">
        <v>870</v>
      </c>
      <c r="F395" t="s">
        <v>11</v>
      </c>
      <c r="G395" t="s">
        <v>23</v>
      </c>
    </row>
    <row r="396" spans="1:7" x14ac:dyDescent="0.2">
      <c r="A396">
        <v>3250</v>
      </c>
      <c r="B396" t="s">
        <v>871</v>
      </c>
      <c r="C396" s="1">
        <v>42614</v>
      </c>
      <c r="D396" t="s">
        <v>872</v>
      </c>
      <c r="E396" t="s">
        <v>51</v>
      </c>
      <c r="F396" t="s">
        <v>715</v>
      </c>
      <c r="G396" t="s">
        <v>30</v>
      </c>
    </row>
    <row r="397" spans="1:7" x14ac:dyDescent="0.2">
      <c r="A397">
        <v>3278</v>
      </c>
      <c r="B397" t="s">
        <v>873</v>
      </c>
      <c r="C397" s="1">
        <v>42613</v>
      </c>
      <c r="D397" t="s">
        <v>874</v>
      </c>
      <c r="F397" t="s">
        <v>11</v>
      </c>
      <c r="G397" t="s">
        <v>875</v>
      </c>
    </row>
    <row r="398" spans="1:7" x14ac:dyDescent="0.2">
      <c r="A398">
        <v>3280</v>
      </c>
      <c r="B398" t="s">
        <v>876</v>
      </c>
      <c r="C398" s="1">
        <v>42612</v>
      </c>
      <c r="D398" t="s">
        <v>877</v>
      </c>
      <c r="F398" t="s">
        <v>11</v>
      </c>
      <c r="G398" t="s">
        <v>45</v>
      </c>
    </row>
    <row r="399" spans="1:7" x14ac:dyDescent="0.2">
      <c r="A399">
        <v>3301</v>
      </c>
      <c r="B399" t="s">
        <v>878</v>
      </c>
      <c r="C399" s="1">
        <v>42611</v>
      </c>
      <c r="D399" t="s">
        <v>879</v>
      </c>
      <c r="E399" t="s">
        <v>880</v>
      </c>
      <c r="F399" t="s">
        <v>11</v>
      </c>
      <c r="G399" t="s">
        <v>45</v>
      </c>
    </row>
    <row r="400" spans="1:7" x14ac:dyDescent="0.2">
      <c r="A400">
        <v>3308</v>
      </c>
      <c r="B400" t="s">
        <v>881</v>
      </c>
      <c r="C400" s="1">
        <v>42610</v>
      </c>
      <c r="D400" t="s">
        <v>882</v>
      </c>
      <c r="F400" t="s">
        <v>11</v>
      </c>
      <c r="G400" t="s">
        <v>297</v>
      </c>
    </row>
    <row r="401" spans="1:7" x14ac:dyDescent="0.2">
      <c r="A401">
        <v>3311</v>
      </c>
      <c r="B401" t="s">
        <v>883</v>
      </c>
      <c r="C401" s="1">
        <v>42609</v>
      </c>
      <c r="D401" t="s">
        <v>884</v>
      </c>
      <c r="F401" t="s">
        <v>11</v>
      </c>
      <c r="G401" t="s">
        <v>61</v>
      </c>
    </row>
    <row r="402" spans="1:7" x14ac:dyDescent="0.2">
      <c r="A402">
        <v>3314</v>
      </c>
      <c r="B402" t="s">
        <v>885</v>
      </c>
      <c r="C402" s="1">
        <v>42581</v>
      </c>
      <c r="D402" t="s">
        <v>886</v>
      </c>
      <c r="F402" t="s">
        <v>22</v>
      </c>
      <c r="G402" t="s">
        <v>30</v>
      </c>
    </row>
    <row r="403" spans="1:7" x14ac:dyDescent="0.2">
      <c r="A403">
        <v>3316</v>
      </c>
      <c r="B403" t="s">
        <v>887</v>
      </c>
      <c r="C403" s="1">
        <v>42580</v>
      </c>
      <c r="D403" t="s">
        <v>888</v>
      </c>
      <c r="E403" t="s">
        <v>21</v>
      </c>
      <c r="F403" t="s">
        <v>37</v>
      </c>
      <c r="G403" t="s">
        <v>889</v>
      </c>
    </row>
    <row r="404" spans="1:7" x14ac:dyDescent="0.2">
      <c r="A404">
        <v>3317</v>
      </c>
      <c r="B404" t="s">
        <v>890</v>
      </c>
      <c r="C404" s="1">
        <v>42565</v>
      </c>
      <c r="D404" t="s">
        <v>891</v>
      </c>
      <c r="F404" t="s">
        <v>11</v>
      </c>
      <c r="G404" t="s">
        <v>815</v>
      </c>
    </row>
    <row r="405" spans="1:7" x14ac:dyDescent="0.2">
      <c r="A405">
        <v>3329</v>
      </c>
      <c r="B405" t="s">
        <v>892</v>
      </c>
      <c r="C405" s="1">
        <v>42564</v>
      </c>
      <c r="D405" t="s">
        <v>893</v>
      </c>
      <c r="E405" t="s">
        <v>17</v>
      </c>
      <c r="F405" t="s">
        <v>11</v>
      </c>
      <c r="G405" t="s">
        <v>894</v>
      </c>
    </row>
    <row r="406" spans="1:7" x14ac:dyDescent="0.2">
      <c r="A406">
        <v>3330</v>
      </c>
      <c r="B406" t="s">
        <v>895</v>
      </c>
      <c r="C406" s="1">
        <v>42564</v>
      </c>
      <c r="D406" t="s">
        <v>896</v>
      </c>
      <c r="F406" t="s">
        <v>11</v>
      </c>
      <c r="G406" t="s">
        <v>439</v>
      </c>
    </row>
    <row r="407" spans="1:7" x14ac:dyDescent="0.2">
      <c r="A407">
        <v>3332</v>
      </c>
      <c r="B407" t="s">
        <v>897</v>
      </c>
      <c r="C407" s="1">
        <v>42563</v>
      </c>
      <c r="D407" t="s">
        <v>898</v>
      </c>
      <c r="F407" t="s">
        <v>715</v>
      </c>
      <c r="G407" t="s">
        <v>899</v>
      </c>
    </row>
    <row r="408" spans="1:7" x14ac:dyDescent="0.2">
      <c r="A408">
        <v>3334</v>
      </c>
      <c r="B408" t="s">
        <v>900</v>
      </c>
      <c r="C408" s="1">
        <v>42551</v>
      </c>
      <c r="D408" t="s">
        <v>901</v>
      </c>
      <c r="E408" t="s">
        <v>21</v>
      </c>
      <c r="F408" t="s">
        <v>708</v>
      </c>
      <c r="G408" t="s">
        <v>135</v>
      </c>
    </row>
    <row r="409" spans="1:7" x14ac:dyDescent="0.2">
      <c r="A409">
        <v>3336</v>
      </c>
      <c r="B409" t="s">
        <v>902</v>
      </c>
      <c r="C409" s="1">
        <v>42550</v>
      </c>
      <c r="D409" t="s">
        <v>903</v>
      </c>
      <c r="E409" t="s">
        <v>54</v>
      </c>
      <c r="F409" t="s">
        <v>708</v>
      </c>
      <c r="G409" t="s">
        <v>38</v>
      </c>
    </row>
    <row r="410" spans="1:7" x14ac:dyDescent="0.2">
      <c r="A410">
        <v>3338</v>
      </c>
      <c r="B410" t="s">
        <v>904</v>
      </c>
      <c r="C410" s="1">
        <v>42548</v>
      </c>
      <c r="D410" t="s">
        <v>905</v>
      </c>
      <c r="F410" t="s">
        <v>715</v>
      </c>
      <c r="G410" t="s">
        <v>30</v>
      </c>
    </row>
    <row r="411" spans="1:7" x14ac:dyDescent="0.2">
      <c r="A411">
        <v>3339</v>
      </c>
      <c r="B411" t="s">
        <v>906</v>
      </c>
      <c r="C411" s="1">
        <v>42545</v>
      </c>
      <c r="D411" t="s">
        <v>907</v>
      </c>
      <c r="F411" t="s">
        <v>11</v>
      </c>
      <c r="G411" t="s">
        <v>439</v>
      </c>
    </row>
    <row r="412" spans="1:7" x14ac:dyDescent="0.2">
      <c r="A412">
        <v>3343</v>
      </c>
      <c r="B412" t="s">
        <v>908</v>
      </c>
      <c r="C412" s="1">
        <v>42522</v>
      </c>
      <c r="D412" t="s">
        <v>909</v>
      </c>
      <c r="E412" t="s">
        <v>29</v>
      </c>
      <c r="F412" t="s">
        <v>11</v>
      </c>
      <c r="G412" t="s">
        <v>83</v>
      </c>
    </row>
    <row r="413" spans="1:7" x14ac:dyDescent="0.2">
      <c r="A413">
        <v>3345</v>
      </c>
      <c r="B413" t="s">
        <v>910</v>
      </c>
      <c r="C413" s="1">
        <v>42519</v>
      </c>
      <c r="D413" t="s">
        <v>911</v>
      </c>
      <c r="E413" t="s">
        <v>549</v>
      </c>
      <c r="F413" t="s">
        <v>11</v>
      </c>
      <c r="G413" t="s">
        <v>78</v>
      </c>
    </row>
    <row r="414" spans="1:7" x14ac:dyDescent="0.2">
      <c r="A414">
        <v>3400</v>
      </c>
      <c r="B414" t="s">
        <v>912</v>
      </c>
      <c r="C414" s="1">
        <v>42515</v>
      </c>
      <c r="D414" t="s">
        <v>913</v>
      </c>
      <c r="F414" t="s">
        <v>11</v>
      </c>
      <c r="G414" t="s">
        <v>598</v>
      </c>
    </row>
    <row r="415" spans="1:7" x14ac:dyDescent="0.2">
      <c r="A415">
        <v>776</v>
      </c>
      <c r="B415" t="s">
        <v>914</v>
      </c>
      <c r="C415" s="1">
        <v>42513</v>
      </c>
      <c r="D415" t="s">
        <v>915</v>
      </c>
      <c r="E415" t="s">
        <v>10</v>
      </c>
      <c r="F415" t="s">
        <v>37</v>
      </c>
      <c r="G415" t="s">
        <v>598</v>
      </c>
    </row>
    <row r="416" spans="1:7" x14ac:dyDescent="0.2">
      <c r="A416">
        <v>3398</v>
      </c>
      <c r="B416" t="s">
        <v>916</v>
      </c>
      <c r="C416" s="1">
        <v>42510</v>
      </c>
      <c r="D416" t="s">
        <v>917</v>
      </c>
      <c r="F416" t="s">
        <v>48</v>
      </c>
      <c r="G416" t="s">
        <v>91</v>
      </c>
    </row>
    <row r="417" spans="1:7" x14ac:dyDescent="0.2">
      <c r="A417">
        <v>3426</v>
      </c>
      <c r="B417" t="s">
        <v>918</v>
      </c>
      <c r="C417" s="1">
        <v>42510</v>
      </c>
      <c r="D417" t="s">
        <v>919</v>
      </c>
      <c r="F417" t="s">
        <v>11</v>
      </c>
      <c r="G417" t="s">
        <v>894</v>
      </c>
    </row>
    <row r="418" spans="1:7" x14ac:dyDescent="0.2">
      <c r="A418">
        <v>3428</v>
      </c>
      <c r="B418" t="s">
        <v>920</v>
      </c>
      <c r="C418" s="1">
        <v>42509</v>
      </c>
      <c r="D418" t="s">
        <v>921</v>
      </c>
      <c r="F418" t="s">
        <v>11</v>
      </c>
      <c r="G418" t="s">
        <v>439</v>
      </c>
    </row>
    <row r="419" spans="1:7" x14ac:dyDescent="0.2">
      <c r="A419">
        <v>774</v>
      </c>
      <c r="B419" t="s">
        <v>922</v>
      </c>
      <c r="C419" s="1">
        <v>42508</v>
      </c>
      <c r="D419" t="s">
        <v>923</v>
      </c>
      <c r="E419" t="s">
        <v>10</v>
      </c>
      <c r="F419" t="s">
        <v>37</v>
      </c>
      <c r="G419" t="s">
        <v>598</v>
      </c>
    </row>
    <row r="420" spans="1:7" x14ac:dyDescent="0.2">
      <c r="A420">
        <v>3452</v>
      </c>
      <c r="B420" t="s">
        <v>924</v>
      </c>
      <c r="C420" s="1">
        <v>42500</v>
      </c>
      <c r="D420" t="s">
        <v>925</v>
      </c>
      <c r="F420" t="s">
        <v>11</v>
      </c>
      <c r="G420" t="s">
        <v>45</v>
      </c>
    </row>
    <row r="421" spans="1:7" x14ac:dyDescent="0.2">
      <c r="A421">
        <v>3458</v>
      </c>
      <c r="B421" t="s">
        <v>926</v>
      </c>
      <c r="C421" s="1">
        <v>42496</v>
      </c>
      <c r="D421" t="s">
        <v>927</v>
      </c>
      <c r="F421" t="s">
        <v>11</v>
      </c>
      <c r="G421" t="s">
        <v>439</v>
      </c>
    </row>
    <row r="422" spans="1:7" x14ac:dyDescent="0.2">
      <c r="A422">
        <v>3460</v>
      </c>
      <c r="B422" t="s">
        <v>928</v>
      </c>
      <c r="C422" s="1">
        <v>42491</v>
      </c>
      <c r="D422" t="s">
        <v>929</v>
      </c>
      <c r="E422" t="s">
        <v>21</v>
      </c>
      <c r="F422" t="s">
        <v>11</v>
      </c>
      <c r="G422" t="s">
        <v>38</v>
      </c>
    </row>
    <row r="423" spans="1:7" x14ac:dyDescent="0.2">
      <c r="A423">
        <v>3529</v>
      </c>
      <c r="B423" t="s">
        <v>930</v>
      </c>
      <c r="C423" s="1">
        <v>42490</v>
      </c>
      <c r="D423" t="s">
        <v>931</v>
      </c>
      <c r="F423" t="s">
        <v>11</v>
      </c>
      <c r="G423" t="s">
        <v>439</v>
      </c>
    </row>
    <row r="424" spans="1:7" x14ac:dyDescent="0.2">
      <c r="A424">
        <v>3532</v>
      </c>
      <c r="B424" t="s">
        <v>932</v>
      </c>
      <c r="C424" s="1">
        <v>42489</v>
      </c>
      <c r="D424" t="s">
        <v>933</v>
      </c>
      <c r="F424" t="s">
        <v>715</v>
      </c>
      <c r="G424" t="s">
        <v>23</v>
      </c>
    </row>
    <row r="425" spans="1:7" x14ac:dyDescent="0.2">
      <c r="A425">
        <v>3534</v>
      </c>
      <c r="B425" t="s">
        <v>781</v>
      </c>
      <c r="C425" s="1">
        <v>42488</v>
      </c>
      <c r="D425" t="s">
        <v>934</v>
      </c>
      <c r="F425" t="s">
        <v>715</v>
      </c>
      <c r="G425" t="s">
        <v>455</v>
      </c>
    </row>
    <row r="426" spans="1:7" x14ac:dyDescent="0.2">
      <c r="A426">
        <v>3537</v>
      </c>
      <c r="B426" t="s">
        <v>935</v>
      </c>
      <c r="C426" s="1">
        <v>42485</v>
      </c>
      <c r="D426" t="s">
        <v>936</v>
      </c>
      <c r="E426" t="s">
        <v>21</v>
      </c>
      <c r="F426" t="s">
        <v>715</v>
      </c>
      <c r="G426" t="s">
        <v>847</v>
      </c>
    </row>
    <row r="427" spans="1:7" x14ac:dyDescent="0.2">
      <c r="A427">
        <v>3539</v>
      </c>
      <c r="B427" t="s">
        <v>937</v>
      </c>
      <c r="C427" s="1">
        <v>42482</v>
      </c>
      <c r="D427" t="s">
        <v>938</v>
      </c>
      <c r="E427" t="s">
        <v>64</v>
      </c>
      <c r="F427" t="s">
        <v>11</v>
      </c>
      <c r="G427" t="s">
        <v>78</v>
      </c>
    </row>
    <row r="428" spans="1:7" x14ac:dyDescent="0.2">
      <c r="A428">
        <v>3542</v>
      </c>
      <c r="B428" t="s">
        <v>939</v>
      </c>
      <c r="C428" s="1">
        <v>42463</v>
      </c>
      <c r="D428" t="s">
        <v>940</v>
      </c>
      <c r="F428" t="s">
        <v>11</v>
      </c>
      <c r="G428" t="s">
        <v>12</v>
      </c>
    </row>
    <row r="429" spans="1:7" x14ac:dyDescent="0.2">
      <c r="A429">
        <v>3549</v>
      </c>
      <c r="B429" t="s">
        <v>941</v>
      </c>
      <c r="C429" s="1">
        <v>42460</v>
      </c>
      <c r="D429" t="s">
        <v>942</v>
      </c>
      <c r="F429" t="s">
        <v>37</v>
      </c>
      <c r="G429" t="s">
        <v>30</v>
      </c>
    </row>
    <row r="430" spans="1:7" x14ac:dyDescent="0.2">
      <c r="A430">
        <v>3551</v>
      </c>
      <c r="B430" t="s">
        <v>943</v>
      </c>
      <c r="C430" s="1">
        <v>42458</v>
      </c>
      <c r="D430" t="s">
        <v>944</v>
      </c>
      <c r="E430" t="s">
        <v>21</v>
      </c>
      <c r="F430" t="s">
        <v>11</v>
      </c>
      <c r="G430" t="s">
        <v>83</v>
      </c>
    </row>
    <row r="431" spans="1:7" x14ac:dyDescent="0.2">
      <c r="A431">
        <v>3554</v>
      </c>
      <c r="B431" t="s">
        <v>945</v>
      </c>
      <c r="C431" s="1">
        <v>42430</v>
      </c>
      <c r="D431" t="s">
        <v>946</v>
      </c>
      <c r="F431" t="s">
        <v>11</v>
      </c>
      <c r="G431" t="s">
        <v>91</v>
      </c>
    </row>
    <row r="432" spans="1:7" x14ac:dyDescent="0.2">
      <c r="A432">
        <v>3556</v>
      </c>
      <c r="B432" t="s">
        <v>947</v>
      </c>
      <c r="C432" s="1">
        <v>42428</v>
      </c>
      <c r="D432" t="s">
        <v>948</v>
      </c>
      <c r="F432" t="s">
        <v>11</v>
      </c>
      <c r="G432" t="s">
        <v>23</v>
      </c>
    </row>
    <row r="433" spans="1:7" x14ac:dyDescent="0.2">
      <c r="A433">
        <v>3558</v>
      </c>
      <c r="B433" t="s">
        <v>949</v>
      </c>
      <c r="C433" s="1">
        <v>42420</v>
      </c>
      <c r="D433" t="s">
        <v>950</v>
      </c>
      <c r="E433" t="s">
        <v>21</v>
      </c>
      <c r="F433" t="s">
        <v>11</v>
      </c>
      <c r="G433" t="s">
        <v>91</v>
      </c>
    </row>
    <row r="434" spans="1:7" x14ac:dyDescent="0.2">
      <c r="A434">
        <v>3562</v>
      </c>
      <c r="B434" t="s">
        <v>951</v>
      </c>
      <c r="C434" s="1">
        <v>42415</v>
      </c>
      <c r="D434" t="s">
        <v>952</v>
      </c>
      <c r="E434" t="s">
        <v>21</v>
      </c>
      <c r="F434" t="s">
        <v>708</v>
      </c>
      <c r="G434" t="s">
        <v>38</v>
      </c>
    </row>
    <row r="435" spans="1:7" x14ac:dyDescent="0.2">
      <c r="A435">
        <v>3563</v>
      </c>
      <c r="B435" t="s">
        <v>953</v>
      </c>
      <c r="C435" s="1">
        <v>42411</v>
      </c>
      <c r="D435" t="s">
        <v>954</v>
      </c>
      <c r="F435" t="s">
        <v>11</v>
      </c>
      <c r="G435" t="s">
        <v>439</v>
      </c>
    </row>
    <row r="436" spans="1:7" x14ac:dyDescent="0.2">
      <c r="A436">
        <v>3604</v>
      </c>
      <c r="B436" t="s">
        <v>955</v>
      </c>
      <c r="C436" s="1">
        <v>42404</v>
      </c>
      <c r="D436" t="s">
        <v>956</v>
      </c>
      <c r="F436" t="s">
        <v>11</v>
      </c>
      <c r="G436" t="s">
        <v>12</v>
      </c>
    </row>
    <row r="437" spans="1:7" x14ac:dyDescent="0.2">
      <c r="A437">
        <v>3609</v>
      </c>
      <c r="B437" t="s">
        <v>957</v>
      </c>
      <c r="C437" s="1">
        <v>42399</v>
      </c>
      <c r="D437" t="s">
        <v>958</v>
      </c>
      <c r="F437" t="s">
        <v>11</v>
      </c>
      <c r="G437" t="s">
        <v>173</v>
      </c>
    </row>
    <row r="438" spans="1:7" x14ac:dyDescent="0.2">
      <c r="A438">
        <v>3612</v>
      </c>
      <c r="B438" t="s">
        <v>959</v>
      </c>
      <c r="C438" s="1">
        <v>42398</v>
      </c>
      <c r="D438" t="s">
        <v>960</v>
      </c>
      <c r="E438" t="s">
        <v>17</v>
      </c>
      <c r="F438" t="s">
        <v>11</v>
      </c>
      <c r="G438" t="s">
        <v>78</v>
      </c>
    </row>
    <row r="439" spans="1:7" x14ac:dyDescent="0.2">
      <c r="A439">
        <v>3614</v>
      </c>
      <c r="B439" t="s">
        <v>961</v>
      </c>
      <c r="C439" s="1">
        <v>42396</v>
      </c>
      <c r="D439" t="s">
        <v>962</v>
      </c>
      <c r="F439" t="s">
        <v>11</v>
      </c>
      <c r="G439" t="s">
        <v>23</v>
      </c>
    </row>
    <row r="440" spans="1:7" x14ac:dyDescent="0.2">
      <c r="A440">
        <v>3617</v>
      </c>
      <c r="B440" t="s">
        <v>963</v>
      </c>
      <c r="C440" s="1">
        <v>42379</v>
      </c>
      <c r="D440" t="s">
        <v>964</v>
      </c>
      <c r="F440" t="s">
        <v>48</v>
      </c>
      <c r="G440" t="s">
        <v>65</v>
      </c>
    </row>
    <row r="441" spans="1:7" x14ac:dyDescent="0.2">
      <c r="A441">
        <v>3620</v>
      </c>
      <c r="B441" t="s">
        <v>965</v>
      </c>
      <c r="C441" s="1">
        <v>42374</v>
      </c>
      <c r="D441" t="s">
        <v>966</v>
      </c>
      <c r="F441" t="s">
        <v>11</v>
      </c>
      <c r="G441" t="s">
        <v>185</v>
      </c>
    </row>
    <row r="442" spans="1:7" x14ac:dyDescent="0.2">
      <c r="A442">
        <v>3622</v>
      </c>
      <c r="B442" t="s">
        <v>967</v>
      </c>
      <c r="C442" s="1">
        <v>42370</v>
      </c>
      <c r="D442" t="s">
        <v>968</v>
      </c>
      <c r="F442" t="s">
        <v>11</v>
      </c>
      <c r="G442" t="s">
        <v>969</v>
      </c>
    </row>
    <row r="443" spans="1:7" x14ac:dyDescent="0.2">
      <c r="A443">
        <v>3624</v>
      </c>
      <c r="B443" t="s">
        <v>970</v>
      </c>
      <c r="C443" s="1">
        <v>42344</v>
      </c>
      <c r="D443" t="s">
        <v>971</v>
      </c>
      <c r="F443" t="s">
        <v>11</v>
      </c>
      <c r="G443" t="s">
        <v>23</v>
      </c>
    </row>
    <row r="444" spans="1:7" x14ac:dyDescent="0.2">
      <c r="A444">
        <v>3637</v>
      </c>
      <c r="B444" t="s">
        <v>972</v>
      </c>
      <c r="C444" s="1">
        <v>42338</v>
      </c>
      <c r="D444" t="s">
        <v>973</v>
      </c>
      <c r="F444" t="s">
        <v>11</v>
      </c>
      <c r="G444" t="s">
        <v>30</v>
      </c>
    </row>
    <row r="445" spans="1:7" x14ac:dyDescent="0.2">
      <c r="A445">
        <v>3639</v>
      </c>
      <c r="B445" t="s">
        <v>974</v>
      </c>
      <c r="C445" s="1">
        <v>42333</v>
      </c>
      <c r="D445" t="s">
        <v>975</v>
      </c>
      <c r="E445" t="s">
        <v>21</v>
      </c>
      <c r="F445" t="s">
        <v>11</v>
      </c>
      <c r="G445" t="s">
        <v>439</v>
      </c>
    </row>
    <row r="446" spans="1:7" x14ac:dyDescent="0.2">
      <c r="A446">
        <v>3755</v>
      </c>
      <c r="B446" t="s">
        <v>976</v>
      </c>
      <c r="C446" s="1">
        <v>42333</v>
      </c>
      <c r="D446" t="s">
        <v>977</v>
      </c>
      <c r="F446" t="s">
        <v>11</v>
      </c>
      <c r="G446" t="s">
        <v>439</v>
      </c>
    </row>
    <row r="447" spans="1:7" x14ac:dyDescent="0.2">
      <c r="A447">
        <v>3642</v>
      </c>
      <c r="B447" t="s">
        <v>978</v>
      </c>
      <c r="C447" s="1">
        <v>42330</v>
      </c>
      <c r="D447" t="s">
        <v>979</v>
      </c>
      <c r="E447" t="s">
        <v>21</v>
      </c>
      <c r="F447" t="s">
        <v>22</v>
      </c>
      <c r="G447" t="s">
        <v>83</v>
      </c>
    </row>
    <row r="448" spans="1:7" x14ac:dyDescent="0.2">
      <c r="A448">
        <v>3757</v>
      </c>
      <c r="B448" t="s">
        <v>980</v>
      </c>
      <c r="C448" s="1">
        <v>42330</v>
      </c>
      <c r="D448" t="s">
        <v>981</v>
      </c>
      <c r="E448" t="s">
        <v>17</v>
      </c>
      <c r="F448" t="s">
        <v>11</v>
      </c>
      <c r="G448" t="s">
        <v>30</v>
      </c>
    </row>
    <row r="449" spans="1:7" x14ac:dyDescent="0.2">
      <c r="A449">
        <v>3644</v>
      </c>
      <c r="B449" t="s">
        <v>982</v>
      </c>
      <c r="C449" s="1">
        <v>42327</v>
      </c>
      <c r="D449" t="s">
        <v>983</v>
      </c>
      <c r="F449" t="s">
        <v>22</v>
      </c>
      <c r="G449" t="s">
        <v>224</v>
      </c>
    </row>
    <row r="450" spans="1:7" x14ac:dyDescent="0.2">
      <c r="A450">
        <v>3654</v>
      </c>
      <c r="B450" t="s">
        <v>984</v>
      </c>
      <c r="C450" s="1">
        <v>42321</v>
      </c>
      <c r="D450" t="s">
        <v>985</v>
      </c>
      <c r="E450" t="s">
        <v>21</v>
      </c>
      <c r="F450" t="s">
        <v>11</v>
      </c>
      <c r="G450" t="s">
        <v>12</v>
      </c>
    </row>
    <row r="451" spans="1:7" x14ac:dyDescent="0.2">
      <c r="A451">
        <v>3659</v>
      </c>
      <c r="B451" t="s">
        <v>986</v>
      </c>
      <c r="C451" s="1">
        <v>42319</v>
      </c>
      <c r="D451" t="s">
        <v>987</v>
      </c>
      <c r="F451" t="s">
        <v>11</v>
      </c>
      <c r="G451" t="s">
        <v>439</v>
      </c>
    </row>
    <row r="452" spans="1:7" x14ac:dyDescent="0.2">
      <c r="A452">
        <v>3661</v>
      </c>
      <c r="B452" t="s">
        <v>988</v>
      </c>
      <c r="C452" s="1">
        <v>42318</v>
      </c>
      <c r="D452" t="s">
        <v>989</v>
      </c>
      <c r="F452" t="s">
        <v>11</v>
      </c>
      <c r="G452" t="s">
        <v>23</v>
      </c>
    </row>
    <row r="453" spans="1:7" x14ac:dyDescent="0.2">
      <c r="A453">
        <v>3663</v>
      </c>
      <c r="B453" t="s">
        <v>990</v>
      </c>
      <c r="C453" s="1">
        <v>42311</v>
      </c>
      <c r="D453" t="s">
        <v>991</v>
      </c>
      <c r="E453" t="s">
        <v>10</v>
      </c>
      <c r="F453" t="s">
        <v>11</v>
      </c>
      <c r="G453" t="s">
        <v>439</v>
      </c>
    </row>
    <row r="454" spans="1:7" x14ac:dyDescent="0.2">
      <c r="A454">
        <v>3732</v>
      </c>
      <c r="B454" t="s">
        <v>992</v>
      </c>
      <c r="C454" s="1">
        <v>42309</v>
      </c>
      <c r="D454" t="s">
        <v>993</v>
      </c>
      <c r="F454" t="s">
        <v>11</v>
      </c>
      <c r="G454" t="s">
        <v>30</v>
      </c>
    </row>
    <row r="455" spans="1:7" x14ac:dyDescent="0.2">
      <c r="A455">
        <v>3735</v>
      </c>
      <c r="B455" t="s">
        <v>994</v>
      </c>
      <c r="C455" s="1">
        <v>42308</v>
      </c>
      <c r="D455" t="s">
        <v>995</v>
      </c>
      <c r="E455" t="s">
        <v>29</v>
      </c>
      <c r="F455" t="s">
        <v>11</v>
      </c>
      <c r="G455" t="s">
        <v>83</v>
      </c>
    </row>
    <row r="456" spans="1:7" x14ac:dyDescent="0.2">
      <c r="A456">
        <v>3737</v>
      </c>
      <c r="B456" t="s">
        <v>996</v>
      </c>
      <c r="C456" s="1">
        <v>42302</v>
      </c>
      <c r="D456" t="s">
        <v>997</v>
      </c>
      <c r="F456" t="s">
        <v>37</v>
      </c>
      <c r="G456" t="s">
        <v>23</v>
      </c>
    </row>
    <row r="457" spans="1:7" x14ac:dyDescent="0.2">
      <c r="A457">
        <v>3739</v>
      </c>
      <c r="B457" t="s">
        <v>998</v>
      </c>
      <c r="C457" s="1">
        <v>42297</v>
      </c>
      <c r="D457" t="s">
        <v>999</v>
      </c>
      <c r="E457" t="s">
        <v>21</v>
      </c>
      <c r="F457" t="s">
        <v>708</v>
      </c>
      <c r="G457" t="s">
        <v>30</v>
      </c>
    </row>
    <row r="458" spans="1:7" x14ac:dyDescent="0.2">
      <c r="A458">
        <v>3741</v>
      </c>
      <c r="B458" t="s">
        <v>1000</v>
      </c>
      <c r="C458" s="1">
        <v>42292</v>
      </c>
      <c r="D458" t="s">
        <v>1001</v>
      </c>
      <c r="F458" t="s">
        <v>11</v>
      </c>
      <c r="G458" t="s">
        <v>30</v>
      </c>
    </row>
    <row r="459" spans="1:7" x14ac:dyDescent="0.2">
      <c r="A459">
        <v>3743</v>
      </c>
      <c r="B459" t="s">
        <v>1002</v>
      </c>
      <c r="C459" s="1">
        <v>42282</v>
      </c>
      <c r="D459" t="s">
        <v>1003</v>
      </c>
      <c r="E459" t="s">
        <v>21</v>
      </c>
      <c r="F459" t="s">
        <v>11</v>
      </c>
      <c r="G459" t="s">
        <v>83</v>
      </c>
    </row>
    <row r="460" spans="1:7" x14ac:dyDescent="0.2">
      <c r="A460">
        <v>3746</v>
      </c>
      <c r="B460" t="s">
        <v>1004</v>
      </c>
      <c r="C460" s="1">
        <v>42277</v>
      </c>
      <c r="D460" t="s">
        <v>1005</v>
      </c>
      <c r="F460" t="s">
        <v>11</v>
      </c>
      <c r="G460" t="s">
        <v>439</v>
      </c>
    </row>
    <row r="461" spans="1:7" x14ac:dyDescent="0.2">
      <c r="A461">
        <v>3758</v>
      </c>
      <c r="B461" t="s">
        <v>1006</v>
      </c>
      <c r="C461" s="1">
        <v>42260</v>
      </c>
      <c r="D461" t="s">
        <v>1007</v>
      </c>
      <c r="F461" t="s">
        <v>11</v>
      </c>
      <c r="G461" t="s">
        <v>439</v>
      </c>
    </row>
    <row r="462" spans="1:7" x14ac:dyDescent="0.2">
      <c r="A462">
        <v>3760</v>
      </c>
      <c r="B462" t="s">
        <v>1008</v>
      </c>
      <c r="C462" s="1">
        <v>42259</v>
      </c>
      <c r="D462" t="s">
        <v>1009</v>
      </c>
      <c r="F462" t="s">
        <v>11</v>
      </c>
      <c r="G462" t="s">
        <v>83</v>
      </c>
    </row>
    <row r="463" spans="1:7" x14ac:dyDescent="0.2">
      <c r="A463">
        <v>3784</v>
      </c>
      <c r="B463" t="s">
        <v>1010</v>
      </c>
      <c r="C463" s="1">
        <v>42247</v>
      </c>
      <c r="D463" t="s">
        <v>1011</v>
      </c>
      <c r="F463" t="s">
        <v>11</v>
      </c>
      <c r="G463" t="s">
        <v>297</v>
      </c>
    </row>
    <row r="464" spans="1:7" x14ac:dyDescent="0.2">
      <c r="A464">
        <v>3787</v>
      </c>
      <c r="B464" t="s">
        <v>1012</v>
      </c>
      <c r="C464" s="1">
        <v>42246</v>
      </c>
      <c r="D464" t="s">
        <v>1013</v>
      </c>
      <c r="F464" t="s">
        <v>11</v>
      </c>
      <c r="G464" t="s">
        <v>23</v>
      </c>
    </row>
    <row r="465" spans="1:7" x14ac:dyDescent="0.2">
      <c r="A465">
        <v>3791</v>
      </c>
      <c r="B465" t="s">
        <v>1014</v>
      </c>
      <c r="C465" s="1">
        <v>42215</v>
      </c>
      <c r="D465" t="s">
        <v>1015</v>
      </c>
      <c r="E465" t="s">
        <v>33</v>
      </c>
      <c r="F465" t="s">
        <v>708</v>
      </c>
      <c r="G465" t="s">
        <v>38</v>
      </c>
    </row>
    <row r="466" spans="1:7" x14ac:dyDescent="0.2">
      <c r="A466">
        <v>3793</v>
      </c>
      <c r="B466" t="s">
        <v>1016</v>
      </c>
      <c r="C466" s="1">
        <v>42212</v>
      </c>
      <c r="D466" t="s">
        <v>1017</v>
      </c>
      <c r="E466" t="s">
        <v>10</v>
      </c>
      <c r="F466" t="s">
        <v>11</v>
      </c>
      <c r="G466" t="s">
        <v>38</v>
      </c>
    </row>
    <row r="467" spans="1:7" x14ac:dyDescent="0.2">
      <c r="A467">
        <v>3795</v>
      </c>
      <c r="B467" t="s">
        <v>1018</v>
      </c>
      <c r="C467" s="1">
        <v>42207</v>
      </c>
      <c r="D467" t="s">
        <v>1019</v>
      </c>
      <c r="F467" t="s">
        <v>11</v>
      </c>
      <c r="G467" t="s">
        <v>30</v>
      </c>
    </row>
    <row r="468" spans="1:7" x14ac:dyDescent="0.2">
      <c r="A468">
        <v>3797</v>
      </c>
      <c r="B468" t="s">
        <v>1020</v>
      </c>
      <c r="C468" s="1">
        <v>42205</v>
      </c>
      <c r="D468" t="s">
        <v>1021</v>
      </c>
      <c r="E468" t="s">
        <v>29</v>
      </c>
      <c r="F468" t="s">
        <v>48</v>
      </c>
      <c r="G468" t="s">
        <v>78</v>
      </c>
    </row>
    <row r="469" spans="1:7" x14ac:dyDescent="0.2">
      <c r="A469">
        <v>3799</v>
      </c>
      <c r="B469" t="s">
        <v>1022</v>
      </c>
      <c r="C469" s="1">
        <v>42197</v>
      </c>
      <c r="D469" t="s">
        <v>1023</v>
      </c>
      <c r="F469" t="s">
        <v>11</v>
      </c>
      <c r="G469" t="s">
        <v>83</v>
      </c>
    </row>
    <row r="470" spans="1:7" x14ac:dyDescent="0.2">
      <c r="A470">
        <v>3801</v>
      </c>
      <c r="B470" t="s">
        <v>1024</v>
      </c>
      <c r="C470" s="1">
        <v>42189</v>
      </c>
      <c r="D470" t="s">
        <v>1025</v>
      </c>
      <c r="E470" t="s">
        <v>10</v>
      </c>
      <c r="F470" t="s">
        <v>48</v>
      </c>
      <c r="G470" t="s">
        <v>78</v>
      </c>
    </row>
    <row r="471" spans="1:7" x14ac:dyDescent="0.2">
      <c r="A471">
        <v>3803</v>
      </c>
      <c r="B471" t="s">
        <v>1026</v>
      </c>
      <c r="C471" s="1">
        <v>42185</v>
      </c>
      <c r="D471" t="s">
        <v>1027</v>
      </c>
      <c r="F471" t="s">
        <v>11</v>
      </c>
      <c r="G471" t="s">
        <v>439</v>
      </c>
    </row>
    <row r="472" spans="1:7" x14ac:dyDescent="0.2">
      <c r="A472">
        <v>3881</v>
      </c>
      <c r="B472" t="s">
        <v>1028</v>
      </c>
      <c r="C472" s="1">
        <v>42182</v>
      </c>
      <c r="D472" t="s">
        <v>1029</v>
      </c>
      <c r="F472" t="s">
        <v>11</v>
      </c>
      <c r="G472" t="s">
        <v>283</v>
      </c>
    </row>
    <row r="473" spans="1:7" x14ac:dyDescent="0.2">
      <c r="A473">
        <v>3883</v>
      </c>
      <c r="B473" t="s">
        <v>1030</v>
      </c>
      <c r="C473" s="1">
        <v>42170</v>
      </c>
      <c r="D473" t="s">
        <v>1031</v>
      </c>
      <c r="F473" t="s">
        <v>11</v>
      </c>
      <c r="G473" t="s">
        <v>439</v>
      </c>
    </row>
    <row r="474" spans="1:7" x14ac:dyDescent="0.2">
      <c r="A474">
        <v>3885</v>
      </c>
      <c r="B474" t="s">
        <v>1032</v>
      </c>
      <c r="C474" s="1">
        <v>42165</v>
      </c>
      <c r="D474" t="s">
        <v>1033</v>
      </c>
      <c r="E474" t="s">
        <v>10</v>
      </c>
      <c r="F474" t="s">
        <v>11</v>
      </c>
      <c r="G474" t="s">
        <v>30</v>
      </c>
    </row>
    <row r="475" spans="1:7" x14ac:dyDescent="0.2">
      <c r="A475">
        <v>3887</v>
      </c>
      <c r="B475" t="s">
        <v>1034</v>
      </c>
      <c r="C475" s="1">
        <v>42160</v>
      </c>
      <c r="D475" t="s">
        <v>1035</v>
      </c>
      <c r="E475" t="s">
        <v>29</v>
      </c>
      <c r="F475" t="s">
        <v>11</v>
      </c>
      <c r="G475" t="s">
        <v>78</v>
      </c>
    </row>
    <row r="476" spans="1:7" x14ac:dyDescent="0.2">
      <c r="A476">
        <v>3895</v>
      </c>
      <c r="B476" t="s">
        <v>1036</v>
      </c>
      <c r="C476" s="1">
        <v>42156</v>
      </c>
      <c r="D476" t="s">
        <v>1037</v>
      </c>
      <c r="F476" t="s">
        <v>11</v>
      </c>
      <c r="G476" t="s">
        <v>1038</v>
      </c>
    </row>
    <row r="477" spans="1:7" x14ac:dyDescent="0.2">
      <c r="A477">
        <v>3897</v>
      </c>
      <c r="C477" s="1">
        <v>42155</v>
      </c>
      <c r="D477" t="s">
        <v>1039</v>
      </c>
      <c r="F477" t="s">
        <v>11</v>
      </c>
      <c r="G477" t="s">
        <v>55</v>
      </c>
    </row>
    <row r="478" spans="1:7" x14ac:dyDescent="0.2">
      <c r="A478">
        <v>3899</v>
      </c>
      <c r="B478" t="s">
        <v>1040</v>
      </c>
      <c r="C478" s="1">
        <v>42139</v>
      </c>
      <c r="D478" t="s">
        <v>1041</v>
      </c>
      <c r="F478" t="s">
        <v>11</v>
      </c>
      <c r="G478" t="s">
        <v>439</v>
      </c>
    </row>
    <row r="479" spans="1:7" x14ac:dyDescent="0.2">
      <c r="A479">
        <v>3921</v>
      </c>
      <c r="B479" t="s">
        <v>1042</v>
      </c>
      <c r="C479" s="1">
        <v>42124</v>
      </c>
      <c r="D479" t="s">
        <v>1043</v>
      </c>
      <c r="F479" t="s">
        <v>11</v>
      </c>
      <c r="G479" t="s">
        <v>83</v>
      </c>
    </row>
    <row r="480" spans="1:7" x14ac:dyDescent="0.2">
      <c r="A480">
        <v>3931</v>
      </c>
      <c r="B480" t="s">
        <v>1044</v>
      </c>
      <c r="C480" s="1">
        <v>42123</v>
      </c>
      <c r="D480" t="s">
        <v>1045</v>
      </c>
      <c r="E480" t="s">
        <v>51</v>
      </c>
      <c r="F480" t="s">
        <v>11</v>
      </c>
      <c r="G480" t="s">
        <v>30</v>
      </c>
    </row>
    <row r="481" spans="1:7" x14ac:dyDescent="0.2">
      <c r="A481">
        <v>3941</v>
      </c>
      <c r="B481" t="s">
        <v>1046</v>
      </c>
      <c r="C481" s="1">
        <v>42119</v>
      </c>
      <c r="D481" t="s">
        <v>1047</v>
      </c>
      <c r="F481" t="s">
        <v>715</v>
      </c>
      <c r="G481" t="s">
        <v>1048</v>
      </c>
    </row>
    <row r="482" spans="1:7" x14ac:dyDescent="0.2">
      <c r="A482">
        <v>3943</v>
      </c>
      <c r="B482" t="s">
        <v>1049</v>
      </c>
      <c r="C482" s="1">
        <v>42118</v>
      </c>
      <c r="D482" t="s">
        <v>1050</v>
      </c>
      <c r="E482" t="s">
        <v>51</v>
      </c>
      <c r="F482" t="s">
        <v>11</v>
      </c>
      <c r="G482" t="s">
        <v>78</v>
      </c>
    </row>
    <row r="483" spans="1:7" x14ac:dyDescent="0.2">
      <c r="A483">
        <v>3945</v>
      </c>
      <c r="B483" t="s">
        <v>1051</v>
      </c>
      <c r="C483" s="1">
        <v>42112</v>
      </c>
      <c r="D483" t="s">
        <v>1052</v>
      </c>
      <c r="E483" t="s">
        <v>10</v>
      </c>
      <c r="F483" t="s">
        <v>11</v>
      </c>
      <c r="G483" t="s">
        <v>30</v>
      </c>
    </row>
    <row r="484" spans="1:7" x14ac:dyDescent="0.2">
      <c r="A484">
        <v>3947</v>
      </c>
      <c r="B484" t="s">
        <v>1053</v>
      </c>
      <c r="C484" s="1">
        <v>42104</v>
      </c>
      <c r="D484" t="s">
        <v>1054</v>
      </c>
      <c r="F484" t="s">
        <v>48</v>
      </c>
      <c r="G484" t="s">
        <v>385</v>
      </c>
    </row>
    <row r="485" spans="1:7" x14ac:dyDescent="0.2">
      <c r="A485">
        <v>3970</v>
      </c>
      <c r="B485" t="s">
        <v>1055</v>
      </c>
      <c r="C485" s="1">
        <v>42094</v>
      </c>
      <c r="D485" t="s">
        <v>1056</v>
      </c>
      <c r="F485" t="s">
        <v>11</v>
      </c>
      <c r="G485" t="s">
        <v>439</v>
      </c>
    </row>
    <row r="486" spans="1:7" x14ac:dyDescent="0.2">
      <c r="A486">
        <v>3972</v>
      </c>
      <c r="B486" t="s">
        <v>1057</v>
      </c>
      <c r="C486" s="1">
        <v>42092</v>
      </c>
      <c r="D486" t="s">
        <v>1058</v>
      </c>
      <c r="F486" t="s">
        <v>715</v>
      </c>
      <c r="G486" t="s">
        <v>86</v>
      </c>
    </row>
    <row r="487" spans="1:7" x14ac:dyDescent="0.2">
      <c r="A487">
        <v>3974</v>
      </c>
      <c r="B487" t="s">
        <v>1059</v>
      </c>
      <c r="C487" s="1">
        <v>42082</v>
      </c>
      <c r="D487" t="s">
        <v>1060</v>
      </c>
      <c r="F487" t="s">
        <v>11</v>
      </c>
      <c r="G487" t="s">
        <v>30</v>
      </c>
    </row>
    <row r="488" spans="1:7" x14ac:dyDescent="0.2">
      <c r="A488">
        <v>3976</v>
      </c>
      <c r="B488" t="s">
        <v>1061</v>
      </c>
      <c r="C488" s="1">
        <v>42064</v>
      </c>
      <c r="D488" t="s">
        <v>1062</v>
      </c>
      <c r="F488" t="s">
        <v>11</v>
      </c>
      <c r="G488" t="s">
        <v>297</v>
      </c>
    </row>
    <row r="489" spans="1:7" x14ac:dyDescent="0.2">
      <c r="A489">
        <v>3978</v>
      </c>
      <c r="B489" t="s">
        <v>1063</v>
      </c>
      <c r="C489" s="1">
        <v>42063</v>
      </c>
      <c r="D489" t="s">
        <v>1064</v>
      </c>
      <c r="E489" t="s">
        <v>10</v>
      </c>
      <c r="F489" t="s">
        <v>22</v>
      </c>
      <c r="G489" t="s">
        <v>1065</v>
      </c>
    </row>
    <row r="490" spans="1:7" x14ac:dyDescent="0.2">
      <c r="A490">
        <v>3991</v>
      </c>
      <c r="B490" t="s">
        <v>1066</v>
      </c>
      <c r="C490" s="1">
        <v>42062</v>
      </c>
      <c r="D490" t="s">
        <v>1067</v>
      </c>
      <c r="F490" t="s">
        <v>48</v>
      </c>
      <c r="G490" t="s">
        <v>38</v>
      </c>
    </row>
    <row r="491" spans="1:7" x14ac:dyDescent="0.2">
      <c r="A491">
        <v>3980</v>
      </c>
      <c r="B491" t="s">
        <v>1068</v>
      </c>
      <c r="C491" s="1">
        <v>42061</v>
      </c>
      <c r="D491" t="s">
        <v>1069</v>
      </c>
      <c r="F491" t="s">
        <v>11</v>
      </c>
      <c r="G491" t="s">
        <v>12</v>
      </c>
    </row>
    <row r="492" spans="1:7" x14ac:dyDescent="0.2">
      <c r="A492">
        <v>4006</v>
      </c>
      <c r="B492" t="s">
        <v>1070</v>
      </c>
      <c r="C492" s="1">
        <v>42055</v>
      </c>
      <c r="D492" t="s">
        <v>1071</v>
      </c>
      <c r="E492" t="s">
        <v>10</v>
      </c>
      <c r="F492" t="s">
        <v>11</v>
      </c>
      <c r="G492" t="s">
        <v>30</v>
      </c>
    </row>
    <row r="493" spans="1:7" x14ac:dyDescent="0.2">
      <c r="A493">
        <v>4008</v>
      </c>
      <c r="B493" t="s">
        <v>1072</v>
      </c>
      <c r="C493" s="1">
        <v>42052</v>
      </c>
      <c r="D493" t="s">
        <v>1073</v>
      </c>
      <c r="E493" t="s">
        <v>10</v>
      </c>
      <c r="F493" t="s">
        <v>708</v>
      </c>
      <c r="G493" t="s">
        <v>38</v>
      </c>
    </row>
    <row r="494" spans="1:7" x14ac:dyDescent="0.2">
      <c r="A494">
        <v>4010</v>
      </c>
      <c r="B494" t="s">
        <v>1074</v>
      </c>
      <c r="C494" s="1">
        <v>42045</v>
      </c>
      <c r="D494" t="s">
        <v>1075</v>
      </c>
      <c r="E494" t="s">
        <v>21</v>
      </c>
      <c r="G494" t="s">
        <v>83</v>
      </c>
    </row>
    <row r="495" spans="1:7" x14ac:dyDescent="0.2">
      <c r="A495">
        <v>4013</v>
      </c>
      <c r="B495" t="s">
        <v>1076</v>
      </c>
      <c r="C495" s="1">
        <v>42040</v>
      </c>
      <c r="D495" t="s">
        <v>1077</v>
      </c>
      <c r="E495" t="s">
        <v>33</v>
      </c>
      <c r="F495" t="s">
        <v>11</v>
      </c>
      <c r="G495" t="s">
        <v>173</v>
      </c>
    </row>
    <row r="496" spans="1:7" x14ac:dyDescent="0.2">
      <c r="A496">
        <v>4016</v>
      </c>
      <c r="B496" t="s">
        <v>1078</v>
      </c>
      <c r="C496" s="1">
        <v>42029</v>
      </c>
      <c r="D496" t="s">
        <v>1079</v>
      </c>
      <c r="F496" t="s">
        <v>11</v>
      </c>
      <c r="G496" t="s">
        <v>439</v>
      </c>
    </row>
    <row r="497" spans="1:7" x14ac:dyDescent="0.2">
      <c r="A497">
        <v>4018</v>
      </c>
      <c r="B497" t="s">
        <v>1080</v>
      </c>
      <c r="C497" s="1">
        <v>42015</v>
      </c>
      <c r="D497" t="s">
        <v>1081</v>
      </c>
      <c r="F497" t="s">
        <v>48</v>
      </c>
      <c r="G497" t="s">
        <v>1082</v>
      </c>
    </row>
    <row r="498" spans="1:7" x14ac:dyDescent="0.2">
      <c r="A498">
        <v>4028</v>
      </c>
      <c r="B498" t="s">
        <v>1083</v>
      </c>
      <c r="C498" s="1">
        <v>41988</v>
      </c>
      <c r="D498" t="s">
        <v>1084</v>
      </c>
      <c r="E498" t="s">
        <v>29</v>
      </c>
      <c r="F498" t="s">
        <v>11</v>
      </c>
      <c r="G498" t="s">
        <v>23</v>
      </c>
    </row>
    <row r="499" spans="1:7" x14ac:dyDescent="0.2">
      <c r="A499">
        <v>4036</v>
      </c>
      <c r="B499" t="s">
        <v>1085</v>
      </c>
      <c r="C499" s="1">
        <v>41959</v>
      </c>
      <c r="D499" t="s">
        <v>1086</v>
      </c>
      <c r="F499" t="s">
        <v>11</v>
      </c>
      <c r="G499" t="s">
        <v>498</v>
      </c>
    </row>
    <row r="500" spans="1:7" x14ac:dyDescent="0.2">
      <c r="A500">
        <v>4045</v>
      </c>
      <c r="B500" t="s">
        <v>1087</v>
      </c>
      <c r="C500" s="1">
        <v>41949</v>
      </c>
      <c r="D500" t="s">
        <v>1088</v>
      </c>
      <c r="F500" t="s">
        <v>715</v>
      </c>
      <c r="G500" t="s">
        <v>889</v>
      </c>
    </row>
    <row r="501" spans="1:7" x14ac:dyDescent="0.2">
      <c r="A501">
        <v>4048</v>
      </c>
      <c r="B501" t="s">
        <v>1089</v>
      </c>
      <c r="C501" s="1">
        <v>41945</v>
      </c>
      <c r="D501" t="s">
        <v>1090</v>
      </c>
      <c r="F501" t="s">
        <v>715</v>
      </c>
      <c r="G501" t="s">
        <v>1091</v>
      </c>
    </row>
    <row r="502" spans="1:7" x14ac:dyDescent="0.2">
      <c r="A502">
        <v>4052</v>
      </c>
      <c r="B502" t="s">
        <v>1092</v>
      </c>
      <c r="C502" s="1">
        <v>41943</v>
      </c>
      <c r="D502" t="s">
        <v>1093</v>
      </c>
      <c r="E502" t="s">
        <v>33</v>
      </c>
      <c r="F502" t="s">
        <v>11</v>
      </c>
      <c r="G502" t="s">
        <v>1048</v>
      </c>
    </row>
    <row r="503" spans="1:7" x14ac:dyDescent="0.2">
      <c r="A503">
        <v>4058</v>
      </c>
      <c r="B503" t="s">
        <v>1094</v>
      </c>
      <c r="C503" s="1">
        <v>41939</v>
      </c>
      <c r="D503" t="s">
        <v>1095</v>
      </c>
      <c r="F503" t="s">
        <v>708</v>
      </c>
      <c r="G503" t="s">
        <v>1096</v>
      </c>
    </row>
    <row r="504" spans="1:7" x14ac:dyDescent="0.2">
      <c r="A504">
        <v>4069</v>
      </c>
      <c r="B504" t="s">
        <v>1097</v>
      </c>
      <c r="C504" s="1">
        <v>41932</v>
      </c>
      <c r="D504" t="s">
        <v>1098</v>
      </c>
      <c r="F504" t="s">
        <v>48</v>
      </c>
      <c r="G504" t="s">
        <v>847</v>
      </c>
    </row>
    <row r="505" spans="1:7" x14ac:dyDescent="0.2">
      <c r="A505">
        <v>4071</v>
      </c>
      <c r="B505" t="s">
        <v>1099</v>
      </c>
      <c r="C505" s="1">
        <v>41915</v>
      </c>
      <c r="D505" t="s">
        <v>1100</v>
      </c>
      <c r="F505" t="s">
        <v>11</v>
      </c>
      <c r="G505" t="s">
        <v>224</v>
      </c>
    </row>
    <row r="506" spans="1:7" x14ac:dyDescent="0.2">
      <c r="A506">
        <v>4073</v>
      </c>
      <c r="B506" t="s">
        <v>1101</v>
      </c>
      <c r="C506" s="1">
        <v>41912</v>
      </c>
      <c r="D506" t="s">
        <v>1102</v>
      </c>
      <c r="E506" t="s">
        <v>142</v>
      </c>
      <c r="F506" t="s">
        <v>715</v>
      </c>
      <c r="G506" t="s">
        <v>1038</v>
      </c>
    </row>
    <row r="507" spans="1:7" x14ac:dyDescent="0.2">
      <c r="A507">
        <v>4075</v>
      </c>
      <c r="B507" t="s">
        <v>1103</v>
      </c>
      <c r="C507" s="1">
        <v>41912</v>
      </c>
      <c r="D507" t="s">
        <v>1104</v>
      </c>
      <c r="F507" t="s">
        <v>715</v>
      </c>
      <c r="G507" t="s">
        <v>439</v>
      </c>
    </row>
    <row r="508" spans="1:7" x14ac:dyDescent="0.2">
      <c r="A508">
        <v>4081</v>
      </c>
      <c r="B508" t="s">
        <v>1105</v>
      </c>
      <c r="C508" s="1">
        <v>41907</v>
      </c>
      <c r="D508" t="s">
        <v>1106</v>
      </c>
      <c r="E508" t="s">
        <v>10</v>
      </c>
      <c r="F508" t="s">
        <v>11</v>
      </c>
      <c r="G508" t="s">
        <v>78</v>
      </c>
    </row>
    <row r="509" spans="1:7" x14ac:dyDescent="0.2">
      <c r="A509">
        <v>4082</v>
      </c>
      <c r="B509" t="s">
        <v>1107</v>
      </c>
      <c r="C509" s="1">
        <v>41891</v>
      </c>
      <c r="D509" t="s">
        <v>1108</v>
      </c>
      <c r="F509" t="s">
        <v>11</v>
      </c>
      <c r="G509" t="s">
        <v>30</v>
      </c>
    </row>
    <row r="510" spans="1:7" x14ac:dyDescent="0.2">
      <c r="A510">
        <v>4085</v>
      </c>
      <c r="B510" t="s">
        <v>1109</v>
      </c>
      <c r="C510" s="1">
        <v>41882</v>
      </c>
      <c r="D510" t="s">
        <v>1110</v>
      </c>
      <c r="E510" t="s">
        <v>21</v>
      </c>
      <c r="F510" t="s">
        <v>48</v>
      </c>
      <c r="G510" t="s">
        <v>78</v>
      </c>
    </row>
    <row r="511" spans="1:7" x14ac:dyDescent="0.2">
      <c r="A511">
        <v>4087</v>
      </c>
      <c r="B511" t="s">
        <v>1111</v>
      </c>
      <c r="C511" s="1">
        <v>41878</v>
      </c>
      <c r="D511" t="s">
        <v>1112</v>
      </c>
      <c r="F511" t="s">
        <v>11</v>
      </c>
      <c r="G511" t="s">
        <v>135</v>
      </c>
    </row>
    <row r="512" spans="1:7" x14ac:dyDescent="0.2">
      <c r="A512">
        <v>4089</v>
      </c>
      <c r="B512" t="s">
        <v>1113</v>
      </c>
      <c r="C512" s="1">
        <v>41873</v>
      </c>
      <c r="D512" t="s">
        <v>1114</v>
      </c>
      <c r="F512" t="s">
        <v>48</v>
      </c>
      <c r="G512" t="s">
        <v>78</v>
      </c>
    </row>
    <row r="513" spans="1:7" x14ac:dyDescent="0.2">
      <c r="A513">
        <v>4091</v>
      </c>
      <c r="B513" t="s">
        <v>1115</v>
      </c>
      <c r="C513" s="1">
        <v>41868</v>
      </c>
      <c r="D513" t="s">
        <v>1116</v>
      </c>
      <c r="F513" t="s">
        <v>11</v>
      </c>
      <c r="G513" t="s">
        <v>107</v>
      </c>
    </row>
    <row r="514" spans="1:7" x14ac:dyDescent="0.2">
      <c r="A514">
        <v>4093</v>
      </c>
      <c r="B514" t="s">
        <v>1117</v>
      </c>
      <c r="C514" s="1">
        <v>41852</v>
      </c>
      <c r="D514" t="s">
        <v>1118</v>
      </c>
      <c r="E514" t="s">
        <v>29</v>
      </c>
      <c r="F514" t="s">
        <v>11</v>
      </c>
      <c r="G514" t="s">
        <v>1119</v>
      </c>
    </row>
    <row r="515" spans="1:7" x14ac:dyDescent="0.2">
      <c r="A515">
        <v>4125</v>
      </c>
      <c r="B515" t="s">
        <v>1120</v>
      </c>
      <c r="C515" s="1">
        <v>41849</v>
      </c>
      <c r="D515" t="s">
        <v>1121</v>
      </c>
      <c r="G515" t="s">
        <v>439</v>
      </c>
    </row>
    <row r="516" spans="1:7" x14ac:dyDescent="0.2">
      <c r="A516">
        <v>4127</v>
      </c>
      <c r="B516" t="s">
        <v>1122</v>
      </c>
      <c r="C516" s="1">
        <v>41847</v>
      </c>
      <c r="D516" t="s">
        <v>1123</v>
      </c>
      <c r="F516" t="s">
        <v>37</v>
      </c>
      <c r="G516" t="s">
        <v>38</v>
      </c>
    </row>
    <row r="517" spans="1:7" x14ac:dyDescent="0.2">
      <c r="A517">
        <v>4129</v>
      </c>
      <c r="B517" t="s">
        <v>1124</v>
      </c>
      <c r="C517" s="1">
        <v>41835</v>
      </c>
      <c r="D517" t="s">
        <v>1125</v>
      </c>
      <c r="F517" t="s">
        <v>11</v>
      </c>
      <c r="G517" t="s">
        <v>30</v>
      </c>
    </row>
    <row r="518" spans="1:7" x14ac:dyDescent="0.2">
      <c r="A518">
        <v>4130</v>
      </c>
      <c r="B518" t="s">
        <v>1126</v>
      </c>
      <c r="C518" s="1">
        <v>41830</v>
      </c>
      <c r="D518" t="s">
        <v>1127</v>
      </c>
      <c r="F518" t="s">
        <v>48</v>
      </c>
      <c r="G518" t="s">
        <v>1128</v>
      </c>
    </row>
    <row r="519" spans="1:7" x14ac:dyDescent="0.2">
      <c r="A519">
        <v>4132</v>
      </c>
      <c r="B519" t="s">
        <v>1129</v>
      </c>
      <c r="C519" s="1">
        <v>41826</v>
      </c>
      <c r="D519" t="s">
        <v>1130</v>
      </c>
      <c r="F519" t="s">
        <v>11</v>
      </c>
      <c r="G519" t="s">
        <v>815</v>
      </c>
    </row>
    <row r="520" spans="1:7" x14ac:dyDescent="0.2">
      <c r="A520">
        <v>4133</v>
      </c>
      <c r="B520" t="s">
        <v>1131</v>
      </c>
      <c r="C520" s="1">
        <v>41821</v>
      </c>
      <c r="D520" t="s">
        <v>1132</v>
      </c>
      <c r="E520" t="s">
        <v>33</v>
      </c>
      <c r="F520" t="s">
        <v>48</v>
      </c>
      <c r="G520" t="s">
        <v>78</v>
      </c>
    </row>
    <row r="521" spans="1:7" x14ac:dyDescent="0.2">
      <c r="A521">
        <v>4150</v>
      </c>
      <c r="B521" t="s">
        <v>1133</v>
      </c>
      <c r="C521" s="1">
        <v>41820</v>
      </c>
      <c r="D521" t="s">
        <v>1134</v>
      </c>
      <c r="E521" t="s">
        <v>33</v>
      </c>
      <c r="F521" t="s">
        <v>48</v>
      </c>
      <c r="G521" t="s">
        <v>224</v>
      </c>
    </row>
    <row r="522" spans="1:7" x14ac:dyDescent="0.2">
      <c r="A522">
        <v>4151</v>
      </c>
      <c r="B522" t="s">
        <v>1135</v>
      </c>
      <c r="C522" s="1">
        <v>41805</v>
      </c>
      <c r="D522" t="s">
        <v>1136</v>
      </c>
      <c r="E522" t="s">
        <v>21</v>
      </c>
      <c r="F522" t="s">
        <v>48</v>
      </c>
      <c r="G522" t="s">
        <v>78</v>
      </c>
    </row>
    <row r="523" spans="1:7" x14ac:dyDescent="0.2">
      <c r="A523">
        <v>4204</v>
      </c>
      <c r="B523" t="s">
        <v>1137</v>
      </c>
      <c r="C523" s="1">
        <v>41793</v>
      </c>
      <c r="D523" t="s">
        <v>1138</v>
      </c>
      <c r="F523" t="s">
        <v>48</v>
      </c>
      <c r="G523" t="s">
        <v>742</v>
      </c>
    </row>
    <row r="524" spans="1:7" x14ac:dyDescent="0.2">
      <c r="A524">
        <v>4458</v>
      </c>
      <c r="B524" t="s">
        <v>1137</v>
      </c>
      <c r="C524" s="1">
        <v>41793</v>
      </c>
      <c r="D524" t="s">
        <v>1139</v>
      </c>
      <c r="F524" t="s">
        <v>11</v>
      </c>
      <c r="G524" t="s">
        <v>439</v>
      </c>
    </row>
    <row r="525" spans="1:7" x14ac:dyDescent="0.2">
      <c r="A525">
        <v>4154</v>
      </c>
      <c r="B525" t="s">
        <v>1140</v>
      </c>
      <c r="C525" s="1">
        <v>41791</v>
      </c>
      <c r="D525" t="s">
        <v>1141</v>
      </c>
      <c r="F525" t="s">
        <v>11</v>
      </c>
      <c r="G525" t="s">
        <v>185</v>
      </c>
    </row>
    <row r="526" spans="1:7" x14ac:dyDescent="0.2">
      <c r="A526">
        <v>4155</v>
      </c>
      <c r="B526" t="s">
        <v>1142</v>
      </c>
      <c r="C526" s="1">
        <v>41790</v>
      </c>
      <c r="D526" t="s">
        <v>1143</v>
      </c>
      <c r="F526" t="s">
        <v>11</v>
      </c>
      <c r="G526" t="s">
        <v>439</v>
      </c>
    </row>
    <row r="527" spans="1:7" x14ac:dyDescent="0.2">
      <c r="A527">
        <v>4160</v>
      </c>
      <c r="B527" t="s">
        <v>1144</v>
      </c>
      <c r="C527" s="1">
        <v>41788</v>
      </c>
      <c r="D527" t="s">
        <v>1145</v>
      </c>
      <c r="F527" t="s">
        <v>11</v>
      </c>
      <c r="G527" t="s">
        <v>86</v>
      </c>
    </row>
    <row r="528" spans="1:7" x14ac:dyDescent="0.2">
      <c r="A528">
        <v>4200</v>
      </c>
      <c r="B528" t="s">
        <v>1146</v>
      </c>
      <c r="C528" s="1">
        <v>41786</v>
      </c>
      <c r="D528" t="s">
        <v>1147</v>
      </c>
      <c r="F528" t="s">
        <v>11</v>
      </c>
      <c r="G528" t="s">
        <v>224</v>
      </c>
    </row>
    <row r="529" spans="1:7" x14ac:dyDescent="0.2">
      <c r="A529">
        <v>4202</v>
      </c>
      <c r="B529" t="s">
        <v>1148</v>
      </c>
      <c r="C529" s="1">
        <v>41784</v>
      </c>
      <c r="D529" t="s">
        <v>1149</v>
      </c>
      <c r="E529" t="s">
        <v>33</v>
      </c>
      <c r="F529" t="s">
        <v>48</v>
      </c>
      <c r="G529" t="s">
        <v>1119</v>
      </c>
    </row>
    <row r="530" spans="1:7" x14ac:dyDescent="0.2">
      <c r="A530">
        <v>4460</v>
      </c>
      <c r="B530" t="s">
        <v>1150</v>
      </c>
      <c r="C530" s="1">
        <v>41767</v>
      </c>
      <c r="D530" t="s">
        <v>1151</v>
      </c>
      <c r="F530" t="s">
        <v>11</v>
      </c>
      <c r="G530" t="s">
        <v>455</v>
      </c>
    </row>
    <row r="531" spans="1:7" x14ac:dyDescent="0.2">
      <c r="A531">
        <v>4466</v>
      </c>
      <c r="B531" t="s">
        <v>1152</v>
      </c>
      <c r="C531" s="1">
        <v>41764</v>
      </c>
      <c r="D531" t="s">
        <v>1153</v>
      </c>
      <c r="E531" t="s">
        <v>21</v>
      </c>
      <c r="G531" t="s">
        <v>78</v>
      </c>
    </row>
    <row r="532" spans="1:7" x14ac:dyDescent="0.2">
      <c r="A532">
        <v>4468</v>
      </c>
      <c r="B532" t="s">
        <v>1154</v>
      </c>
      <c r="C532" s="1">
        <v>41763</v>
      </c>
      <c r="D532" t="s">
        <v>1155</v>
      </c>
      <c r="F532" t="s">
        <v>715</v>
      </c>
      <c r="G532" t="s">
        <v>132</v>
      </c>
    </row>
    <row r="533" spans="1:7" x14ac:dyDescent="0.2">
      <c r="A533">
        <v>4469</v>
      </c>
      <c r="B533" t="s">
        <v>1156</v>
      </c>
      <c r="C533" s="1">
        <v>41761</v>
      </c>
      <c r="D533" t="s">
        <v>1157</v>
      </c>
      <c r="F533" t="s">
        <v>11</v>
      </c>
      <c r="G533" t="s">
        <v>132</v>
      </c>
    </row>
    <row r="534" spans="1:7" x14ac:dyDescent="0.2">
      <c r="A534">
        <v>4471</v>
      </c>
      <c r="B534" t="s">
        <v>1158</v>
      </c>
      <c r="C534" s="1">
        <v>41760</v>
      </c>
      <c r="D534" t="s">
        <v>1159</v>
      </c>
      <c r="F534" t="s">
        <v>11</v>
      </c>
      <c r="G534" t="s">
        <v>30</v>
      </c>
    </row>
    <row r="535" spans="1:7" x14ac:dyDescent="0.2">
      <c r="A535">
        <v>4472</v>
      </c>
      <c r="B535" t="s">
        <v>1160</v>
      </c>
      <c r="C535" s="1">
        <v>41759</v>
      </c>
      <c r="D535" t="s">
        <v>1161</v>
      </c>
      <c r="F535" t="s">
        <v>11</v>
      </c>
      <c r="G535" t="s">
        <v>12</v>
      </c>
    </row>
    <row r="536" spans="1:7" x14ac:dyDescent="0.2">
      <c r="A536">
        <v>4474</v>
      </c>
      <c r="B536" t="s">
        <v>1162</v>
      </c>
      <c r="C536" s="1">
        <v>41756</v>
      </c>
      <c r="D536" t="s">
        <v>1163</v>
      </c>
      <c r="E536" t="s">
        <v>33</v>
      </c>
      <c r="F536" t="s">
        <v>11</v>
      </c>
      <c r="G536" t="s">
        <v>173</v>
      </c>
    </row>
    <row r="537" spans="1:7" x14ac:dyDescent="0.2">
      <c r="A537">
        <v>4476</v>
      </c>
      <c r="B537" t="s">
        <v>1164</v>
      </c>
      <c r="C537" s="1">
        <v>41754</v>
      </c>
      <c r="D537" t="s">
        <v>1165</v>
      </c>
      <c r="E537" t="s">
        <v>21</v>
      </c>
      <c r="F537" t="s">
        <v>48</v>
      </c>
      <c r="G537" t="s">
        <v>302</v>
      </c>
    </row>
    <row r="538" spans="1:7" x14ac:dyDescent="0.2">
      <c r="A538">
        <v>4619</v>
      </c>
      <c r="B538" t="s">
        <v>1166</v>
      </c>
      <c r="C538" s="1">
        <v>41733</v>
      </c>
      <c r="D538" t="s">
        <v>1167</v>
      </c>
      <c r="E538" t="s">
        <v>10</v>
      </c>
      <c r="F538" t="s">
        <v>11</v>
      </c>
      <c r="G538" t="s">
        <v>91</v>
      </c>
    </row>
  </sheetData>
  <autoFilter ref="A1:R538" xr:uid="{00000000-0001-0000-0000-000000000000}">
    <sortState xmlns:xlrd2="http://schemas.microsoft.com/office/spreadsheetml/2017/richdata2" ref="A2:R538">
      <sortCondition descending="1" ref="C1:C538"/>
    </sortState>
  </autoFilter>
  <sortState xmlns:xlrd2="http://schemas.microsoft.com/office/spreadsheetml/2017/richdata2" ref="A2:G2000">
    <sortCondition descending="1" ref="C2:C2000"/>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1084"/>
  <sheetViews>
    <sheetView topLeftCell="L1" workbookViewId="0">
      <selection activeCell="T5" sqref="T5"/>
    </sheetView>
  </sheetViews>
  <sheetFormatPr baseColWidth="10" defaultColWidth="8.83203125" defaultRowHeight="15" x14ac:dyDescent="0.2"/>
  <cols>
    <col min="1" max="1" width="154" bestFit="1" customWidth="1"/>
    <col min="2" max="2" width="9.5" bestFit="1" customWidth="1"/>
    <col min="4" max="4" width="8.6640625" style="11"/>
    <col min="5" max="5" width="23.5" style="11" customWidth="1"/>
    <col min="7" max="7" width="30.1640625" customWidth="1"/>
    <col min="8" max="8" width="8.6640625" style="11"/>
    <col min="9" max="9" width="21.5" style="11" customWidth="1"/>
    <col min="11" max="11" width="53.5" customWidth="1"/>
    <col min="12" max="12" width="8.6640625" style="11"/>
    <col min="13" max="13" width="23.6640625" style="11" customWidth="1"/>
    <col min="15" max="15" width="37.5" customWidth="1"/>
    <col min="17" max="17" width="16.5" customWidth="1"/>
    <col min="22" max="22" width="33.5" customWidth="1"/>
    <col min="23" max="23" width="10.5" customWidth="1"/>
    <col min="24" max="24" width="16.33203125" customWidth="1"/>
    <col min="25" max="25" width="18.5" customWidth="1"/>
  </cols>
  <sheetData>
    <row r="1" spans="1:25" ht="16" x14ac:dyDescent="0.2">
      <c r="A1" s="2" t="s">
        <v>1168</v>
      </c>
      <c r="B1" t="s">
        <v>1169</v>
      </c>
      <c r="D1" s="6" t="s">
        <v>1170</v>
      </c>
      <c r="E1" s="7" t="s">
        <v>33</v>
      </c>
      <c r="F1" s="8" t="s">
        <v>1170</v>
      </c>
      <c r="G1" s="9" t="s">
        <v>10</v>
      </c>
      <c r="H1" s="6" t="s">
        <v>1170</v>
      </c>
      <c r="I1" s="7" t="s">
        <v>29</v>
      </c>
      <c r="J1" s="8" t="s">
        <v>1170</v>
      </c>
      <c r="K1" s="9" t="s">
        <v>21</v>
      </c>
      <c r="L1" s="6" t="s">
        <v>1170</v>
      </c>
      <c r="M1" s="7" t="s">
        <v>51</v>
      </c>
      <c r="N1" s="8" t="s">
        <v>1170</v>
      </c>
      <c r="O1" s="9" t="s">
        <v>17</v>
      </c>
      <c r="P1" s="8"/>
      <c r="Q1" s="9"/>
      <c r="U1" s="14" t="s">
        <v>1170</v>
      </c>
      <c r="V1" s="13" t="s">
        <v>1171</v>
      </c>
      <c r="W1" s="17" t="s">
        <v>2</v>
      </c>
      <c r="X1" s="19" t="s">
        <v>1172</v>
      </c>
      <c r="Y1" s="19" t="s">
        <v>7</v>
      </c>
    </row>
    <row r="2" spans="1:25" ht="16" x14ac:dyDescent="0.2">
      <c r="A2" s="3" t="s">
        <v>33</v>
      </c>
      <c r="B2" s="33">
        <v>21</v>
      </c>
      <c r="D2" s="10">
        <v>1453</v>
      </c>
      <c r="E2" s="7" t="s">
        <v>33</v>
      </c>
      <c r="F2" s="4">
        <v>3212</v>
      </c>
      <c r="G2" s="9" t="s">
        <v>10</v>
      </c>
      <c r="H2" s="10">
        <v>2338</v>
      </c>
      <c r="I2" s="7" t="s">
        <v>29</v>
      </c>
      <c r="J2" s="4">
        <v>2338</v>
      </c>
      <c r="K2" s="9" t="s">
        <v>21</v>
      </c>
      <c r="L2" s="10">
        <v>2525</v>
      </c>
      <c r="M2" s="7" t="s">
        <v>51</v>
      </c>
      <c r="N2" s="4">
        <v>5535</v>
      </c>
      <c r="O2" s="9" t="s">
        <v>17</v>
      </c>
      <c r="Q2" s="9"/>
      <c r="U2" s="12">
        <v>1453</v>
      </c>
      <c r="V2" s="13" t="s">
        <v>33</v>
      </c>
      <c r="W2" s="18" t="str">
        <f>TEXT(VLOOKUP(U2, News!A:C, 3, FALSE), "M/D/YYYY")</f>
        <v>1/9/2018</v>
      </c>
      <c r="X2" s="18">
        <f>DATE(YEAR(W2),MONTH(Metrics!$B$5), DAY(Metrics!$B$5))</f>
        <v>43344</v>
      </c>
      <c r="Y2" s="16">
        <f>IF(MONTH(W2) &gt;= MONTH(X2), YEAR(W2)+1, YEAR(W2))</f>
        <v>2018</v>
      </c>
    </row>
    <row r="3" spans="1:25" ht="16" x14ac:dyDescent="0.2">
      <c r="A3" s="3" t="s">
        <v>172</v>
      </c>
      <c r="B3" s="33">
        <v>3</v>
      </c>
      <c r="D3" s="10">
        <v>1493</v>
      </c>
      <c r="E3" s="7" t="s">
        <v>33</v>
      </c>
      <c r="F3" s="4">
        <v>4765</v>
      </c>
      <c r="G3" s="9" t="s">
        <v>10</v>
      </c>
      <c r="H3" s="10">
        <v>2525</v>
      </c>
      <c r="I3" s="7" t="s">
        <v>29</v>
      </c>
      <c r="J3" s="4">
        <v>2525</v>
      </c>
      <c r="K3" s="9" t="s">
        <v>21</v>
      </c>
      <c r="L3" s="10">
        <v>5535</v>
      </c>
      <c r="M3" s="7" t="s">
        <v>51</v>
      </c>
      <c r="N3" s="4">
        <v>5883</v>
      </c>
      <c r="O3" s="9" t="s">
        <v>17</v>
      </c>
      <c r="Q3" s="9"/>
      <c r="U3" s="12">
        <v>1493</v>
      </c>
      <c r="V3" s="13" t="s">
        <v>33</v>
      </c>
      <c r="W3" s="18" t="str">
        <f>TEXT(VLOOKUP(U3, News!A:C, 3, FALSE), "M/D/YYYY")</f>
        <v>8/17/2018</v>
      </c>
      <c r="X3" s="18">
        <f>DATE(YEAR(W3),MONTH(Metrics!$B$5), DAY(Metrics!$B$5))</f>
        <v>43344</v>
      </c>
      <c r="Y3" s="16">
        <f t="shared" ref="Y3:Y66" si="0">IF(MONTH(W3) &gt;= MONTH(X3), YEAR(W3)+1, YEAR(W3))</f>
        <v>2018</v>
      </c>
    </row>
    <row r="4" spans="1:25" ht="16" x14ac:dyDescent="0.2">
      <c r="A4" s="3" t="s">
        <v>783</v>
      </c>
      <c r="B4" s="33">
        <v>1</v>
      </c>
      <c r="D4" s="10">
        <v>1940</v>
      </c>
      <c r="E4" s="7" t="s">
        <v>33</v>
      </c>
      <c r="F4" s="4">
        <v>7060</v>
      </c>
      <c r="G4" s="9" t="s">
        <v>10</v>
      </c>
      <c r="H4" s="10">
        <v>5535</v>
      </c>
      <c r="I4" s="7" t="s">
        <v>29</v>
      </c>
      <c r="J4" s="4">
        <v>5535</v>
      </c>
      <c r="K4" s="9" t="s">
        <v>21</v>
      </c>
      <c r="L4" s="10">
        <v>5883</v>
      </c>
      <c r="M4" s="7" t="s">
        <v>51</v>
      </c>
      <c r="N4" s="4">
        <v>7040</v>
      </c>
      <c r="O4" s="9" t="s">
        <v>17</v>
      </c>
      <c r="Q4" s="9"/>
      <c r="U4" s="12">
        <v>1940</v>
      </c>
      <c r="V4" s="13" t="s">
        <v>33</v>
      </c>
      <c r="W4" s="18" t="str">
        <f>TEXT(VLOOKUP(U4, News!A:C, 3, FALSE), "M/D/YYYY")</f>
        <v>8/31/2017</v>
      </c>
      <c r="X4" s="18">
        <f>DATE(YEAR(W4),MONTH(Metrics!$B$5), DAY(Metrics!$B$5))</f>
        <v>42979</v>
      </c>
      <c r="Y4" s="16">
        <f t="shared" si="0"/>
        <v>2017</v>
      </c>
    </row>
    <row r="5" spans="1:25" ht="16" x14ac:dyDescent="0.2">
      <c r="A5" s="3" t="s">
        <v>814</v>
      </c>
      <c r="B5" s="33">
        <v>1</v>
      </c>
      <c r="D5" s="10">
        <v>2210</v>
      </c>
      <c r="E5" s="7" t="s">
        <v>33</v>
      </c>
      <c r="F5" s="4">
        <v>2338</v>
      </c>
      <c r="G5" s="9" t="s">
        <v>10</v>
      </c>
      <c r="H5" s="10">
        <v>5883</v>
      </c>
      <c r="I5" s="7" t="s">
        <v>29</v>
      </c>
      <c r="J5" s="4">
        <v>5883</v>
      </c>
      <c r="K5" s="9" t="s">
        <v>21</v>
      </c>
      <c r="L5" s="10">
        <v>7040</v>
      </c>
      <c r="M5" s="7" t="s">
        <v>51</v>
      </c>
      <c r="N5" s="4">
        <v>7357</v>
      </c>
      <c r="O5" s="9" t="s">
        <v>17</v>
      </c>
      <c r="Q5" s="9"/>
      <c r="U5" s="12">
        <v>2210</v>
      </c>
      <c r="V5" s="13" t="s">
        <v>33</v>
      </c>
      <c r="W5" s="18" t="str">
        <f>TEXT(VLOOKUP(U5, News!A:C, 3, FALSE), "M/D/YYYY")</f>
        <v>5/30/2017</v>
      </c>
      <c r="X5" s="18">
        <f>DATE(YEAR(W5),MONTH(Metrics!$B$5), DAY(Metrics!$B$5))</f>
        <v>42979</v>
      </c>
      <c r="Y5" s="16">
        <f t="shared" si="0"/>
        <v>2017</v>
      </c>
    </row>
    <row r="6" spans="1:25" ht="16" x14ac:dyDescent="0.2">
      <c r="A6" s="3" t="s">
        <v>60</v>
      </c>
      <c r="B6" s="33">
        <v>8</v>
      </c>
      <c r="D6" s="10">
        <v>3254</v>
      </c>
      <c r="E6" s="7" t="s">
        <v>33</v>
      </c>
      <c r="F6" s="4">
        <v>2525</v>
      </c>
      <c r="G6" s="9" t="s">
        <v>10</v>
      </c>
      <c r="H6" s="10">
        <v>7040</v>
      </c>
      <c r="I6" s="7" t="s">
        <v>29</v>
      </c>
      <c r="J6" s="4">
        <v>7040</v>
      </c>
      <c r="K6" s="9" t="s">
        <v>21</v>
      </c>
      <c r="L6" s="10">
        <v>7357</v>
      </c>
      <c r="M6" s="7" t="s">
        <v>51</v>
      </c>
      <c r="N6" s="4">
        <v>7358</v>
      </c>
      <c r="O6" s="9" t="s">
        <v>17</v>
      </c>
      <c r="Q6" s="9"/>
      <c r="U6" s="12">
        <v>3254</v>
      </c>
      <c r="V6" s="13" t="s">
        <v>33</v>
      </c>
      <c r="W6" s="18" t="str">
        <f>TEXT(VLOOKUP(U6, News!A:C, 3, FALSE), "M/D/YYYY")</f>
        <v>12/18/2018</v>
      </c>
      <c r="X6" s="18">
        <f>DATE(YEAR(W6),MONTH(Metrics!$B$5), DAY(Metrics!$B$5))</f>
        <v>43344</v>
      </c>
      <c r="Y6" s="16">
        <f t="shared" si="0"/>
        <v>2019</v>
      </c>
    </row>
    <row r="7" spans="1:25" ht="16" x14ac:dyDescent="0.2">
      <c r="A7" s="3" t="s">
        <v>44</v>
      </c>
      <c r="B7" s="33">
        <v>2</v>
      </c>
      <c r="D7" s="10">
        <v>3791</v>
      </c>
      <c r="E7" s="7" t="s">
        <v>33</v>
      </c>
      <c r="F7" s="4">
        <v>5535</v>
      </c>
      <c r="G7" s="9" t="s">
        <v>10</v>
      </c>
      <c r="H7" s="10">
        <v>7357</v>
      </c>
      <c r="I7" s="7" t="s">
        <v>29</v>
      </c>
      <c r="J7" s="4">
        <v>7357</v>
      </c>
      <c r="K7" s="9" t="s">
        <v>21</v>
      </c>
      <c r="L7" s="10">
        <v>7358</v>
      </c>
      <c r="M7" s="7" t="s">
        <v>51</v>
      </c>
      <c r="N7" s="4">
        <v>7355</v>
      </c>
      <c r="O7" s="9" t="s">
        <v>17</v>
      </c>
      <c r="Q7" s="9"/>
      <c r="U7" s="12">
        <v>3791</v>
      </c>
      <c r="V7" s="13" t="s">
        <v>33</v>
      </c>
      <c r="W7" s="18" t="str">
        <f>TEXT(VLOOKUP(U7, News!A:C, 3, FALSE), "M/D/YYYY")</f>
        <v>7/30/2015</v>
      </c>
      <c r="X7" s="18">
        <f>DATE(YEAR(W7),MONTH(Metrics!$B$5), DAY(Metrics!$B$5))</f>
        <v>42248</v>
      </c>
      <c r="Y7" s="16">
        <f t="shared" si="0"/>
        <v>2015</v>
      </c>
    </row>
    <row r="8" spans="1:25" ht="16" x14ac:dyDescent="0.2">
      <c r="A8" s="3" t="s">
        <v>789</v>
      </c>
      <c r="B8" s="33">
        <v>1</v>
      </c>
      <c r="D8" s="10">
        <v>3939</v>
      </c>
      <c r="E8" s="7" t="s">
        <v>33</v>
      </c>
      <c r="F8" s="4">
        <v>5883</v>
      </c>
      <c r="G8" s="9" t="s">
        <v>10</v>
      </c>
      <c r="H8" s="10">
        <v>7358</v>
      </c>
      <c r="I8" s="7" t="s">
        <v>29</v>
      </c>
      <c r="J8" s="4">
        <v>7358</v>
      </c>
      <c r="K8" s="9" t="s">
        <v>21</v>
      </c>
      <c r="L8" s="10">
        <v>7355</v>
      </c>
      <c r="M8" s="7" t="s">
        <v>51</v>
      </c>
      <c r="N8" s="4">
        <v>7881</v>
      </c>
      <c r="O8" s="9" t="s">
        <v>17</v>
      </c>
      <c r="Q8" s="9"/>
      <c r="U8" s="12">
        <v>3939</v>
      </c>
      <c r="V8" s="13" t="s">
        <v>33</v>
      </c>
      <c r="W8" s="18" t="str">
        <f>TEXT(VLOOKUP(U8, News!A:C, 3, FALSE), "M/D/YYYY")</f>
        <v>4/16/2019</v>
      </c>
      <c r="X8" s="18">
        <f>DATE(YEAR(W8),MONTH(Metrics!$B$5), DAY(Metrics!$B$5))</f>
        <v>43709</v>
      </c>
      <c r="Y8" s="16">
        <f t="shared" si="0"/>
        <v>2019</v>
      </c>
    </row>
    <row r="9" spans="1:25" ht="16" x14ac:dyDescent="0.2">
      <c r="A9" s="3" t="s">
        <v>880</v>
      </c>
      <c r="B9" s="33">
        <v>1</v>
      </c>
      <c r="D9" s="10">
        <v>4013</v>
      </c>
      <c r="E9" s="7" t="s">
        <v>33</v>
      </c>
      <c r="F9" s="4">
        <v>7040</v>
      </c>
      <c r="G9" s="9" t="s">
        <v>10</v>
      </c>
      <c r="H9" s="10">
        <v>7355</v>
      </c>
      <c r="I9" s="7" t="s">
        <v>29</v>
      </c>
      <c r="J9" s="4">
        <v>7355</v>
      </c>
      <c r="K9" s="9" t="s">
        <v>21</v>
      </c>
      <c r="L9" s="10">
        <v>7881</v>
      </c>
      <c r="M9" s="7" t="s">
        <v>51</v>
      </c>
      <c r="N9" s="4">
        <v>8204</v>
      </c>
      <c r="O9" s="9" t="s">
        <v>17</v>
      </c>
      <c r="Q9" s="9"/>
      <c r="U9" s="12">
        <v>4013</v>
      </c>
      <c r="V9" s="13" t="s">
        <v>33</v>
      </c>
      <c r="W9" s="18" t="str">
        <f>TEXT(VLOOKUP(U9, News!A:C, 3, FALSE), "M/D/YYYY")</f>
        <v>2/5/2015</v>
      </c>
      <c r="X9" s="18">
        <f>DATE(YEAR(W9),MONTH(Metrics!$B$5), DAY(Metrics!$B$5))</f>
        <v>42248</v>
      </c>
      <c r="Y9" s="16">
        <f t="shared" si="0"/>
        <v>2015</v>
      </c>
    </row>
    <row r="10" spans="1:25" ht="16" x14ac:dyDescent="0.2">
      <c r="A10" s="3" t="s">
        <v>645</v>
      </c>
      <c r="B10" s="33">
        <v>1</v>
      </c>
      <c r="D10" s="10">
        <v>4052</v>
      </c>
      <c r="E10" s="7" t="s">
        <v>33</v>
      </c>
      <c r="F10" s="4">
        <v>7357</v>
      </c>
      <c r="G10" s="9" t="s">
        <v>10</v>
      </c>
      <c r="H10" s="10">
        <v>7881</v>
      </c>
      <c r="I10" s="7" t="s">
        <v>29</v>
      </c>
      <c r="J10" s="4">
        <v>7881</v>
      </c>
      <c r="K10" s="9" t="s">
        <v>21</v>
      </c>
      <c r="L10" s="10">
        <v>8204</v>
      </c>
      <c r="M10" s="7" t="s">
        <v>51</v>
      </c>
      <c r="N10" s="4">
        <v>4816</v>
      </c>
      <c r="O10" s="9" t="s">
        <v>17</v>
      </c>
      <c r="Q10" s="9"/>
      <c r="U10" s="12">
        <v>4052</v>
      </c>
      <c r="V10" s="13" t="s">
        <v>33</v>
      </c>
      <c r="W10" s="18" t="str">
        <f>TEXT(VLOOKUP(U10, News!A:C, 3, FALSE), "M/D/YYYY")</f>
        <v>10/31/2014</v>
      </c>
      <c r="X10" s="18">
        <f>DATE(YEAR(W10),MONTH(Metrics!$B$5), DAY(Metrics!$B$5))</f>
        <v>41883</v>
      </c>
      <c r="Y10" s="16">
        <f t="shared" si="0"/>
        <v>2015</v>
      </c>
    </row>
    <row r="11" spans="1:25" ht="16" x14ac:dyDescent="0.2">
      <c r="A11" s="3" t="s">
        <v>272</v>
      </c>
      <c r="B11" s="33">
        <v>1</v>
      </c>
      <c r="D11" s="10">
        <v>4133</v>
      </c>
      <c r="E11" s="7" t="s">
        <v>33</v>
      </c>
      <c r="F11" s="4">
        <v>7358</v>
      </c>
      <c r="G11" s="9" t="s">
        <v>10</v>
      </c>
      <c r="H11" s="10">
        <v>8204</v>
      </c>
      <c r="I11" s="7" t="s">
        <v>29</v>
      </c>
      <c r="J11" s="4">
        <v>8204</v>
      </c>
      <c r="K11" s="9" t="s">
        <v>21</v>
      </c>
      <c r="L11" s="10">
        <v>2341</v>
      </c>
      <c r="M11" s="7" t="s">
        <v>51</v>
      </c>
      <c r="N11" s="4">
        <v>7954</v>
      </c>
      <c r="O11" s="9" t="s">
        <v>17</v>
      </c>
      <c r="Q11" s="9"/>
      <c r="U11" s="12">
        <v>4133</v>
      </c>
      <c r="V11" s="13" t="s">
        <v>33</v>
      </c>
      <c r="W11" s="18" t="str">
        <f>TEXT(VLOOKUP(U11, News!A:C, 3, FALSE), "M/D/YYYY")</f>
        <v>7/1/2014</v>
      </c>
      <c r="X11" s="18">
        <f>DATE(YEAR(W11),MONTH(Metrics!$B$5), DAY(Metrics!$B$5))</f>
        <v>41883</v>
      </c>
      <c r="Y11" s="16">
        <f t="shared" si="0"/>
        <v>2014</v>
      </c>
    </row>
    <row r="12" spans="1:25" ht="16" x14ac:dyDescent="0.2">
      <c r="A12" s="3" t="s">
        <v>761</v>
      </c>
      <c r="B12" s="33">
        <v>1</v>
      </c>
      <c r="D12" s="10">
        <v>4150</v>
      </c>
      <c r="E12" s="7" t="s">
        <v>33</v>
      </c>
      <c r="F12" s="4">
        <v>7355</v>
      </c>
      <c r="G12" s="9" t="s">
        <v>10</v>
      </c>
      <c r="H12" s="10">
        <v>4816</v>
      </c>
      <c r="I12" s="7" t="s">
        <v>29</v>
      </c>
      <c r="J12" s="4">
        <v>4816</v>
      </c>
      <c r="K12" s="9" t="s">
        <v>21</v>
      </c>
      <c r="L12" s="10">
        <v>1353</v>
      </c>
      <c r="M12" s="7" t="s">
        <v>51</v>
      </c>
      <c r="N12" s="4">
        <v>2341</v>
      </c>
      <c r="O12" s="9" t="s">
        <v>17</v>
      </c>
      <c r="Q12" s="9"/>
      <c r="U12" s="12">
        <v>4150</v>
      </c>
      <c r="V12" s="13" t="s">
        <v>33</v>
      </c>
      <c r="W12" s="18" t="str">
        <f>TEXT(VLOOKUP(U12, News!A:C, 3, FALSE), "M/D/YYYY")</f>
        <v>6/30/2014</v>
      </c>
      <c r="X12" s="18">
        <f>DATE(YEAR(W12),MONTH(Metrics!$B$5), DAY(Metrics!$B$5))</f>
        <v>41883</v>
      </c>
      <c r="Y12" s="16">
        <f t="shared" si="0"/>
        <v>2014</v>
      </c>
    </row>
    <row r="13" spans="1:25" ht="16" x14ac:dyDescent="0.2">
      <c r="A13" s="3" t="s">
        <v>124</v>
      </c>
      <c r="B13" s="33">
        <v>6</v>
      </c>
      <c r="D13" s="10">
        <v>4195</v>
      </c>
      <c r="E13" s="7" t="s">
        <v>33</v>
      </c>
      <c r="F13" s="4">
        <v>7881</v>
      </c>
      <c r="G13" s="9" t="s">
        <v>10</v>
      </c>
      <c r="H13" s="10">
        <v>7954</v>
      </c>
      <c r="I13" s="7" t="s">
        <v>29</v>
      </c>
      <c r="J13" s="4">
        <v>7954</v>
      </c>
      <c r="K13" s="9" t="s">
        <v>21</v>
      </c>
      <c r="L13" s="10">
        <v>5806</v>
      </c>
      <c r="M13" s="7" t="s">
        <v>51</v>
      </c>
      <c r="N13" s="4">
        <v>3301</v>
      </c>
      <c r="O13" s="9" t="s">
        <v>17</v>
      </c>
      <c r="Q13" s="9"/>
      <c r="U13" s="12">
        <v>4195</v>
      </c>
      <c r="V13" s="13" t="s">
        <v>33</v>
      </c>
      <c r="W13" s="18" t="str">
        <f>TEXT(VLOOKUP(U13, News!A:C, 3, FALSE), "M/D/YYYY")</f>
        <v>6/6/2019</v>
      </c>
      <c r="X13" s="18">
        <f>DATE(YEAR(W13),MONTH(Metrics!$B$5), DAY(Metrics!$B$5))</f>
        <v>43709</v>
      </c>
      <c r="Y13" s="16">
        <f t="shared" si="0"/>
        <v>2019</v>
      </c>
    </row>
    <row r="14" spans="1:25" ht="16" x14ac:dyDescent="0.2">
      <c r="A14" s="3" t="s">
        <v>384</v>
      </c>
      <c r="B14" s="33">
        <v>1</v>
      </c>
      <c r="D14" s="10">
        <v>4202</v>
      </c>
      <c r="E14" s="7" t="s">
        <v>33</v>
      </c>
      <c r="F14" s="4">
        <v>8204</v>
      </c>
      <c r="G14" s="9" t="s">
        <v>10</v>
      </c>
      <c r="H14" s="10">
        <v>2341</v>
      </c>
      <c r="I14" s="7" t="s">
        <v>29</v>
      </c>
      <c r="J14" s="4">
        <v>1353</v>
      </c>
      <c r="K14" s="9" t="s">
        <v>21</v>
      </c>
      <c r="L14" s="10">
        <v>4912</v>
      </c>
      <c r="M14" s="7" t="s">
        <v>51</v>
      </c>
      <c r="N14" s="4">
        <v>1353</v>
      </c>
      <c r="O14" s="9" t="s">
        <v>17</v>
      </c>
      <c r="Q14" s="9"/>
      <c r="U14" s="12">
        <v>4202</v>
      </c>
      <c r="V14" s="13" t="s">
        <v>33</v>
      </c>
      <c r="W14" s="18" t="str">
        <f>TEXT(VLOOKUP(U14, News!A:C, 3, FALSE), "M/D/YYYY")</f>
        <v>5/25/2014</v>
      </c>
      <c r="X14" s="18">
        <f>DATE(YEAR(W14),MONTH(Metrics!$B$5), DAY(Metrics!$B$5))</f>
        <v>41883</v>
      </c>
      <c r="Y14" s="16">
        <f t="shared" si="0"/>
        <v>2014</v>
      </c>
    </row>
    <row r="15" spans="1:25" ht="16" x14ac:dyDescent="0.2">
      <c r="A15" s="3" t="s">
        <v>149</v>
      </c>
      <c r="B15" s="33">
        <v>2</v>
      </c>
      <c r="D15" s="10">
        <v>4474</v>
      </c>
      <c r="E15" s="7" t="s">
        <v>33</v>
      </c>
      <c r="F15" s="4">
        <v>4816</v>
      </c>
      <c r="G15" s="9" t="s">
        <v>10</v>
      </c>
      <c r="H15" s="10">
        <v>3301</v>
      </c>
      <c r="I15" s="7" t="s">
        <v>29</v>
      </c>
      <c r="J15" s="4">
        <v>4912</v>
      </c>
      <c r="K15" s="9" t="s">
        <v>21</v>
      </c>
      <c r="L15" s="10">
        <v>1391</v>
      </c>
      <c r="M15" s="7" t="s">
        <v>51</v>
      </c>
      <c r="N15" s="4">
        <v>2201</v>
      </c>
      <c r="O15" s="9" t="s">
        <v>17</v>
      </c>
      <c r="Q15" s="9"/>
      <c r="U15" s="12">
        <v>4474</v>
      </c>
      <c r="V15" s="13" t="s">
        <v>33</v>
      </c>
      <c r="W15" s="18" t="str">
        <f>TEXT(VLOOKUP(U15, News!A:C, 3, FALSE), "M/D/YYYY")</f>
        <v>4/27/2014</v>
      </c>
      <c r="X15" s="18">
        <f>DATE(YEAR(W15),MONTH(Metrics!$B$5), DAY(Metrics!$B$5))</f>
        <v>41883</v>
      </c>
      <c r="Y15" s="16">
        <f t="shared" si="0"/>
        <v>2014</v>
      </c>
    </row>
    <row r="16" spans="1:25" ht="16" x14ac:dyDescent="0.2">
      <c r="A16" s="3" t="s">
        <v>347</v>
      </c>
      <c r="B16" s="33">
        <v>1</v>
      </c>
      <c r="D16" s="10">
        <v>4662</v>
      </c>
      <c r="E16" s="7" t="s">
        <v>33</v>
      </c>
      <c r="F16" s="4">
        <v>7954</v>
      </c>
      <c r="G16" s="9" t="s">
        <v>10</v>
      </c>
      <c r="H16" s="10">
        <v>1448</v>
      </c>
      <c r="I16" s="7" t="s">
        <v>29</v>
      </c>
      <c r="J16" s="4">
        <v>1391</v>
      </c>
      <c r="K16" s="9" t="s">
        <v>21</v>
      </c>
      <c r="L16" s="10">
        <v>7196</v>
      </c>
      <c r="M16" s="7" t="s">
        <v>51</v>
      </c>
      <c r="N16" s="4">
        <v>1391</v>
      </c>
      <c r="O16" s="9" t="s">
        <v>17</v>
      </c>
      <c r="Q16" s="9"/>
      <c r="U16" s="12">
        <v>4662</v>
      </c>
      <c r="V16" s="13" t="s">
        <v>33</v>
      </c>
      <c r="W16" s="18" t="str">
        <f>TEXT(VLOOKUP(U16, News!A:C, 3, FALSE), "M/D/YYYY")</f>
        <v>11/1/2019</v>
      </c>
      <c r="X16" s="18">
        <f>DATE(YEAR(W16),MONTH(Metrics!$B$5), DAY(Metrics!$B$5))</f>
        <v>43709</v>
      </c>
      <c r="Y16" s="16">
        <f t="shared" si="0"/>
        <v>2020</v>
      </c>
    </row>
    <row r="17" spans="1:25" ht="16" x14ac:dyDescent="0.2">
      <c r="A17" s="3" t="s">
        <v>54</v>
      </c>
      <c r="B17" s="33">
        <v>21</v>
      </c>
      <c r="D17" s="10">
        <v>5446</v>
      </c>
      <c r="E17" s="7" t="s">
        <v>33</v>
      </c>
      <c r="F17" s="4">
        <v>2341</v>
      </c>
      <c r="G17" s="9" t="s">
        <v>10</v>
      </c>
      <c r="H17" s="10">
        <v>4411</v>
      </c>
      <c r="I17" s="7" t="s">
        <v>29</v>
      </c>
      <c r="J17" s="4">
        <v>7196</v>
      </c>
      <c r="K17" s="9" t="s">
        <v>21</v>
      </c>
      <c r="L17" s="10">
        <v>1315</v>
      </c>
      <c r="M17" s="7" t="s">
        <v>51</v>
      </c>
      <c r="N17" s="4">
        <v>7196</v>
      </c>
      <c r="O17" s="9" t="s">
        <v>17</v>
      </c>
      <c r="Q17" s="9"/>
      <c r="U17" s="12">
        <v>5446</v>
      </c>
      <c r="V17" s="13" t="s">
        <v>33</v>
      </c>
      <c r="W17" s="18" t="str">
        <f>TEXT(VLOOKUP(U17, News!A:C, 3, FALSE), "M/D/YYYY")</f>
        <v>10/20/2020</v>
      </c>
      <c r="X17" s="18">
        <f>DATE(YEAR(W17),MONTH(Metrics!$B$5), DAY(Metrics!$B$5))</f>
        <v>44075</v>
      </c>
      <c r="Y17" s="16">
        <f t="shared" si="0"/>
        <v>2021</v>
      </c>
    </row>
    <row r="18" spans="1:25" ht="16" x14ac:dyDescent="0.2">
      <c r="A18" s="3" t="s">
        <v>99</v>
      </c>
      <c r="B18" s="33">
        <v>7</v>
      </c>
      <c r="D18" s="10">
        <v>5454</v>
      </c>
      <c r="E18" s="7" t="s">
        <v>33</v>
      </c>
      <c r="F18" s="4">
        <v>3301</v>
      </c>
      <c r="G18" s="9" t="s">
        <v>10</v>
      </c>
      <c r="H18" s="10">
        <v>6267</v>
      </c>
      <c r="I18" s="7" t="s">
        <v>29</v>
      </c>
      <c r="J18" s="4">
        <v>1312</v>
      </c>
      <c r="K18" s="9" t="s">
        <v>21</v>
      </c>
      <c r="L18" s="10">
        <v>4291</v>
      </c>
      <c r="M18" s="7" t="s">
        <v>51</v>
      </c>
      <c r="N18" s="4">
        <v>4978</v>
      </c>
      <c r="O18" s="9" t="s">
        <v>17</v>
      </c>
      <c r="Q18" s="9"/>
      <c r="U18" s="12">
        <v>5454</v>
      </c>
      <c r="V18" s="13" t="s">
        <v>33</v>
      </c>
      <c r="W18" s="18" t="str">
        <f>TEXT(VLOOKUP(U18, News!A:C, 3, FALSE), "M/D/YYYY")</f>
        <v>10/12/2020</v>
      </c>
      <c r="X18" s="18">
        <f>DATE(YEAR(W18),MONTH(Metrics!$B$5), DAY(Metrics!$B$5))</f>
        <v>44075</v>
      </c>
      <c r="Y18" s="16">
        <f t="shared" si="0"/>
        <v>2021</v>
      </c>
    </row>
    <row r="19" spans="1:25" ht="16" x14ac:dyDescent="0.2">
      <c r="A19" s="3" t="s">
        <v>190</v>
      </c>
      <c r="B19" s="33">
        <v>5</v>
      </c>
      <c r="D19" s="10">
        <v>5641</v>
      </c>
      <c r="E19" s="7" t="s">
        <v>33</v>
      </c>
      <c r="F19" s="4">
        <v>1353</v>
      </c>
      <c r="G19" s="9" t="s">
        <v>10</v>
      </c>
      <c r="H19" s="10">
        <v>6747</v>
      </c>
      <c r="I19" s="7" t="s">
        <v>29</v>
      </c>
      <c r="J19" s="4">
        <v>1318</v>
      </c>
      <c r="K19" s="9" t="s">
        <v>21</v>
      </c>
      <c r="L19" s="10">
        <v>4368</v>
      </c>
      <c r="M19" s="7" t="s">
        <v>51</v>
      </c>
      <c r="N19" s="4">
        <v>1343</v>
      </c>
      <c r="O19" s="9" t="s">
        <v>17</v>
      </c>
      <c r="Q19" s="9"/>
      <c r="U19" s="12">
        <v>5641</v>
      </c>
      <c r="V19" s="13" t="s">
        <v>33</v>
      </c>
      <c r="W19" s="18" t="str">
        <f>TEXT(VLOOKUP(U19, News!A:C, 3, FALSE), "M/D/YYYY")</f>
        <v>11/16/2020</v>
      </c>
      <c r="X19" s="18">
        <f>DATE(YEAR(W19),MONTH(Metrics!$B$5), DAY(Metrics!$B$5))</f>
        <v>44075</v>
      </c>
      <c r="Y19" s="16">
        <f t="shared" si="0"/>
        <v>2021</v>
      </c>
    </row>
    <row r="20" spans="1:25" ht="16" x14ac:dyDescent="0.2">
      <c r="A20" s="3" t="s">
        <v>71</v>
      </c>
      <c r="B20" s="33">
        <v>6</v>
      </c>
      <c r="D20" s="10">
        <v>7223</v>
      </c>
      <c r="E20" s="7" t="s">
        <v>33</v>
      </c>
      <c r="F20" s="4">
        <v>5806</v>
      </c>
      <c r="G20" s="9" t="s">
        <v>10</v>
      </c>
      <c r="H20" s="10">
        <v>7305</v>
      </c>
      <c r="I20" s="7" t="s">
        <v>29</v>
      </c>
      <c r="J20" s="4">
        <v>1361</v>
      </c>
      <c r="K20" s="9" t="s">
        <v>21</v>
      </c>
      <c r="L20" s="10">
        <v>5112</v>
      </c>
      <c r="M20" s="7" t="s">
        <v>51</v>
      </c>
      <c r="N20" s="4">
        <v>2521</v>
      </c>
      <c r="O20" s="9" t="s">
        <v>17</v>
      </c>
      <c r="Q20" s="9"/>
      <c r="U20" s="12">
        <v>7223</v>
      </c>
      <c r="V20" s="13" t="s">
        <v>33</v>
      </c>
      <c r="W20" s="18" t="str">
        <f>TEXT(VLOOKUP(U20, News!A:C, 3, FALSE), "M/D/YYYY")</f>
        <v>6/29/2022</v>
      </c>
      <c r="X20" s="18">
        <f>DATE(YEAR(W20),MONTH(Metrics!$B$5), DAY(Metrics!$B$5))</f>
        <v>44805</v>
      </c>
      <c r="Y20" s="16">
        <f t="shared" si="0"/>
        <v>2022</v>
      </c>
    </row>
    <row r="21" spans="1:25" ht="16" x14ac:dyDescent="0.2">
      <c r="A21" s="3" t="s">
        <v>182</v>
      </c>
      <c r="B21" s="33">
        <v>5</v>
      </c>
      <c r="D21" s="10">
        <v>8061</v>
      </c>
      <c r="E21" s="7" t="s">
        <v>33</v>
      </c>
      <c r="F21" s="4">
        <v>2201</v>
      </c>
      <c r="G21" s="9" t="s">
        <v>10</v>
      </c>
      <c r="H21" s="10">
        <v>7359</v>
      </c>
      <c r="I21" s="7" t="s">
        <v>29</v>
      </c>
      <c r="J21" s="4">
        <v>1468</v>
      </c>
      <c r="K21" s="9" t="s">
        <v>21</v>
      </c>
      <c r="L21" s="10">
        <v>5939</v>
      </c>
      <c r="M21" s="7" t="s">
        <v>51</v>
      </c>
      <c r="N21" s="4">
        <v>3002</v>
      </c>
      <c r="O21" s="9" t="s">
        <v>17</v>
      </c>
      <c r="Q21" s="9"/>
      <c r="U21" s="12">
        <v>8061</v>
      </c>
      <c r="V21" s="13" t="s">
        <v>33</v>
      </c>
      <c r="W21" s="18" t="str">
        <f>TEXT(VLOOKUP(U21, News!A:C, 3, FALSE), "M/D/YYYY")</f>
        <v>2/16/2023</v>
      </c>
      <c r="X21" s="18">
        <f>DATE(YEAR(W21),MONTH(Metrics!$B$5), DAY(Metrics!$B$5))</f>
        <v>45170</v>
      </c>
      <c r="Y21" s="16">
        <f t="shared" si="0"/>
        <v>2023</v>
      </c>
    </row>
    <row r="22" spans="1:25" ht="16" x14ac:dyDescent="0.2">
      <c r="A22" s="3" t="s">
        <v>10</v>
      </c>
      <c r="B22" s="33">
        <v>33</v>
      </c>
      <c r="D22" s="10">
        <v>8250</v>
      </c>
      <c r="E22" s="7" t="s">
        <v>33</v>
      </c>
      <c r="F22" s="4">
        <v>774</v>
      </c>
      <c r="G22" s="9" t="s">
        <v>10</v>
      </c>
      <c r="H22" s="10">
        <v>4912</v>
      </c>
      <c r="I22" s="7" t="s">
        <v>29</v>
      </c>
      <c r="J22" s="4">
        <v>3336</v>
      </c>
      <c r="K22" s="9" t="s">
        <v>21</v>
      </c>
      <c r="L22" s="10">
        <v>7285</v>
      </c>
      <c r="M22" s="7" t="s">
        <v>51</v>
      </c>
      <c r="N22" s="4">
        <v>6606</v>
      </c>
      <c r="O22" s="9" t="s">
        <v>17</v>
      </c>
      <c r="Q22" s="9"/>
      <c r="U22" s="12">
        <v>8250</v>
      </c>
      <c r="V22" s="13" t="s">
        <v>33</v>
      </c>
      <c r="W22" s="18" t="str">
        <f>TEXT(VLOOKUP(U22, News!A:C, 3, FALSE), "M/D/YYYY")</f>
        <v>4/25/2023</v>
      </c>
      <c r="X22" s="18">
        <f>DATE(YEAR(W22),MONTH(Metrics!$B$5), DAY(Metrics!$B$5))</f>
        <v>45170</v>
      </c>
      <c r="Y22" s="16">
        <f t="shared" si="0"/>
        <v>2023</v>
      </c>
    </row>
    <row r="23" spans="1:25" ht="16" x14ac:dyDescent="0.2">
      <c r="A23" s="3" t="s">
        <v>822</v>
      </c>
      <c r="B23" s="33">
        <v>1</v>
      </c>
      <c r="D23" s="10">
        <v>3212</v>
      </c>
      <c r="E23" s="7" t="s">
        <v>33</v>
      </c>
      <c r="F23" s="4">
        <v>776</v>
      </c>
      <c r="G23" s="9" t="s">
        <v>10</v>
      </c>
      <c r="H23" s="10">
        <v>1391</v>
      </c>
      <c r="I23" s="7" t="s">
        <v>29</v>
      </c>
      <c r="J23" s="4">
        <v>3856</v>
      </c>
      <c r="K23" s="9" t="s">
        <v>21</v>
      </c>
      <c r="L23" s="10">
        <v>7643</v>
      </c>
      <c r="M23" s="7" t="s">
        <v>51</v>
      </c>
      <c r="N23" s="4">
        <v>6926</v>
      </c>
      <c r="O23" s="9" t="s">
        <v>17</v>
      </c>
      <c r="Q23" s="9"/>
      <c r="U23" s="12">
        <v>3212</v>
      </c>
      <c r="V23" s="13" t="s">
        <v>33</v>
      </c>
      <c r="W23" s="18" t="str">
        <f>TEXT(VLOOKUP(U23, News!A:C, 3, FALSE), "M/D/YYYY")</f>
        <v>9/14/2016</v>
      </c>
      <c r="X23" s="18">
        <f>DATE(YEAR(W23),MONTH(Metrics!$B$5), DAY(Metrics!$B$5))</f>
        <v>42614</v>
      </c>
      <c r="Y23" s="16">
        <f t="shared" si="0"/>
        <v>2017</v>
      </c>
    </row>
    <row r="24" spans="1:25" ht="16" x14ac:dyDescent="0.2">
      <c r="A24" s="3" t="s">
        <v>549</v>
      </c>
      <c r="B24" s="33">
        <v>3</v>
      </c>
      <c r="D24" s="10">
        <v>4765</v>
      </c>
      <c r="E24" s="7" t="s">
        <v>33</v>
      </c>
      <c r="F24" s="4">
        <v>1382</v>
      </c>
      <c r="G24" s="9" t="s">
        <v>10</v>
      </c>
      <c r="H24" s="10">
        <v>7196</v>
      </c>
      <c r="I24" s="7" t="s">
        <v>29</v>
      </c>
      <c r="J24" s="4">
        <v>3934</v>
      </c>
      <c r="K24" s="9" t="s">
        <v>21</v>
      </c>
      <c r="L24" s="10">
        <v>1465</v>
      </c>
      <c r="M24" s="7" t="s">
        <v>51</v>
      </c>
      <c r="N24" s="4">
        <v>769</v>
      </c>
      <c r="O24" s="9" t="s">
        <v>17</v>
      </c>
      <c r="Q24" s="9"/>
      <c r="U24" s="12">
        <v>4765</v>
      </c>
      <c r="V24" s="13" t="s">
        <v>33</v>
      </c>
      <c r="W24" s="18" t="str">
        <f>TEXT(VLOOKUP(U24, News!A:C, 3, FALSE), "M/D/YYYY")</f>
        <v>12/10/2019</v>
      </c>
      <c r="X24" s="18">
        <f>DATE(YEAR(W24),MONTH(Metrics!$B$5), DAY(Metrics!$B$5))</f>
        <v>43709</v>
      </c>
      <c r="Y24" s="16">
        <f t="shared" si="0"/>
        <v>2020</v>
      </c>
    </row>
    <row r="25" spans="1:25" ht="16" x14ac:dyDescent="0.2">
      <c r="A25" s="3" t="s">
        <v>29</v>
      </c>
      <c r="B25" s="33">
        <v>27</v>
      </c>
      <c r="D25" s="10">
        <v>7060</v>
      </c>
      <c r="E25" s="7" t="s">
        <v>33</v>
      </c>
      <c r="F25" s="4">
        <v>1701</v>
      </c>
      <c r="G25" s="9" t="s">
        <v>10</v>
      </c>
      <c r="H25" s="10">
        <v>4978</v>
      </c>
      <c r="I25" s="7" t="s">
        <v>29</v>
      </c>
      <c r="J25" s="4">
        <v>4336</v>
      </c>
      <c r="K25" s="9" t="s">
        <v>21</v>
      </c>
      <c r="L25" s="10">
        <v>3274</v>
      </c>
      <c r="M25" s="7" t="s">
        <v>51</v>
      </c>
      <c r="N25" s="4">
        <v>1368</v>
      </c>
      <c r="O25" s="9" t="s">
        <v>17</v>
      </c>
      <c r="Q25" s="9"/>
      <c r="U25" s="12">
        <v>7060</v>
      </c>
      <c r="V25" s="13" t="s">
        <v>33</v>
      </c>
      <c r="W25" s="18" t="str">
        <f>TEXT(VLOOKUP(U25, News!A:C, 3, FALSE), "M/D/YYYY")</f>
        <v>4/18/2022</v>
      </c>
      <c r="X25" s="18">
        <f>DATE(YEAR(W25),MONTH(Metrics!$B$5), DAY(Metrics!$B$5))</f>
        <v>44805</v>
      </c>
      <c r="Y25" s="16">
        <f t="shared" si="0"/>
        <v>2022</v>
      </c>
    </row>
    <row r="26" spans="1:25" ht="16" x14ac:dyDescent="0.2">
      <c r="A26" s="3" t="s">
        <v>686</v>
      </c>
      <c r="B26" s="33">
        <v>1</v>
      </c>
      <c r="D26" s="10">
        <v>2338</v>
      </c>
      <c r="E26" s="7" t="s">
        <v>33</v>
      </c>
      <c r="F26" s="4">
        <v>2306</v>
      </c>
      <c r="G26" s="9" t="s">
        <v>10</v>
      </c>
      <c r="H26" s="10">
        <v>2551</v>
      </c>
      <c r="I26" s="7" t="s">
        <v>29</v>
      </c>
      <c r="J26" s="4">
        <v>4387</v>
      </c>
      <c r="K26" s="9" t="s">
        <v>21</v>
      </c>
      <c r="L26" s="10">
        <v>5864</v>
      </c>
      <c r="M26" s="7" t="s">
        <v>51</v>
      </c>
      <c r="N26" s="4">
        <v>1381</v>
      </c>
      <c r="O26" s="9" t="s">
        <v>17</v>
      </c>
      <c r="Q26" s="9"/>
      <c r="U26" s="12">
        <v>2338</v>
      </c>
      <c r="V26" s="13" t="s">
        <v>33</v>
      </c>
      <c r="W26" s="18" t="str">
        <f>TEXT(VLOOKUP(U26, News!A:C, 3, FALSE), "M/D/YYYY")</f>
        <v>4/30/2017</v>
      </c>
      <c r="X26" s="18">
        <f>DATE(YEAR(W26),MONTH(Metrics!$B$5), DAY(Metrics!$B$5))</f>
        <v>42979</v>
      </c>
      <c r="Y26" s="16">
        <f t="shared" si="0"/>
        <v>2017</v>
      </c>
    </row>
    <row r="27" spans="1:25" ht="16" x14ac:dyDescent="0.2">
      <c r="A27" s="3" t="s">
        <v>391</v>
      </c>
      <c r="B27" s="33">
        <v>1</v>
      </c>
      <c r="D27" s="10">
        <v>2525</v>
      </c>
      <c r="E27" s="7" t="s">
        <v>33</v>
      </c>
      <c r="F27" s="4">
        <v>2444</v>
      </c>
      <c r="G27" s="9" t="s">
        <v>10</v>
      </c>
      <c r="H27" s="10">
        <v>1289</v>
      </c>
      <c r="I27" s="7" t="s">
        <v>29</v>
      </c>
      <c r="J27" s="4">
        <v>4910</v>
      </c>
      <c r="K27" s="9" t="s">
        <v>21</v>
      </c>
      <c r="L27" s="10">
        <v>7325</v>
      </c>
      <c r="M27" s="7" t="s">
        <v>51</v>
      </c>
      <c r="N27" s="4">
        <v>4641</v>
      </c>
      <c r="O27" s="9" t="s">
        <v>17</v>
      </c>
      <c r="Q27" s="9"/>
      <c r="U27" s="12">
        <v>2525</v>
      </c>
      <c r="V27" s="13" t="s">
        <v>33</v>
      </c>
      <c r="W27" s="18" t="str">
        <f>TEXT(VLOOKUP(U27, News!A:C, 3, FALSE), "M/D/YYYY")</f>
        <v>1/28/2017</v>
      </c>
      <c r="X27" s="18">
        <f>DATE(YEAR(W27),MONTH(Metrics!$B$5), DAY(Metrics!$B$5))</f>
        <v>42979</v>
      </c>
      <c r="Y27" s="16">
        <f t="shared" si="0"/>
        <v>2017</v>
      </c>
    </row>
    <row r="28" spans="1:25" ht="16" x14ac:dyDescent="0.2">
      <c r="A28" s="3" t="s">
        <v>142</v>
      </c>
      <c r="B28" s="33">
        <v>5</v>
      </c>
      <c r="D28" s="10">
        <v>5535</v>
      </c>
      <c r="E28" s="7" t="s">
        <v>33</v>
      </c>
      <c r="F28" s="4">
        <v>2451</v>
      </c>
      <c r="G28" s="9" t="s">
        <v>10</v>
      </c>
      <c r="H28" s="10">
        <v>1351</v>
      </c>
      <c r="I28" s="7" t="s">
        <v>29</v>
      </c>
      <c r="J28" s="4">
        <v>5038</v>
      </c>
      <c r="K28" s="9" t="s">
        <v>21</v>
      </c>
      <c r="L28" s="10">
        <v>7449</v>
      </c>
      <c r="M28" s="7" t="s">
        <v>51</v>
      </c>
      <c r="N28" s="4">
        <v>7024</v>
      </c>
      <c r="O28" s="9" t="s">
        <v>17</v>
      </c>
      <c r="Q28" s="9"/>
      <c r="U28" s="12">
        <v>5535</v>
      </c>
      <c r="V28" s="13" t="s">
        <v>33</v>
      </c>
      <c r="W28" s="18" t="str">
        <f>TEXT(VLOOKUP(U28, News!A:C, 3, FALSE), "M/D/YYYY")</f>
        <v>10/30/2020</v>
      </c>
      <c r="X28" s="18">
        <f>DATE(YEAR(W28),MONTH(Metrics!$B$5), DAY(Metrics!$B$5))</f>
        <v>44075</v>
      </c>
      <c r="Y28" s="16">
        <f t="shared" si="0"/>
        <v>2021</v>
      </c>
    </row>
    <row r="29" spans="1:25" ht="16" x14ac:dyDescent="0.2">
      <c r="A29" s="3" t="s">
        <v>288</v>
      </c>
      <c r="B29" s="33">
        <v>1</v>
      </c>
      <c r="D29" s="10">
        <v>5883</v>
      </c>
      <c r="E29" s="7" t="s">
        <v>33</v>
      </c>
      <c r="F29" s="4">
        <v>3005</v>
      </c>
      <c r="G29" s="9" t="s">
        <v>10</v>
      </c>
      <c r="H29" s="10">
        <v>1377</v>
      </c>
      <c r="I29" s="7" t="s">
        <v>29</v>
      </c>
      <c r="J29" s="4">
        <v>5070</v>
      </c>
      <c r="K29" s="9" t="s">
        <v>21</v>
      </c>
      <c r="L29" s="10">
        <v>7765</v>
      </c>
      <c r="M29" s="7" t="s">
        <v>51</v>
      </c>
      <c r="N29" s="4">
        <v>5606</v>
      </c>
      <c r="O29" s="9" t="s">
        <v>17</v>
      </c>
      <c r="Q29" s="9"/>
      <c r="U29" s="12">
        <v>5883</v>
      </c>
      <c r="V29" s="13" t="s">
        <v>33</v>
      </c>
      <c r="W29" s="18" t="str">
        <f>TEXT(VLOOKUP(U29, News!A:C, 3, FALSE), "M/D/YYYY")</f>
        <v>3/18/2021</v>
      </c>
      <c r="X29" s="18">
        <f>DATE(YEAR(W29),MONTH(Metrics!$B$5), DAY(Metrics!$B$5))</f>
        <v>44440</v>
      </c>
      <c r="Y29" s="16">
        <f t="shared" si="0"/>
        <v>2021</v>
      </c>
    </row>
    <row r="30" spans="1:25" ht="16" x14ac:dyDescent="0.2">
      <c r="A30" s="3" t="s">
        <v>237</v>
      </c>
      <c r="B30" s="33">
        <v>3</v>
      </c>
      <c r="D30" s="10">
        <v>7040</v>
      </c>
      <c r="E30" s="7" t="s">
        <v>33</v>
      </c>
      <c r="F30" s="4">
        <v>3218</v>
      </c>
      <c r="G30" s="9" t="s">
        <v>10</v>
      </c>
      <c r="H30" s="10">
        <v>1390</v>
      </c>
      <c r="I30" s="7" t="s">
        <v>29</v>
      </c>
      <c r="J30" s="4">
        <v>5578</v>
      </c>
      <c r="K30" s="9" t="s">
        <v>21</v>
      </c>
      <c r="L30" s="10">
        <v>2551</v>
      </c>
      <c r="M30" s="7" t="s">
        <v>51</v>
      </c>
      <c r="N30" s="4">
        <v>4164</v>
      </c>
      <c r="O30" s="9" t="s">
        <v>17</v>
      </c>
      <c r="Q30" s="9"/>
      <c r="U30" s="12">
        <v>7040</v>
      </c>
      <c r="V30" s="13" t="s">
        <v>33</v>
      </c>
      <c r="W30" s="18" t="str">
        <f>TEXT(VLOOKUP(U30, News!A:C, 3, FALSE), "M/D/YYYY")</f>
        <v>4/8/2022</v>
      </c>
      <c r="X30" s="18">
        <f>DATE(YEAR(W30),MONTH(Metrics!$B$5), DAY(Metrics!$B$5))</f>
        <v>44805</v>
      </c>
      <c r="Y30" s="16">
        <f t="shared" si="0"/>
        <v>2022</v>
      </c>
    </row>
    <row r="31" spans="1:25" ht="16" x14ac:dyDescent="0.2">
      <c r="A31" s="3" t="s">
        <v>21</v>
      </c>
      <c r="B31" s="33">
        <v>69</v>
      </c>
      <c r="D31" s="10">
        <v>7357</v>
      </c>
      <c r="E31" s="7" t="s">
        <v>33</v>
      </c>
      <c r="F31" s="4">
        <v>3663</v>
      </c>
      <c r="G31" s="9" t="s">
        <v>10</v>
      </c>
      <c r="H31" s="10">
        <v>1392</v>
      </c>
      <c r="I31" s="7" t="s">
        <v>29</v>
      </c>
      <c r="J31" s="4">
        <v>5795</v>
      </c>
      <c r="K31" s="9" t="s">
        <v>21</v>
      </c>
      <c r="L31" s="10">
        <v>3000</v>
      </c>
      <c r="M31" s="7" t="s">
        <v>51</v>
      </c>
      <c r="N31" s="4">
        <v>4167</v>
      </c>
      <c r="O31" s="9" t="s">
        <v>17</v>
      </c>
      <c r="Q31" s="9"/>
      <c r="U31" s="12">
        <v>7357</v>
      </c>
      <c r="V31" s="13" t="s">
        <v>33</v>
      </c>
      <c r="W31" s="18" t="str">
        <f>TEXT(VLOOKUP(U31, News!A:C, 3, FALSE), "M/D/YYYY")</f>
        <v>9/1/2022</v>
      </c>
      <c r="X31" s="18">
        <f>DATE(YEAR(W31),MONTH(Metrics!$B$5), DAY(Metrics!$B$5))</f>
        <v>44805</v>
      </c>
      <c r="Y31" s="16">
        <f t="shared" si="0"/>
        <v>2023</v>
      </c>
    </row>
    <row r="32" spans="1:25" ht="16" x14ac:dyDescent="0.2">
      <c r="A32" s="3" t="s">
        <v>68</v>
      </c>
      <c r="B32" s="33">
        <v>6</v>
      </c>
      <c r="D32" s="10">
        <v>7358</v>
      </c>
      <c r="E32" s="7" t="s">
        <v>33</v>
      </c>
      <c r="F32" s="4">
        <v>3793</v>
      </c>
      <c r="G32" s="9" t="s">
        <v>10</v>
      </c>
      <c r="H32" s="10">
        <v>2087</v>
      </c>
      <c r="I32" s="7" t="s">
        <v>29</v>
      </c>
      <c r="J32" s="4">
        <v>6180</v>
      </c>
      <c r="K32" s="9" t="s">
        <v>21</v>
      </c>
      <c r="L32" s="10">
        <v>3345</v>
      </c>
      <c r="M32" s="7" t="s">
        <v>51</v>
      </c>
      <c r="N32" s="4">
        <v>6083</v>
      </c>
      <c r="O32" s="9" t="s">
        <v>17</v>
      </c>
      <c r="Q32" s="9"/>
      <c r="U32" s="12">
        <v>7358</v>
      </c>
      <c r="V32" s="13" t="s">
        <v>33</v>
      </c>
      <c r="W32" s="18" t="str">
        <f>TEXT(VLOOKUP(U32, News!A:C, 3, FALSE), "M/D/YYYY")</f>
        <v>9/12/2022</v>
      </c>
      <c r="X32" s="18">
        <f>DATE(YEAR(W32),MONTH(Metrics!$B$5), DAY(Metrics!$B$5))</f>
        <v>44805</v>
      </c>
      <c r="Y32" s="16">
        <f t="shared" si="0"/>
        <v>2023</v>
      </c>
    </row>
    <row r="33" spans="1:25" ht="16" x14ac:dyDescent="0.2">
      <c r="A33" s="3" t="s">
        <v>96</v>
      </c>
      <c r="B33" s="33">
        <v>3</v>
      </c>
      <c r="D33" s="10">
        <v>7355</v>
      </c>
      <c r="E33" s="7" t="s">
        <v>33</v>
      </c>
      <c r="F33" s="4">
        <v>3801</v>
      </c>
      <c r="G33" s="9" t="s">
        <v>10</v>
      </c>
      <c r="H33" s="10">
        <v>2088</v>
      </c>
      <c r="I33" s="7" t="s">
        <v>29</v>
      </c>
      <c r="J33" s="4">
        <v>6358</v>
      </c>
      <c r="K33" s="9" t="s">
        <v>21</v>
      </c>
      <c r="L33" s="10">
        <v>3717</v>
      </c>
      <c r="M33" s="7" t="s">
        <v>51</v>
      </c>
      <c r="N33" s="4">
        <v>1346</v>
      </c>
      <c r="O33" s="9" t="s">
        <v>17</v>
      </c>
      <c r="Q33" s="9"/>
      <c r="U33" s="12">
        <v>7355</v>
      </c>
      <c r="V33" s="13" t="s">
        <v>33</v>
      </c>
      <c r="W33" s="18" t="str">
        <f>TEXT(VLOOKUP(U33, News!A:C, 3, FALSE), "M/D/YYYY")</f>
        <v>9/16/2022</v>
      </c>
      <c r="X33" s="18">
        <f>DATE(YEAR(W33),MONTH(Metrics!$B$5), DAY(Metrics!$B$5))</f>
        <v>44805</v>
      </c>
      <c r="Y33" s="16">
        <f t="shared" si="0"/>
        <v>2023</v>
      </c>
    </row>
    <row r="34" spans="1:25" ht="16" x14ac:dyDescent="0.2">
      <c r="A34" s="3" t="s">
        <v>51</v>
      </c>
      <c r="B34" s="33">
        <v>41</v>
      </c>
      <c r="D34" s="10">
        <v>7881</v>
      </c>
      <c r="E34" s="7" t="s">
        <v>33</v>
      </c>
      <c r="F34" s="4">
        <v>3885</v>
      </c>
      <c r="G34" s="9" t="s">
        <v>10</v>
      </c>
      <c r="H34" s="10">
        <v>2340</v>
      </c>
      <c r="I34" s="7" t="s">
        <v>29</v>
      </c>
      <c r="J34" s="4">
        <v>6556</v>
      </c>
      <c r="K34" s="9" t="s">
        <v>21</v>
      </c>
      <c r="L34" s="10">
        <v>4794</v>
      </c>
      <c r="M34" s="7" t="s">
        <v>51</v>
      </c>
      <c r="N34" s="4">
        <v>4242</v>
      </c>
      <c r="O34" s="9" t="s">
        <v>17</v>
      </c>
      <c r="Q34" s="9"/>
      <c r="U34" s="12">
        <v>7881</v>
      </c>
      <c r="V34" s="13" t="s">
        <v>33</v>
      </c>
      <c r="W34" s="18" t="str">
        <f>TEXT(VLOOKUP(U34, News!A:C, 3, FALSE), "M/D/YYYY")</f>
        <v>1/10/2023</v>
      </c>
      <c r="X34" s="18">
        <f>DATE(YEAR(W34),MONTH(Metrics!$B$5), DAY(Metrics!$B$5))</f>
        <v>45170</v>
      </c>
      <c r="Y34" s="16">
        <f t="shared" si="0"/>
        <v>2023</v>
      </c>
    </row>
    <row r="35" spans="1:25" ht="16" x14ac:dyDescent="0.2">
      <c r="A35" s="3" t="s">
        <v>64</v>
      </c>
      <c r="B35" s="33">
        <v>2</v>
      </c>
      <c r="D35" s="10">
        <v>8204</v>
      </c>
      <c r="E35" s="7" t="s">
        <v>33</v>
      </c>
      <c r="F35" s="4">
        <v>3945</v>
      </c>
      <c r="G35" s="9" t="s">
        <v>10</v>
      </c>
      <c r="H35" s="10">
        <v>2768</v>
      </c>
      <c r="I35" s="7" t="s">
        <v>29</v>
      </c>
      <c r="J35" s="4">
        <v>7162</v>
      </c>
      <c r="K35" s="9" t="s">
        <v>21</v>
      </c>
      <c r="L35" s="10">
        <v>4073</v>
      </c>
      <c r="M35" s="7" t="s">
        <v>51</v>
      </c>
      <c r="N35" s="4">
        <v>7657</v>
      </c>
      <c r="O35" s="9" t="s">
        <v>17</v>
      </c>
      <c r="Q35" s="9"/>
      <c r="U35" s="12">
        <v>8204</v>
      </c>
      <c r="V35" s="13" t="s">
        <v>33</v>
      </c>
      <c r="W35" s="18" t="str">
        <f>TEXT(VLOOKUP(U35, News!A:C, 3, FALSE), "M/D/YYYY")</f>
        <v>4/18/2023</v>
      </c>
      <c r="X35" s="18">
        <f>DATE(YEAR(W35),MONTH(Metrics!$B$5), DAY(Metrics!$B$5))</f>
        <v>45170</v>
      </c>
      <c r="Y35" s="16">
        <f t="shared" si="0"/>
        <v>2023</v>
      </c>
    </row>
    <row r="36" spans="1:25" ht="16" x14ac:dyDescent="0.2">
      <c r="A36" s="3" t="s">
        <v>17</v>
      </c>
      <c r="B36" s="33">
        <v>10</v>
      </c>
      <c r="D36" s="10">
        <v>4816</v>
      </c>
      <c r="E36" s="7" t="s">
        <v>33</v>
      </c>
      <c r="F36" s="4">
        <v>3978</v>
      </c>
      <c r="G36" s="9" t="s">
        <v>10</v>
      </c>
      <c r="H36" s="10">
        <v>3225</v>
      </c>
      <c r="I36" s="7" t="s">
        <v>29</v>
      </c>
      <c r="J36" s="4">
        <v>7376</v>
      </c>
      <c r="K36" s="9" t="s">
        <v>21</v>
      </c>
      <c r="L36" s="10">
        <v>4800</v>
      </c>
      <c r="M36" s="7" t="s">
        <v>51</v>
      </c>
      <c r="N36" s="4">
        <v>3539</v>
      </c>
      <c r="O36" s="9" t="s">
        <v>17</v>
      </c>
      <c r="Q36" s="9"/>
      <c r="U36" s="12">
        <v>4816</v>
      </c>
      <c r="V36" s="13" t="s">
        <v>33</v>
      </c>
      <c r="W36" s="18" t="str">
        <f>TEXT(VLOOKUP(U36, News!A:C, 3, FALSE), "M/D/YYYY")</f>
        <v>1/10/2020</v>
      </c>
      <c r="X36" s="18">
        <f>DATE(YEAR(W36),MONTH(Metrics!$B$5), DAY(Metrics!$B$5))</f>
        <v>44075</v>
      </c>
      <c r="Y36" s="16">
        <f t="shared" si="0"/>
        <v>2020</v>
      </c>
    </row>
    <row r="37" spans="1:25" ht="16" x14ac:dyDescent="0.2">
      <c r="A37" s="3" t="s">
        <v>1173</v>
      </c>
      <c r="B37" s="33">
        <v>235</v>
      </c>
      <c r="D37" s="10">
        <v>7954</v>
      </c>
      <c r="E37" s="7" t="s">
        <v>33</v>
      </c>
      <c r="F37" s="4">
        <v>4006</v>
      </c>
      <c r="G37" s="9" t="s">
        <v>10</v>
      </c>
      <c r="H37" s="10">
        <v>3343</v>
      </c>
      <c r="I37" s="7" t="s">
        <v>29</v>
      </c>
      <c r="J37" s="4">
        <v>7735</v>
      </c>
      <c r="K37" s="9" t="s">
        <v>21</v>
      </c>
      <c r="L37" s="10">
        <v>6078</v>
      </c>
      <c r="M37" s="7" t="s">
        <v>51</v>
      </c>
      <c r="N37" s="4">
        <v>7797</v>
      </c>
      <c r="O37" s="9" t="s">
        <v>17</v>
      </c>
      <c r="Q37" s="9"/>
      <c r="U37" s="12">
        <v>7954</v>
      </c>
      <c r="V37" s="13" t="s">
        <v>33</v>
      </c>
      <c r="W37" s="18" t="str">
        <f>TEXT(VLOOKUP(U37, News!A:C, 3, FALSE), "M/D/YYYY")</f>
        <v>1/23/2023</v>
      </c>
      <c r="X37" s="18">
        <f>DATE(YEAR(W37),MONTH(Metrics!$B$5), DAY(Metrics!$B$5))</f>
        <v>45170</v>
      </c>
      <c r="Y37" s="16">
        <f t="shared" si="0"/>
        <v>2023</v>
      </c>
    </row>
    <row r="38" spans="1:25" ht="16" x14ac:dyDescent="0.2">
      <c r="A38" s="3" t="s">
        <v>115</v>
      </c>
      <c r="B38" s="33">
        <v>1</v>
      </c>
      <c r="D38" s="10">
        <v>2341</v>
      </c>
      <c r="E38" s="7" t="s">
        <v>33</v>
      </c>
      <c r="F38" s="4">
        <v>4008</v>
      </c>
      <c r="G38" s="9" t="s">
        <v>10</v>
      </c>
      <c r="H38" s="10">
        <v>3410</v>
      </c>
      <c r="I38" s="7" t="s">
        <v>29</v>
      </c>
      <c r="J38" s="4">
        <v>7914</v>
      </c>
      <c r="K38" s="9" t="s">
        <v>21</v>
      </c>
      <c r="L38" s="10">
        <v>6553</v>
      </c>
      <c r="M38" s="7" t="s">
        <v>51</v>
      </c>
      <c r="N38" s="4">
        <v>1288</v>
      </c>
      <c r="O38" s="9" t="s">
        <v>17</v>
      </c>
      <c r="Q38" s="9"/>
      <c r="U38" s="12">
        <v>2341</v>
      </c>
      <c r="V38" s="13" t="s">
        <v>33</v>
      </c>
      <c r="W38" s="18" t="str">
        <f>TEXT(VLOOKUP(U38, News!A:C, 3, FALSE), "M/D/YYYY")</f>
        <v>4/28/2017</v>
      </c>
      <c r="X38" s="18">
        <f>DATE(YEAR(W38),MONTH(Metrics!$B$5), DAY(Metrics!$B$5))</f>
        <v>42979</v>
      </c>
      <c r="Y38" s="16">
        <f t="shared" si="0"/>
        <v>2017</v>
      </c>
    </row>
    <row r="39" spans="1:25" ht="16" x14ac:dyDescent="0.2">
      <c r="A39" s="3" t="s">
        <v>1174</v>
      </c>
      <c r="B39" s="33">
        <v>537</v>
      </c>
      <c r="D39" s="10">
        <v>3301</v>
      </c>
      <c r="E39" s="7" t="s">
        <v>33</v>
      </c>
      <c r="F39" s="4">
        <v>4040</v>
      </c>
      <c r="G39" s="9" t="s">
        <v>10</v>
      </c>
      <c r="H39" s="10">
        <v>3735</v>
      </c>
      <c r="I39" s="7" t="s">
        <v>29</v>
      </c>
      <c r="J39" s="4">
        <v>1315</v>
      </c>
      <c r="K39" s="9" t="s">
        <v>21</v>
      </c>
      <c r="L39" s="10">
        <v>7265</v>
      </c>
      <c r="M39" s="7" t="s">
        <v>51</v>
      </c>
      <c r="N39" s="4">
        <v>3329</v>
      </c>
      <c r="O39" s="9" t="s">
        <v>17</v>
      </c>
      <c r="Q39" s="9"/>
      <c r="U39" s="12">
        <v>3301</v>
      </c>
      <c r="V39" s="13" t="s">
        <v>33</v>
      </c>
      <c r="W39" s="18" t="str">
        <f>TEXT(VLOOKUP(U39, News!A:C, 3, FALSE), "M/D/YYYY")</f>
        <v>8/29/2016</v>
      </c>
      <c r="X39" s="18">
        <f>DATE(YEAR(W39),MONTH(Metrics!$B$5), DAY(Metrics!$B$5))</f>
        <v>42614</v>
      </c>
      <c r="Y39" s="16">
        <f t="shared" si="0"/>
        <v>2016</v>
      </c>
    </row>
    <row r="40" spans="1:25" ht="16" x14ac:dyDescent="0.2">
      <c r="D40" s="10">
        <v>1353</v>
      </c>
      <c r="E40" s="7" t="s">
        <v>33</v>
      </c>
      <c r="F40" s="4">
        <v>4081</v>
      </c>
      <c r="G40" s="9" t="s">
        <v>10</v>
      </c>
      <c r="H40" s="10">
        <v>3797</v>
      </c>
      <c r="I40" s="7" t="s">
        <v>29</v>
      </c>
      <c r="J40" s="4">
        <v>4291</v>
      </c>
      <c r="K40" s="9" t="s">
        <v>21</v>
      </c>
      <c r="L40" s="10">
        <v>5606</v>
      </c>
      <c r="M40" s="7" t="s">
        <v>51</v>
      </c>
      <c r="N40" s="4">
        <v>3376</v>
      </c>
      <c r="O40" s="9" t="s">
        <v>17</v>
      </c>
      <c r="Q40" s="9"/>
      <c r="U40" s="12">
        <v>1353</v>
      </c>
      <c r="V40" s="13" t="s">
        <v>33</v>
      </c>
      <c r="W40" s="18" t="str">
        <f>TEXT(VLOOKUP(U40, News!A:C, 3, FALSE), "M/D/YYYY")</f>
        <v>5/9/2018</v>
      </c>
      <c r="X40" s="18">
        <f>DATE(YEAR(W40),MONTH(Metrics!$B$5), DAY(Metrics!$B$5))</f>
        <v>43344</v>
      </c>
      <c r="Y40" s="16">
        <f t="shared" si="0"/>
        <v>2018</v>
      </c>
    </row>
    <row r="41" spans="1:25" ht="16" x14ac:dyDescent="0.2">
      <c r="D41" s="10">
        <v>5806</v>
      </c>
      <c r="E41" s="7" t="s">
        <v>33</v>
      </c>
      <c r="F41" s="4">
        <v>4574</v>
      </c>
      <c r="G41" s="9" t="s">
        <v>10</v>
      </c>
      <c r="H41" s="10">
        <v>3887</v>
      </c>
      <c r="I41" s="7" t="s">
        <v>29</v>
      </c>
      <c r="J41" s="4">
        <v>4368</v>
      </c>
      <c r="K41" s="9" t="s">
        <v>21</v>
      </c>
      <c r="L41" s="10">
        <v>2344</v>
      </c>
      <c r="M41" s="7" t="s">
        <v>51</v>
      </c>
      <c r="N41" s="4">
        <v>3612</v>
      </c>
      <c r="O41" s="9" t="s">
        <v>17</v>
      </c>
      <c r="Q41" s="9"/>
      <c r="U41" s="12">
        <v>5806</v>
      </c>
      <c r="V41" s="13" t="s">
        <v>33</v>
      </c>
      <c r="W41" s="18" t="str">
        <f>TEXT(VLOOKUP(U41, News!A:C, 3, FALSE), "M/D/YYYY")</f>
        <v>2/1/2021</v>
      </c>
      <c r="X41" s="18">
        <f>DATE(YEAR(W41),MONTH(Metrics!$B$5), DAY(Metrics!$B$5))</f>
        <v>44440</v>
      </c>
      <c r="Y41" s="16">
        <f t="shared" si="0"/>
        <v>2021</v>
      </c>
    </row>
    <row r="42" spans="1:25" ht="16" x14ac:dyDescent="0.2">
      <c r="D42" s="10">
        <v>2201</v>
      </c>
      <c r="E42" s="7" t="s">
        <v>33</v>
      </c>
      <c r="F42" s="4">
        <v>4619</v>
      </c>
      <c r="G42" s="9" t="s">
        <v>10</v>
      </c>
      <c r="H42" s="10">
        <v>3964</v>
      </c>
      <c r="I42" s="7" t="s">
        <v>29</v>
      </c>
      <c r="J42" s="4">
        <v>5112</v>
      </c>
      <c r="K42" s="9" t="s">
        <v>21</v>
      </c>
      <c r="L42" s="10">
        <v>4915</v>
      </c>
      <c r="M42" s="7" t="s">
        <v>51</v>
      </c>
      <c r="N42" s="4">
        <v>3757</v>
      </c>
      <c r="O42" s="9" t="s">
        <v>17</v>
      </c>
      <c r="Q42" s="9"/>
      <c r="U42" s="12">
        <v>2201</v>
      </c>
      <c r="V42" s="13" t="s">
        <v>33</v>
      </c>
      <c r="W42" s="18" t="str">
        <f>TEXT(VLOOKUP(U42, News!A:C, 3, FALSE), "M/D/YYYY")</f>
        <v>6/10/2017</v>
      </c>
      <c r="X42" s="18">
        <f>DATE(YEAR(W42),MONTH(Metrics!$B$5), DAY(Metrics!$B$5))</f>
        <v>42979</v>
      </c>
      <c r="Y42" s="16">
        <f t="shared" si="0"/>
        <v>2017</v>
      </c>
    </row>
    <row r="43" spans="1:25" ht="16" x14ac:dyDescent="0.2">
      <c r="D43" s="10">
        <v>1448</v>
      </c>
      <c r="E43" s="7" t="s">
        <v>33</v>
      </c>
      <c r="F43" s="4">
        <v>4713</v>
      </c>
      <c r="G43" s="9" t="s">
        <v>10</v>
      </c>
      <c r="H43" s="10">
        <v>4028</v>
      </c>
      <c r="I43" s="7" t="s">
        <v>29</v>
      </c>
      <c r="J43" s="4">
        <v>5939</v>
      </c>
      <c r="K43" s="9" t="s">
        <v>21</v>
      </c>
      <c r="L43" s="10">
        <v>6944</v>
      </c>
      <c r="M43" s="7" t="s">
        <v>51</v>
      </c>
      <c r="N43" s="4">
        <v>3859</v>
      </c>
      <c r="O43" s="9" t="s">
        <v>17</v>
      </c>
      <c r="Q43" s="9"/>
      <c r="U43" s="12">
        <v>1448</v>
      </c>
      <c r="V43" s="13" t="s">
        <v>33</v>
      </c>
      <c r="W43" s="18" t="str">
        <f>TEXT(VLOOKUP(U43, News!A:C, 3, FALSE), "M/D/YYYY")</f>
        <v>1/30/2018</v>
      </c>
      <c r="X43" s="18">
        <f>DATE(YEAR(W43),MONTH(Metrics!$B$5), DAY(Metrics!$B$5))</f>
        <v>43344</v>
      </c>
      <c r="Y43" s="16">
        <f t="shared" si="0"/>
        <v>2018</v>
      </c>
    </row>
    <row r="44" spans="1:25" ht="16" x14ac:dyDescent="0.2">
      <c r="D44" s="10">
        <v>4411</v>
      </c>
      <c r="E44" s="7" t="s">
        <v>33</v>
      </c>
      <c r="F44" s="4">
        <v>5678</v>
      </c>
      <c r="G44" s="9" t="s">
        <v>10</v>
      </c>
      <c r="H44" s="10">
        <v>4093</v>
      </c>
      <c r="I44" s="7" t="s">
        <v>29</v>
      </c>
      <c r="J44" s="4">
        <v>7285</v>
      </c>
      <c r="K44" s="9" t="s">
        <v>21</v>
      </c>
      <c r="L44" s="10">
        <v>7744</v>
      </c>
      <c r="M44" s="7" t="s">
        <v>51</v>
      </c>
      <c r="N44" s="4">
        <v>4937</v>
      </c>
      <c r="O44" s="9" t="s">
        <v>17</v>
      </c>
      <c r="Q44" s="9"/>
      <c r="U44" s="12">
        <v>4411</v>
      </c>
      <c r="V44" s="13" t="s">
        <v>33</v>
      </c>
      <c r="W44" s="18" t="str">
        <f>TEXT(VLOOKUP(U44, News!A:C, 3, FALSE), "M/D/YYYY")</f>
        <v>9/12/2019</v>
      </c>
      <c r="X44" s="18">
        <f>DATE(YEAR(W44),MONTH(Metrics!$B$5), DAY(Metrics!$B$5))</f>
        <v>43709</v>
      </c>
      <c r="Y44" s="16">
        <f t="shared" si="0"/>
        <v>2020</v>
      </c>
    </row>
    <row r="45" spans="1:25" ht="16" x14ac:dyDescent="0.2">
      <c r="D45" s="10">
        <v>6267</v>
      </c>
      <c r="E45" s="7" t="s">
        <v>33</v>
      </c>
      <c r="F45" s="4">
        <v>5732</v>
      </c>
      <c r="G45" s="9" t="s">
        <v>10</v>
      </c>
      <c r="H45" s="10">
        <v>4608</v>
      </c>
      <c r="I45" s="7" t="s">
        <v>29</v>
      </c>
      <c r="J45" s="4">
        <v>7643</v>
      </c>
      <c r="K45" s="9" t="s">
        <v>21</v>
      </c>
      <c r="L45" s="10">
        <v>7768</v>
      </c>
      <c r="M45" s="7" t="s">
        <v>51</v>
      </c>
      <c r="N45" s="4">
        <v>5761</v>
      </c>
      <c r="O45" s="9" t="s">
        <v>17</v>
      </c>
      <c r="Q45" s="9"/>
      <c r="U45" s="12">
        <v>6267</v>
      </c>
      <c r="V45" s="13" t="s">
        <v>33</v>
      </c>
      <c r="W45" s="18" t="str">
        <f>TEXT(VLOOKUP(U45, News!A:C, 3, FALSE), "M/D/YYYY")</f>
        <v>8/17/2021</v>
      </c>
      <c r="X45" s="18">
        <f>DATE(YEAR(W45),MONTH(Metrics!$B$5), DAY(Metrics!$B$5))</f>
        <v>44440</v>
      </c>
      <c r="Y45" s="16">
        <f t="shared" si="0"/>
        <v>2021</v>
      </c>
    </row>
    <row r="46" spans="1:25" ht="16" x14ac:dyDescent="0.2">
      <c r="D46" s="10">
        <v>6747</v>
      </c>
      <c r="E46" s="7" t="s">
        <v>33</v>
      </c>
      <c r="F46" s="4">
        <v>6028</v>
      </c>
      <c r="G46" s="9" t="s">
        <v>10</v>
      </c>
      <c r="H46" s="10">
        <v>4659</v>
      </c>
      <c r="I46" s="7" t="s">
        <v>29</v>
      </c>
      <c r="J46" s="4">
        <v>1343</v>
      </c>
      <c r="K46" s="9" t="s">
        <v>21</v>
      </c>
      <c r="L46" s="10">
        <v>7845</v>
      </c>
      <c r="M46" s="7" t="s">
        <v>51</v>
      </c>
      <c r="N46" s="4">
        <v>5920</v>
      </c>
      <c r="O46" s="9" t="s">
        <v>17</v>
      </c>
      <c r="Q46" s="9"/>
      <c r="U46" s="12">
        <v>6747</v>
      </c>
      <c r="V46" s="13" t="s">
        <v>33</v>
      </c>
      <c r="W46" s="18" t="str">
        <f>TEXT(VLOOKUP(U46, News!A:C, 3, FALSE), "M/D/YYYY")</f>
        <v>12/17/2021</v>
      </c>
      <c r="X46" s="18">
        <f>DATE(YEAR(W46),MONTH(Metrics!$B$5), DAY(Metrics!$B$5))</f>
        <v>44440</v>
      </c>
      <c r="Y46" s="16">
        <f t="shared" si="0"/>
        <v>2022</v>
      </c>
    </row>
    <row r="47" spans="1:25" ht="16" x14ac:dyDescent="0.2">
      <c r="D47" s="10">
        <v>7305</v>
      </c>
      <c r="E47" s="7" t="s">
        <v>33</v>
      </c>
      <c r="F47" s="4">
        <v>6664</v>
      </c>
      <c r="G47" s="9" t="s">
        <v>10</v>
      </c>
      <c r="H47" s="10">
        <v>4982</v>
      </c>
      <c r="I47" s="7" t="s">
        <v>29</v>
      </c>
      <c r="J47" s="4">
        <v>2521</v>
      </c>
      <c r="K47" s="9" t="s">
        <v>21</v>
      </c>
      <c r="L47" s="10">
        <v>433</v>
      </c>
      <c r="M47" s="7" t="s">
        <v>51</v>
      </c>
      <c r="N47" s="4">
        <v>8125</v>
      </c>
      <c r="O47" s="9" t="s">
        <v>17</v>
      </c>
      <c r="Q47" s="9"/>
      <c r="U47" s="12">
        <v>7305</v>
      </c>
      <c r="V47" s="13" t="s">
        <v>33</v>
      </c>
      <c r="W47" s="18" t="str">
        <f>TEXT(VLOOKUP(U47, News!A:C, 3, FALSE), "M/D/YYYY")</f>
        <v>8/12/2022</v>
      </c>
      <c r="X47" s="18">
        <f>DATE(YEAR(W47),MONTH(Metrics!$B$5), DAY(Metrics!$B$5))</f>
        <v>44805</v>
      </c>
      <c r="Y47" s="16">
        <f t="shared" si="0"/>
        <v>2022</v>
      </c>
    </row>
    <row r="48" spans="1:25" ht="16" x14ac:dyDescent="0.2">
      <c r="D48" s="10">
        <v>7359</v>
      </c>
      <c r="E48" s="7" t="s">
        <v>33</v>
      </c>
      <c r="F48" s="4">
        <v>7385</v>
      </c>
      <c r="G48" s="9" t="s">
        <v>10</v>
      </c>
      <c r="H48" s="10">
        <v>5094</v>
      </c>
      <c r="I48" s="7" t="s">
        <v>29</v>
      </c>
      <c r="J48" s="4">
        <v>3002</v>
      </c>
      <c r="K48" s="9" t="s">
        <v>21</v>
      </c>
      <c r="L48" s="10">
        <v>1347</v>
      </c>
      <c r="M48" s="7" t="s">
        <v>51</v>
      </c>
      <c r="Q48" s="9"/>
      <c r="U48" s="12">
        <v>7359</v>
      </c>
      <c r="V48" s="13" t="s">
        <v>33</v>
      </c>
      <c r="W48" s="18" t="str">
        <f>TEXT(VLOOKUP(U48, News!A:C, 3, FALSE), "M/D/YYYY")</f>
        <v>8/29/2022</v>
      </c>
      <c r="X48" s="18">
        <f>DATE(YEAR(W48),MONTH(Metrics!$B$5), DAY(Metrics!$B$5))</f>
        <v>44805</v>
      </c>
      <c r="Y48" s="16">
        <f t="shared" si="0"/>
        <v>2022</v>
      </c>
    </row>
    <row r="49" spans="4:25" ht="16" x14ac:dyDescent="0.2">
      <c r="D49" s="10">
        <v>4912</v>
      </c>
      <c r="E49" s="7" t="s">
        <v>33</v>
      </c>
      <c r="F49" s="4">
        <v>7634</v>
      </c>
      <c r="G49" s="9" t="s">
        <v>10</v>
      </c>
      <c r="H49" s="10">
        <v>5726</v>
      </c>
      <c r="I49" s="7" t="s">
        <v>29</v>
      </c>
      <c r="J49" s="4">
        <v>6606</v>
      </c>
      <c r="K49" s="9" t="s">
        <v>21</v>
      </c>
      <c r="L49" s="10">
        <v>1456</v>
      </c>
      <c r="M49" s="7" t="s">
        <v>51</v>
      </c>
      <c r="Q49" s="9"/>
      <c r="U49" s="12">
        <v>4912</v>
      </c>
      <c r="V49" s="13" t="s">
        <v>33</v>
      </c>
      <c r="W49" s="18" t="str">
        <f>TEXT(VLOOKUP(U49, News!A:C, 3, FALSE), "M/D/YYYY")</f>
        <v>3/24/2020</v>
      </c>
      <c r="X49" s="18">
        <f>DATE(YEAR(W49),MONTH(Metrics!$B$5), DAY(Metrics!$B$5))</f>
        <v>44075</v>
      </c>
      <c r="Y49" s="16">
        <f t="shared" si="0"/>
        <v>2020</v>
      </c>
    </row>
    <row r="50" spans="4:25" ht="16" x14ac:dyDescent="0.2">
      <c r="D50" s="10">
        <v>1391</v>
      </c>
      <c r="E50" s="7" t="s">
        <v>33</v>
      </c>
      <c r="F50" s="4">
        <v>7916</v>
      </c>
      <c r="G50" s="9" t="s">
        <v>10</v>
      </c>
      <c r="H50" s="10">
        <v>6828</v>
      </c>
      <c r="I50" s="7" t="s">
        <v>29</v>
      </c>
      <c r="J50" s="4">
        <v>6926</v>
      </c>
      <c r="K50" s="9" t="s">
        <v>21</v>
      </c>
      <c r="L50" s="10">
        <v>1668</v>
      </c>
      <c r="M50" s="7" t="s">
        <v>51</v>
      </c>
      <c r="Q50" s="9"/>
      <c r="U50" s="12">
        <v>1391</v>
      </c>
      <c r="V50" s="13" t="s">
        <v>33</v>
      </c>
      <c r="W50" s="18" t="str">
        <f>TEXT(VLOOKUP(U50, News!A:C, 3, FALSE), "M/D/YYYY")</f>
        <v>4/10/2018</v>
      </c>
      <c r="X50" s="18">
        <f>DATE(YEAR(W50),MONTH(Metrics!$B$5), DAY(Metrics!$B$5))</f>
        <v>43344</v>
      </c>
      <c r="Y50" s="16">
        <f t="shared" si="0"/>
        <v>2018</v>
      </c>
    </row>
    <row r="51" spans="4:25" ht="16" x14ac:dyDescent="0.2">
      <c r="D51" s="10">
        <v>7196</v>
      </c>
      <c r="E51" s="7" t="s">
        <v>33</v>
      </c>
      <c r="F51" s="4">
        <v>7996</v>
      </c>
      <c r="G51" s="9" t="s">
        <v>10</v>
      </c>
      <c r="H51" s="10">
        <v>7155</v>
      </c>
      <c r="I51" s="7" t="s">
        <v>29</v>
      </c>
      <c r="J51" s="4">
        <v>1460</v>
      </c>
      <c r="K51" s="9" t="s">
        <v>21</v>
      </c>
      <c r="L51" s="10">
        <v>2084</v>
      </c>
      <c r="M51" s="7" t="s">
        <v>51</v>
      </c>
      <c r="Q51" s="9"/>
      <c r="U51" s="12">
        <v>7196</v>
      </c>
      <c r="V51" s="13" t="s">
        <v>33</v>
      </c>
      <c r="W51" s="18" t="str">
        <f>TEXT(VLOOKUP(U51, News!A:C, 3, FALSE), "M/D/YYYY")</f>
        <v>6/21/2022</v>
      </c>
      <c r="X51" s="18">
        <f>DATE(YEAR(W51),MONTH(Metrics!$B$5), DAY(Metrics!$B$5))</f>
        <v>44805</v>
      </c>
      <c r="Y51" s="16">
        <f t="shared" si="0"/>
        <v>2022</v>
      </c>
    </row>
    <row r="52" spans="4:25" ht="16" x14ac:dyDescent="0.2">
      <c r="D52" s="10">
        <v>4978</v>
      </c>
      <c r="E52" s="7" t="s">
        <v>33</v>
      </c>
      <c r="F52" s="4">
        <v>8153</v>
      </c>
      <c r="G52" s="9" t="s">
        <v>10</v>
      </c>
      <c r="H52" s="10">
        <v>8015</v>
      </c>
      <c r="I52" s="7" t="s">
        <v>29</v>
      </c>
      <c r="J52" s="4">
        <v>4794</v>
      </c>
      <c r="K52" s="9" t="s">
        <v>21</v>
      </c>
      <c r="L52" s="10">
        <v>2111</v>
      </c>
      <c r="M52" s="7" t="s">
        <v>51</v>
      </c>
      <c r="Q52" s="9"/>
      <c r="U52" s="12">
        <v>4978</v>
      </c>
      <c r="V52" s="13" t="s">
        <v>33</v>
      </c>
      <c r="W52" s="18" t="str">
        <f>TEXT(VLOOKUP(U52, News!A:C, 3, FALSE), "M/D/YYYY")</f>
        <v>5/29/2020</v>
      </c>
      <c r="X52" s="18">
        <f>DATE(YEAR(W52),MONTH(Metrics!$B$5), DAY(Metrics!$B$5))</f>
        <v>44075</v>
      </c>
      <c r="Y52" s="16">
        <f t="shared" si="0"/>
        <v>2020</v>
      </c>
    </row>
    <row r="53" spans="4:25" ht="16" x14ac:dyDescent="0.2">
      <c r="D53" s="10">
        <v>1312</v>
      </c>
      <c r="E53" s="7" t="s">
        <v>33</v>
      </c>
      <c r="F53" s="4">
        <v>8085</v>
      </c>
      <c r="G53" s="9" t="s">
        <v>10</v>
      </c>
      <c r="H53" s="10">
        <v>8056</v>
      </c>
      <c r="I53" s="7" t="s">
        <v>29</v>
      </c>
      <c r="J53" s="4">
        <v>437</v>
      </c>
      <c r="K53" s="9" t="s">
        <v>21</v>
      </c>
      <c r="L53" s="10">
        <v>2203</v>
      </c>
      <c r="M53" s="7" t="s">
        <v>51</v>
      </c>
      <c r="Q53" s="9"/>
      <c r="U53" s="12">
        <v>1312</v>
      </c>
      <c r="V53" s="13" t="s">
        <v>33</v>
      </c>
      <c r="W53" s="18" t="str">
        <f>TEXT(VLOOKUP(U53, News!A:C, 3, FALSE), "M/D/YYYY")</f>
        <v>5/30/2018</v>
      </c>
      <c r="X53" s="18">
        <f>DATE(YEAR(W53),MONTH(Metrics!$B$5), DAY(Metrics!$B$5))</f>
        <v>43344</v>
      </c>
      <c r="Y53" s="16">
        <f t="shared" si="0"/>
        <v>2018</v>
      </c>
    </row>
    <row r="54" spans="4:25" ht="16" x14ac:dyDescent="0.2">
      <c r="D54" s="10">
        <v>1318</v>
      </c>
      <c r="E54" s="7" t="s">
        <v>33</v>
      </c>
      <c r="F54" s="4">
        <v>8054</v>
      </c>
      <c r="G54" s="9" t="s">
        <v>10</v>
      </c>
      <c r="H54" s="10">
        <v>1460</v>
      </c>
      <c r="I54" s="7" t="s">
        <v>29</v>
      </c>
      <c r="J54" s="4">
        <v>1286</v>
      </c>
      <c r="K54" s="9" t="s">
        <v>21</v>
      </c>
      <c r="L54" s="10">
        <v>2519</v>
      </c>
      <c r="M54" s="7" t="s">
        <v>51</v>
      </c>
      <c r="Q54" s="9"/>
      <c r="U54" s="12">
        <v>1318</v>
      </c>
      <c r="V54" s="13" t="s">
        <v>33</v>
      </c>
      <c r="W54" s="18" t="str">
        <f>TEXT(VLOOKUP(U54, News!A:C, 3, FALSE), "M/D/YYYY")</f>
        <v>5/17/2018</v>
      </c>
      <c r="X54" s="18">
        <f>DATE(YEAR(W54),MONTH(Metrics!$B$5), DAY(Metrics!$B$5))</f>
        <v>43344</v>
      </c>
      <c r="Y54" s="16">
        <f t="shared" si="0"/>
        <v>2018</v>
      </c>
    </row>
    <row r="55" spans="4:25" ht="16" x14ac:dyDescent="0.2">
      <c r="D55" s="10">
        <v>1361</v>
      </c>
      <c r="E55" s="7" t="s">
        <v>33</v>
      </c>
      <c r="F55" s="4">
        <v>2551</v>
      </c>
      <c r="G55" s="9" t="s">
        <v>10</v>
      </c>
      <c r="H55" s="10">
        <v>4794</v>
      </c>
      <c r="I55" s="7" t="s">
        <v>29</v>
      </c>
      <c r="J55" s="4">
        <v>1317</v>
      </c>
      <c r="K55" s="9" t="s">
        <v>21</v>
      </c>
      <c r="L55" s="10">
        <v>2523</v>
      </c>
      <c r="M55" s="7" t="s">
        <v>51</v>
      </c>
      <c r="Q55" s="9"/>
      <c r="U55" s="12">
        <v>1361</v>
      </c>
      <c r="V55" s="13" t="s">
        <v>33</v>
      </c>
      <c r="W55" s="18" t="str">
        <f>TEXT(VLOOKUP(U55, News!A:C, 3, FALSE), "M/D/YYYY")</f>
        <v>10/16/2017</v>
      </c>
      <c r="X55" s="18">
        <f>DATE(YEAR(W55),MONTH(Metrics!$B$5), DAY(Metrics!$B$5))</f>
        <v>42979</v>
      </c>
      <c r="Y55" s="16">
        <f t="shared" si="0"/>
        <v>2018</v>
      </c>
    </row>
    <row r="56" spans="4:25" ht="16" x14ac:dyDescent="0.2">
      <c r="D56" s="10">
        <v>1468</v>
      </c>
      <c r="E56" s="7" t="s">
        <v>33</v>
      </c>
      <c r="F56" s="4">
        <v>3000</v>
      </c>
      <c r="G56" s="9" t="s">
        <v>10</v>
      </c>
      <c r="H56" s="10">
        <v>4073</v>
      </c>
      <c r="I56" s="7" t="s">
        <v>29</v>
      </c>
      <c r="J56" s="4">
        <v>1324</v>
      </c>
      <c r="K56" s="9" t="s">
        <v>21</v>
      </c>
      <c r="L56" s="10">
        <v>2996</v>
      </c>
      <c r="M56" s="7" t="s">
        <v>51</v>
      </c>
      <c r="Q56" s="9"/>
      <c r="U56" s="12">
        <v>1468</v>
      </c>
      <c r="V56" s="13" t="s">
        <v>33</v>
      </c>
      <c r="W56" s="18" t="str">
        <f>TEXT(VLOOKUP(U56, News!A:C, 3, FALSE), "M/D/YYYY")</f>
        <v>11/28/2017</v>
      </c>
      <c r="X56" s="18">
        <f>DATE(YEAR(W56),MONTH(Metrics!$B$5), DAY(Metrics!$B$5))</f>
        <v>42979</v>
      </c>
      <c r="Y56" s="16">
        <f t="shared" si="0"/>
        <v>2018</v>
      </c>
    </row>
    <row r="57" spans="4:25" ht="16" x14ac:dyDescent="0.2">
      <c r="D57" s="10">
        <v>3336</v>
      </c>
      <c r="E57" s="7" t="s">
        <v>33</v>
      </c>
      <c r="F57" s="4">
        <v>3345</v>
      </c>
      <c r="G57" s="9" t="s">
        <v>10</v>
      </c>
      <c r="H57" s="10">
        <v>4800</v>
      </c>
      <c r="I57" s="7" t="s">
        <v>29</v>
      </c>
      <c r="J57" s="4">
        <v>1352</v>
      </c>
      <c r="K57" s="9" t="s">
        <v>21</v>
      </c>
      <c r="L57" s="10">
        <v>3250</v>
      </c>
      <c r="M57" s="7" t="s">
        <v>51</v>
      </c>
      <c r="Q57" s="9"/>
      <c r="U57" s="12">
        <v>3336</v>
      </c>
      <c r="V57" s="13" t="s">
        <v>33</v>
      </c>
      <c r="W57" s="18" t="str">
        <f>TEXT(VLOOKUP(U57, News!A:C, 3, FALSE), "M/D/YYYY")</f>
        <v>6/29/2016</v>
      </c>
      <c r="X57" s="18">
        <f>DATE(YEAR(W57),MONTH(Metrics!$B$5), DAY(Metrics!$B$5))</f>
        <v>42614</v>
      </c>
      <c r="Y57" s="16">
        <f t="shared" si="0"/>
        <v>2016</v>
      </c>
    </row>
    <row r="58" spans="4:25" ht="16" x14ac:dyDescent="0.2">
      <c r="D58" s="10">
        <v>3856</v>
      </c>
      <c r="E58" s="7" t="s">
        <v>33</v>
      </c>
      <c r="F58" s="4">
        <v>3717</v>
      </c>
      <c r="G58" s="9" t="s">
        <v>10</v>
      </c>
      <c r="H58" s="10">
        <v>6078</v>
      </c>
      <c r="I58" s="7" t="s">
        <v>29</v>
      </c>
      <c r="J58" s="4">
        <v>1355</v>
      </c>
      <c r="K58" s="9" t="s">
        <v>21</v>
      </c>
      <c r="L58" s="10">
        <v>3507</v>
      </c>
      <c r="M58" s="7" t="s">
        <v>51</v>
      </c>
      <c r="Q58" s="9"/>
      <c r="U58" s="12">
        <v>3856</v>
      </c>
      <c r="V58" s="13" t="s">
        <v>33</v>
      </c>
      <c r="W58" s="18" t="str">
        <f>TEXT(VLOOKUP(U58, News!A:C, 3, FALSE), "M/D/YYYY")</f>
        <v>3/28/2019</v>
      </c>
      <c r="X58" s="18">
        <f>DATE(YEAR(W58),MONTH(Metrics!$B$5), DAY(Metrics!$B$5))</f>
        <v>43709</v>
      </c>
      <c r="Y58" s="16">
        <f t="shared" si="0"/>
        <v>2019</v>
      </c>
    </row>
    <row r="59" spans="4:25" ht="16" x14ac:dyDescent="0.2">
      <c r="D59" s="10">
        <v>3934</v>
      </c>
      <c r="E59" s="7" t="s">
        <v>33</v>
      </c>
      <c r="F59" s="4">
        <v>7400</v>
      </c>
      <c r="G59" s="9" t="s">
        <v>10</v>
      </c>
      <c r="H59" s="10">
        <v>6553</v>
      </c>
      <c r="I59" s="7" t="s">
        <v>29</v>
      </c>
      <c r="J59" s="4">
        <v>1370</v>
      </c>
      <c r="K59" s="9" t="s">
        <v>21</v>
      </c>
      <c r="L59" s="10">
        <v>3931</v>
      </c>
      <c r="M59" s="7" t="s">
        <v>51</v>
      </c>
      <c r="Q59" s="9"/>
      <c r="U59" s="12">
        <v>3934</v>
      </c>
      <c r="V59" s="13" t="s">
        <v>33</v>
      </c>
      <c r="W59" s="18" t="str">
        <f>TEXT(VLOOKUP(U59, News!A:C, 3, FALSE), "M/D/YYYY")</f>
        <v>4/15/2019</v>
      </c>
      <c r="X59" s="18">
        <f>DATE(YEAR(W59),MONTH(Metrics!$B$5), DAY(Metrics!$B$5))</f>
        <v>43709</v>
      </c>
      <c r="Y59" s="16">
        <f t="shared" si="0"/>
        <v>2019</v>
      </c>
    </row>
    <row r="60" spans="4:25" ht="16" x14ac:dyDescent="0.2">
      <c r="D60" s="10">
        <v>4336</v>
      </c>
      <c r="E60" s="7" t="s">
        <v>33</v>
      </c>
      <c r="H60" s="10">
        <v>7265</v>
      </c>
      <c r="I60" s="7" t="s">
        <v>29</v>
      </c>
      <c r="J60" s="4">
        <v>1413</v>
      </c>
      <c r="K60" s="9" t="s">
        <v>21</v>
      </c>
      <c r="L60" s="10">
        <v>3943</v>
      </c>
      <c r="M60" s="7" t="s">
        <v>51</v>
      </c>
      <c r="Q60" s="9"/>
      <c r="U60" s="12">
        <v>4336</v>
      </c>
      <c r="V60" s="13" t="s">
        <v>33</v>
      </c>
      <c r="W60" s="18" t="str">
        <f>TEXT(VLOOKUP(U60, News!A:C, 3, FALSE), "M/D/YYYY")</f>
        <v>8/19/2019</v>
      </c>
      <c r="X60" s="18">
        <f>DATE(YEAR(W60),MONTH(Metrics!$B$5), DAY(Metrics!$B$5))</f>
        <v>43709</v>
      </c>
      <c r="Y60" s="16">
        <f t="shared" si="0"/>
        <v>2019</v>
      </c>
    </row>
    <row r="61" spans="4:25" ht="16" x14ac:dyDescent="0.2">
      <c r="D61" s="10">
        <v>4387</v>
      </c>
      <c r="E61" s="7" t="s">
        <v>33</v>
      </c>
      <c r="H61" s="10">
        <v>5606</v>
      </c>
      <c r="I61" s="7" t="s">
        <v>29</v>
      </c>
      <c r="J61" s="4">
        <v>1698</v>
      </c>
      <c r="K61" s="9" t="s">
        <v>21</v>
      </c>
      <c r="L61" s="10">
        <v>4531</v>
      </c>
      <c r="M61" s="7" t="s">
        <v>51</v>
      </c>
      <c r="Q61" s="9"/>
      <c r="U61" s="12">
        <v>4387</v>
      </c>
      <c r="V61" s="13" t="s">
        <v>33</v>
      </c>
      <c r="W61" s="18" t="str">
        <f>TEXT(VLOOKUP(U61, News!A:C, 3, FALSE), "M/D/YYYY")</f>
        <v>9/9/2019</v>
      </c>
      <c r="X61" s="18">
        <f>DATE(YEAR(W61),MONTH(Metrics!$B$5), DAY(Metrics!$B$5))</f>
        <v>43709</v>
      </c>
      <c r="Y61" s="16">
        <f t="shared" si="0"/>
        <v>2020</v>
      </c>
    </row>
    <row r="62" spans="4:25" ht="16" x14ac:dyDescent="0.2">
      <c r="D62" s="10">
        <v>4910</v>
      </c>
      <c r="E62" s="7" t="s">
        <v>33</v>
      </c>
      <c r="H62" s="10">
        <v>4164</v>
      </c>
      <c r="I62" s="7" t="s">
        <v>29</v>
      </c>
      <c r="J62" s="4">
        <v>1950</v>
      </c>
      <c r="K62" s="9" t="s">
        <v>21</v>
      </c>
      <c r="L62" s="10">
        <v>4656</v>
      </c>
      <c r="M62" s="7" t="s">
        <v>51</v>
      </c>
      <c r="Q62" s="9"/>
      <c r="U62" s="12">
        <v>4910</v>
      </c>
      <c r="V62" s="13" t="s">
        <v>33</v>
      </c>
      <c r="W62" s="18" t="str">
        <f>TEXT(VLOOKUP(U62, News!A:C, 3, FALSE), "M/D/YYYY")</f>
        <v>4/1/2020</v>
      </c>
      <c r="X62" s="18">
        <f>DATE(YEAR(W62),MONTH(Metrics!$B$5), DAY(Metrics!$B$5))</f>
        <v>44075</v>
      </c>
      <c r="Y62" s="16">
        <f t="shared" si="0"/>
        <v>2020</v>
      </c>
    </row>
    <row r="63" spans="4:25" ht="16" x14ac:dyDescent="0.2">
      <c r="D63" s="10">
        <v>5038</v>
      </c>
      <c r="E63" s="7" t="s">
        <v>33</v>
      </c>
      <c r="H63" s="10">
        <v>4167</v>
      </c>
      <c r="I63" s="7" t="s">
        <v>29</v>
      </c>
      <c r="J63" s="4">
        <v>2209</v>
      </c>
      <c r="K63" s="9" t="s">
        <v>21</v>
      </c>
      <c r="L63" s="10">
        <v>4889</v>
      </c>
      <c r="M63" s="7" t="s">
        <v>51</v>
      </c>
      <c r="Q63" s="9"/>
      <c r="U63" s="12">
        <v>5038</v>
      </c>
      <c r="V63" s="13" t="s">
        <v>33</v>
      </c>
      <c r="W63" s="18" t="str">
        <f>TEXT(VLOOKUP(U63, News!A:C, 3, FALSE), "M/D/YYYY")</f>
        <v>9/1/2020</v>
      </c>
      <c r="X63" s="18">
        <f>DATE(YEAR(W63),MONTH(Metrics!$B$5), DAY(Metrics!$B$5))</f>
        <v>44075</v>
      </c>
      <c r="Y63" s="16">
        <f t="shared" si="0"/>
        <v>2021</v>
      </c>
    </row>
    <row r="64" spans="4:25" ht="16" x14ac:dyDescent="0.2">
      <c r="D64" s="10">
        <v>5070</v>
      </c>
      <c r="E64" s="7" t="s">
        <v>33</v>
      </c>
      <c r="H64" s="10">
        <v>6083</v>
      </c>
      <c r="I64" s="7" t="s">
        <v>29</v>
      </c>
      <c r="J64" s="4">
        <v>2323</v>
      </c>
      <c r="K64" s="9" t="s">
        <v>21</v>
      </c>
      <c r="L64" s="10">
        <v>4924</v>
      </c>
      <c r="M64" s="7" t="s">
        <v>51</v>
      </c>
      <c r="Q64" s="9"/>
      <c r="U64" s="12">
        <v>5070</v>
      </c>
      <c r="V64" s="13" t="s">
        <v>33</v>
      </c>
      <c r="W64" s="18" t="str">
        <f>TEXT(VLOOKUP(U64, News!A:C, 3, FALSE), "M/D/YYYY")</f>
        <v>9/2/2020</v>
      </c>
      <c r="X64" s="18">
        <f>DATE(YEAR(W64),MONTH(Metrics!$B$5), DAY(Metrics!$B$5))</f>
        <v>44075</v>
      </c>
      <c r="Y64" s="16">
        <f t="shared" si="0"/>
        <v>2021</v>
      </c>
    </row>
    <row r="65" spans="4:25" ht="16" x14ac:dyDescent="0.2">
      <c r="D65" s="10">
        <v>5578</v>
      </c>
      <c r="E65" s="7" t="s">
        <v>33</v>
      </c>
      <c r="H65" s="10">
        <v>7400</v>
      </c>
      <c r="I65" s="7" t="s">
        <v>29</v>
      </c>
      <c r="J65" s="4">
        <v>2337</v>
      </c>
      <c r="K65" s="9" t="s">
        <v>21</v>
      </c>
      <c r="L65" s="10">
        <v>4998</v>
      </c>
      <c r="M65" s="7" t="s">
        <v>51</v>
      </c>
      <c r="Q65" s="9"/>
      <c r="U65" s="12">
        <v>5578</v>
      </c>
      <c r="V65" s="13" t="s">
        <v>33</v>
      </c>
      <c r="W65" s="18" t="str">
        <f>TEXT(VLOOKUP(U65, News!A:C, 3, FALSE), "M/D/YYYY")</f>
        <v>11/12/2020</v>
      </c>
      <c r="X65" s="18">
        <f>DATE(YEAR(W65),MONTH(Metrics!$B$5), DAY(Metrics!$B$5))</f>
        <v>44075</v>
      </c>
      <c r="Y65" s="16">
        <f t="shared" si="0"/>
        <v>2021</v>
      </c>
    </row>
    <row r="66" spans="4:25" ht="16" x14ac:dyDescent="0.2">
      <c r="D66" s="10">
        <v>5795</v>
      </c>
      <c r="E66" s="7" t="s">
        <v>33</v>
      </c>
      <c r="J66" s="4">
        <v>2437</v>
      </c>
      <c r="K66" s="9" t="s">
        <v>21</v>
      </c>
      <c r="L66" s="10">
        <v>5003</v>
      </c>
      <c r="M66" s="7" t="s">
        <v>51</v>
      </c>
      <c r="Q66" s="9"/>
      <c r="U66" s="12">
        <v>5795</v>
      </c>
      <c r="V66" s="13" t="s">
        <v>33</v>
      </c>
      <c r="W66" s="18" t="str">
        <f>TEXT(VLOOKUP(U66, News!A:C, 3, FALSE), "M/D/YYYY")</f>
        <v>1/28/2021</v>
      </c>
      <c r="X66" s="18">
        <f>DATE(YEAR(W66),MONTH(Metrics!$B$5), DAY(Metrics!$B$5))</f>
        <v>44440</v>
      </c>
      <c r="Y66" s="16">
        <f t="shared" si="0"/>
        <v>2021</v>
      </c>
    </row>
    <row r="67" spans="4:25" ht="16" x14ac:dyDescent="0.2">
      <c r="D67" s="10">
        <v>6180</v>
      </c>
      <c r="E67" s="7" t="s">
        <v>33</v>
      </c>
      <c r="J67" s="4">
        <v>2747</v>
      </c>
      <c r="K67" s="9" t="s">
        <v>21</v>
      </c>
      <c r="L67" s="10">
        <v>5016</v>
      </c>
      <c r="M67" s="7" t="s">
        <v>51</v>
      </c>
      <c r="Q67" s="9"/>
      <c r="U67" s="12">
        <v>6180</v>
      </c>
      <c r="V67" s="13" t="s">
        <v>33</v>
      </c>
      <c r="W67" s="18" t="str">
        <f>TEXT(VLOOKUP(U67, News!A:C, 3, FALSE), "M/D/YYYY")</f>
        <v>6/29/2021</v>
      </c>
      <c r="X67" s="18">
        <f>DATE(YEAR(W67),MONTH(Metrics!$B$5), DAY(Metrics!$B$5))</f>
        <v>44440</v>
      </c>
      <c r="Y67" s="16">
        <f t="shared" ref="Y67:Y130" si="1">IF(MONTH(W67) &gt;= MONTH(X67), YEAR(W67)+1, YEAR(W67))</f>
        <v>2021</v>
      </c>
    </row>
    <row r="68" spans="4:25" ht="16" x14ac:dyDescent="0.2">
      <c r="D68" s="10">
        <v>6358</v>
      </c>
      <c r="E68" s="7" t="s">
        <v>33</v>
      </c>
      <c r="J68" s="4">
        <v>2819</v>
      </c>
      <c r="K68" s="9" t="s">
        <v>21</v>
      </c>
      <c r="L68" s="10">
        <v>5025</v>
      </c>
      <c r="M68" s="7" t="s">
        <v>51</v>
      </c>
      <c r="Q68" s="9"/>
      <c r="U68" s="12">
        <v>6358</v>
      </c>
      <c r="V68" s="13" t="s">
        <v>33</v>
      </c>
      <c r="W68" s="18" t="str">
        <f>TEXT(VLOOKUP(U68, News!A:C, 3, FALSE), "M/D/YYYY")</f>
        <v>9/8/2021</v>
      </c>
      <c r="X68" s="18">
        <f>DATE(YEAR(W68),MONTH(Metrics!$B$5), DAY(Metrics!$B$5))</f>
        <v>44440</v>
      </c>
      <c r="Y68" s="16">
        <f t="shared" si="1"/>
        <v>2022</v>
      </c>
    </row>
    <row r="69" spans="4:25" ht="16" x14ac:dyDescent="0.2">
      <c r="D69" s="10">
        <v>6556</v>
      </c>
      <c r="E69" s="7" t="s">
        <v>33</v>
      </c>
      <c r="J69" s="4">
        <v>2828</v>
      </c>
      <c r="K69" s="9" t="s">
        <v>21</v>
      </c>
      <c r="L69" s="10">
        <v>5904</v>
      </c>
      <c r="M69" s="7" t="s">
        <v>51</v>
      </c>
      <c r="Q69" s="9"/>
      <c r="U69" s="12">
        <v>6556</v>
      </c>
      <c r="V69" s="13" t="s">
        <v>33</v>
      </c>
      <c r="W69" s="18" t="str">
        <f>TEXT(VLOOKUP(U69, News!A:C, 3, FALSE), "M/D/YYYY")</f>
        <v>10/20/2021</v>
      </c>
      <c r="X69" s="18">
        <f>DATE(YEAR(W69),MONTH(Metrics!$B$5), DAY(Metrics!$B$5))</f>
        <v>44440</v>
      </c>
      <c r="Y69" s="16">
        <f t="shared" si="1"/>
        <v>2022</v>
      </c>
    </row>
    <row r="70" spans="4:25" ht="16" x14ac:dyDescent="0.2">
      <c r="D70" s="10">
        <v>7162</v>
      </c>
      <c r="E70" s="7" t="s">
        <v>33</v>
      </c>
      <c r="J70" s="4">
        <v>2977</v>
      </c>
      <c r="K70" s="9" t="s">
        <v>21</v>
      </c>
      <c r="L70" s="10">
        <v>6008</v>
      </c>
      <c r="M70" s="7" t="s">
        <v>51</v>
      </c>
      <c r="Q70" s="9"/>
      <c r="U70" s="12">
        <v>7162</v>
      </c>
      <c r="V70" s="13" t="s">
        <v>33</v>
      </c>
      <c r="W70" s="18" t="str">
        <f>TEXT(VLOOKUP(U70, News!A:C, 3, FALSE), "M/D/YYYY")</f>
        <v>6/1/2022</v>
      </c>
      <c r="X70" s="18">
        <f>DATE(YEAR(W70),MONTH(Metrics!$B$5), DAY(Metrics!$B$5))</f>
        <v>44805</v>
      </c>
      <c r="Y70" s="16">
        <f t="shared" si="1"/>
        <v>2022</v>
      </c>
    </row>
    <row r="71" spans="4:25" ht="16" x14ac:dyDescent="0.2">
      <c r="D71" s="10">
        <v>7376</v>
      </c>
      <c r="E71" s="7" t="s">
        <v>33</v>
      </c>
      <c r="J71" s="4">
        <v>2989</v>
      </c>
      <c r="K71" s="9" t="s">
        <v>21</v>
      </c>
      <c r="L71" s="10">
        <v>6033</v>
      </c>
      <c r="M71" s="7" t="s">
        <v>51</v>
      </c>
      <c r="Q71" s="9"/>
      <c r="U71" s="12">
        <v>7376</v>
      </c>
      <c r="V71" s="13" t="s">
        <v>33</v>
      </c>
      <c r="W71" s="18" t="str">
        <f>TEXT(VLOOKUP(U71, News!A:C, 3, FALSE), "M/D/YYYY")</f>
        <v>8/31/2022</v>
      </c>
      <c r="X71" s="18">
        <f>DATE(YEAR(W71),MONTH(Metrics!$B$5), DAY(Metrics!$B$5))</f>
        <v>44805</v>
      </c>
      <c r="Y71" s="16">
        <f t="shared" si="1"/>
        <v>2022</v>
      </c>
    </row>
    <row r="72" spans="4:25" ht="16" x14ac:dyDescent="0.2">
      <c r="D72" s="10">
        <v>7735</v>
      </c>
      <c r="E72" s="7" t="s">
        <v>33</v>
      </c>
      <c r="J72" s="4">
        <v>3059</v>
      </c>
      <c r="K72" s="9" t="s">
        <v>21</v>
      </c>
      <c r="L72" s="10">
        <v>6094</v>
      </c>
      <c r="M72" s="7" t="s">
        <v>51</v>
      </c>
      <c r="Q72" s="9"/>
      <c r="U72" s="12">
        <v>7735</v>
      </c>
      <c r="V72" s="13" t="s">
        <v>33</v>
      </c>
      <c r="W72" s="18" t="str">
        <f>TEXT(VLOOKUP(U72, News!A:C, 3, FALSE), "M/D/YYYY")</f>
        <v>11/21/2022</v>
      </c>
      <c r="X72" s="18">
        <f>DATE(YEAR(W72),MONTH(Metrics!$B$5), DAY(Metrics!$B$5))</f>
        <v>44805</v>
      </c>
      <c r="Y72" s="16">
        <f t="shared" si="1"/>
        <v>2023</v>
      </c>
    </row>
    <row r="73" spans="4:25" ht="16" x14ac:dyDescent="0.2">
      <c r="D73" s="10">
        <v>7914</v>
      </c>
      <c r="E73" s="7" t="s">
        <v>33</v>
      </c>
      <c r="J73" s="4">
        <v>3208</v>
      </c>
      <c r="K73" s="9" t="s">
        <v>21</v>
      </c>
      <c r="L73" s="10">
        <v>6662</v>
      </c>
      <c r="M73" s="7" t="s">
        <v>51</v>
      </c>
      <c r="Q73" s="9"/>
      <c r="U73" s="12">
        <v>7914</v>
      </c>
      <c r="V73" s="13" t="s">
        <v>33</v>
      </c>
      <c r="W73" s="18" t="str">
        <f>TEXT(VLOOKUP(U73, News!A:C, 3, FALSE), "M/D/YYYY")</f>
        <v>1/13/2023</v>
      </c>
      <c r="X73" s="18">
        <f>DATE(YEAR(W73),MONTH(Metrics!$B$5), DAY(Metrics!$B$5))</f>
        <v>45170</v>
      </c>
      <c r="Y73" s="16">
        <f t="shared" si="1"/>
        <v>2023</v>
      </c>
    </row>
    <row r="74" spans="4:25" ht="16" x14ac:dyDescent="0.2">
      <c r="D74" s="10">
        <v>1315</v>
      </c>
      <c r="E74" s="7" t="s">
        <v>33</v>
      </c>
      <c r="J74" s="4">
        <v>3316</v>
      </c>
      <c r="K74" s="9" t="s">
        <v>21</v>
      </c>
      <c r="L74" s="10">
        <v>6776</v>
      </c>
      <c r="M74" s="7" t="s">
        <v>51</v>
      </c>
      <c r="Q74" s="9"/>
      <c r="U74" s="12">
        <v>1315</v>
      </c>
      <c r="V74" s="13" t="s">
        <v>33</v>
      </c>
      <c r="W74" s="18" t="str">
        <f>TEXT(VLOOKUP(U74, News!A:C, 3, FALSE), "M/D/YYYY")</f>
        <v>9/1/2017</v>
      </c>
      <c r="X74" s="18">
        <f>DATE(YEAR(W74),MONTH(Metrics!$B$5), DAY(Metrics!$B$5))</f>
        <v>42979</v>
      </c>
      <c r="Y74" s="16">
        <f t="shared" si="1"/>
        <v>2018</v>
      </c>
    </row>
    <row r="75" spans="4:25" ht="16" x14ac:dyDescent="0.2">
      <c r="D75" s="10">
        <v>4291</v>
      </c>
      <c r="E75" s="7" t="s">
        <v>33</v>
      </c>
      <c r="J75" s="4">
        <v>3334</v>
      </c>
      <c r="K75" s="9" t="s">
        <v>21</v>
      </c>
      <c r="L75" s="10">
        <v>6871</v>
      </c>
      <c r="M75" s="7" t="s">
        <v>51</v>
      </c>
      <c r="Q75" s="9"/>
      <c r="U75" s="12">
        <v>4291</v>
      </c>
      <c r="V75" s="13" t="s">
        <v>33</v>
      </c>
      <c r="W75" s="18" t="str">
        <f>TEXT(VLOOKUP(U75, News!A:C, 3, FALSE), "M/D/YYYY")</f>
        <v>7/25/2019</v>
      </c>
      <c r="X75" s="18">
        <f>DATE(YEAR(W75),MONTH(Metrics!$B$5), DAY(Metrics!$B$5))</f>
        <v>43709</v>
      </c>
      <c r="Y75" s="16">
        <f t="shared" si="1"/>
        <v>2019</v>
      </c>
    </row>
    <row r="76" spans="4:25" ht="16" x14ac:dyDescent="0.2">
      <c r="D76" s="10">
        <v>4368</v>
      </c>
      <c r="E76" s="7" t="s">
        <v>33</v>
      </c>
      <c r="J76" s="4">
        <v>3460</v>
      </c>
      <c r="K76" s="9" t="s">
        <v>21</v>
      </c>
      <c r="L76" s="10">
        <v>6885</v>
      </c>
      <c r="M76" s="7" t="s">
        <v>51</v>
      </c>
      <c r="Q76" s="9"/>
      <c r="U76" s="12">
        <v>4368</v>
      </c>
      <c r="V76" s="13" t="s">
        <v>33</v>
      </c>
      <c r="W76" s="18" t="str">
        <f>TEXT(VLOOKUP(U76, News!A:C, 3, FALSE), "M/D/YYYY")</f>
        <v>9/5/2019</v>
      </c>
      <c r="X76" s="18">
        <f>DATE(YEAR(W76),MONTH(Metrics!$B$5), DAY(Metrics!$B$5))</f>
        <v>43709</v>
      </c>
      <c r="Y76" s="16">
        <f t="shared" si="1"/>
        <v>2020</v>
      </c>
    </row>
    <row r="77" spans="4:25" ht="16" x14ac:dyDescent="0.2">
      <c r="D77" s="10">
        <v>5112</v>
      </c>
      <c r="E77" s="7" t="s">
        <v>33</v>
      </c>
      <c r="J77" s="4">
        <v>3537</v>
      </c>
      <c r="K77" s="9" t="s">
        <v>21</v>
      </c>
      <c r="L77" s="10">
        <v>6919</v>
      </c>
      <c r="M77" s="7" t="s">
        <v>51</v>
      </c>
      <c r="Q77" s="9"/>
      <c r="U77" s="12">
        <v>5112</v>
      </c>
      <c r="V77" s="13" t="s">
        <v>33</v>
      </c>
      <c r="W77" s="18" t="str">
        <f>TEXT(VLOOKUP(U77, News!A:C, 3, FALSE), "M/D/YYYY")</f>
        <v>9/17/2020</v>
      </c>
      <c r="X77" s="18">
        <f>DATE(YEAR(W77),MONTH(Metrics!$B$5), DAY(Metrics!$B$5))</f>
        <v>44075</v>
      </c>
      <c r="Y77" s="16">
        <f t="shared" si="1"/>
        <v>2021</v>
      </c>
    </row>
    <row r="78" spans="4:25" ht="16" x14ac:dyDescent="0.2">
      <c r="D78" s="10">
        <v>5939</v>
      </c>
      <c r="E78" s="7" t="s">
        <v>33</v>
      </c>
      <c r="J78" s="4">
        <v>3551</v>
      </c>
      <c r="K78" s="9" t="s">
        <v>21</v>
      </c>
      <c r="L78" s="10">
        <v>7033</v>
      </c>
      <c r="M78" s="7" t="s">
        <v>51</v>
      </c>
      <c r="Q78" s="9"/>
      <c r="U78" s="12">
        <v>5939</v>
      </c>
      <c r="V78" s="13" t="s">
        <v>33</v>
      </c>
      <c r="W78" s="18" t="str">
        <f>TEXT(VLOOKUP(U78, News!A:C, 3, FALSE), "M/D/YYYY")</f>
        <v>4/12/2021</v>
      </c>
      <c r="X78" s="18">
        <f>DATE(YEAR(W78),MONTH(Metrics!$B$5), DAY(Metrics!$B$5))</f>
        <v>44440</v>
      </c>
      <c r="Y78" s="16">
        <f t="shared" si="1"/>
        <v>2021</v>
      </c>
    </row>
    <row r="79" spans="4:25" ht="16" x14ac:dyDescent="0.2">
      <c r="D79" s="10">
        <v>7285</v>
      </c>
      <c r="E79" s="7" t="s">
        <v>33</v>
      </c>
      <c r="J79" s="4">
        <v>3558</v>
      </c>
      <c r="K79" s="9" t="s">
        <v>21</v>
      </c>
      <c r="L79" s="10">
        <v>7066</v>
      </c>
      <c r="M79" s="7" t="s">
        <v>51</v>
      </c>
      <c r="Q79" s="9"/>
      <c r="U79" s="12">
        <v>7285</v>
      </c>
      <c r="V79" s="13" t="s">
        <v>33</v>
      </c>
      <c r="W79" s="18" t="str">
        <f>TEXT(VLOOKUP(U79, News!A:C, 3, FALSE), "M/D/YYYY")</f>
        <v>8/3/2022</v>
      </c>
      <c r="X79" s="18">
        <f>DATE(YEAR(W79),MONTH(Metrics!$B$5), DAY(Metrics!$B$5))</f>
        <v>44805</v>
      </c>
      <c r="Y79" s="16">
        <f t="shared" si="1"/>
        <v>2022</v>
      </c>
    </row>
    <row r="80" spans="4:25" ht="16" x14ac:dyDescent="0.2">
      <c r="D80" s="10">
        <v>7643</v>
      </c>
      <c r="E80" s="7" t="s">
        <v>33</v>
      </c>
      <c r="J80" s="4">
        <v>3562</v>
      </c>
      <c r="K80" s="9" t="s">
        <v>21</v>
      </c>
      <c r="L80" s="10">
        <v>7084</v>
      </c>
      <c r="M80" s="7" t="s">
        <v>51</v>
      </c>
      <c r="Q80" s="9"/>
      <c r="U80" s="12">
        <v>7643</v>
      </c>
      <c r="V80" s="13" t="s">
        <v>33</v>
      </c>
      <c r="W80" s="18" t="str">
        <f>TEXT(VLOOKUP(U80, News!A:C, 3, FALSE), "M/D/YYYY")</f>
        <v>10/18/2022</v>
      </c>
      <c r="X80" s="18">
        <f>DATE(YEAR(W80),MONTH(Metrics!$B$5), DAY(Metrics!$B$5))</f>
        <v>44805</v>
      </c>
      <c r="Y80" s="16">
        <f t="shared" si="1"/>
        <v>2023</v>
      </c>
    </row>
    <row r="81" spans="4:25" ht="16" x14ac:dyDescent="0.2">
      <c r="D81" s="10">
        <v>1343</v>
      </c>
      <c r="E81" s="7" t="s">
        <v>33</v>
      </c>
      <c r="J81" s="4">
        <v>3634</v>
      </c>
      <c r="K81" s="9" t="s">
        <v>21</v>
      </c>
      <c r="L81" s="10">
        <v>7104</v>
      </c>
      <c r="M81" s="7" t="s">
        <v>51</v>
      </c>
      <c r="Q81" s="9"/>
      <c r="U81" s="12">
        <v>1343</v>
      </c>
      <c r="V81" s="13" t="s">
        <v>33</v>
      </c>
      <c r="W81" s="18" t="str">
        <f>TEXT(VLOOKUP(U81, News!A:C, 3, FALSE), "M/D/YYYY")</f>
        <v>9/15/2017</v>
      </c>
      <c r="X81" s="18">
        <f>DATE(YEAR(W81),MONTH(Metrics!$B$5), DAY(Metrics!$B$5))</f>
        <v>42979</v>
      </c>
      <c r="Y81" s="16">
        <f t="shared" si="1"/>
        <v>2018</v>
      </c>
    </row>
    <row r="82" spans="4:25" ht="16" x14ac:dyDescent="0.2">
      <c r="D82" s="10">
        <v>2521</v>
      </c>
      <c r="E82" s="7" t="s">
        <v>33</v>
      </c>
      <c r="J82" s="4">
        <v>3639</v>
      </c>
      <c r="K82" s="9" t="s">
        <v>21</v>
      </c>
      <c r="L82" s="10">
        <v>7146</v>
      </c>
      <c r="M82" s="7" t="s">
        <v>51</v>
      </c>
      <c r="Q82" s="9"/>
      <c r="U82" s="12">
        <v>2521</v>
      </c>
      <c r="V82" s="13" t="s">
        <v>33</v>
      </c>
      <c r="W82" s="18" t="str">
        <f>TEXT(VLOOKUP(U82, News!A:C, 3, FALSE), "M/D/YYYY")</f>
        <v>1/30/2017</v>
      </c>
      <c r="X82" s="18">
        <f>DATE(YEAR(W82),MONTH(Metrics!$B$5), DAY(Metrics!$B$5))</f>
        <v>42979</v>
      </c>
      <c r="Y82" s="16">
        <f t="shared" si="1"/>
        <v>2017</v>
      </c>
    </row>
    <row r="83" spans="4:25" ht="16" x14ac:dyDescent="0.2">
      <c r="D83" s="10">
        <v>3002</v>
      </c>
      <c r="E83" s="7" t="s">
        <v>33</v>
      </c>
      <c r="J83" s="4">
        <v>3642</v>
      </c>
      <c r="K83" s="9" t="s">
        <v>21</v>
      </c>
      <c r="L83" s="10">
        <v>7177</v>
      </c>
      <c r="M83" s="7" t="s">
        <v>51</v>
      </c>
      <c r="Q83" s="9"/>
      <c r="U83" s="12">
        <v>3002</v>
      </c>
      <c r="V83" s="13" t="s">
        <v>33</v>
      </c>
      <c r="W83" s="18" t="str">
        <f>TEXT(VLOOKUP(U83, News!A:C, 3, FALSE), "M/D/YYYY")</f>
        <v>11/26/2016</v>
      </c>
      <c r="X83" s="18">
        <f>DATE(YEAR(W83),MONTH(Metrics!$B$5), DAY(Metrics!$B$5))</f>
        <v>42614</v>
      </c>
      <c r="Y83" s="16">
        <f t="shared" si="1"/>
        <v>2017</v>
      </c>
    </row>
    <row r="84" spans="4:25" ht="16" x14ac:dyDescent="0.2">
      <c r="D84" s="10">
        <v>6606</v>
      </c>
      <c r="E84" s="7" t="s">
        <v>33</v>
      </c>
      <c r="J84" s="4">
        <v>3654</v>
      </c>
      <c r="K84" s="9" t="s">
        <v>21</v>
      </c>
      <c r="L84" s="10">
        <v>7243</v>
      </c>
      <c r="M84" s="7" t="s">
        <v>51</v>
      </c>
      <c r="Q84" s="9"/>
      <c r="U84" s="12">
        <v>6606</v>
      </c>
      <c r="V84" s="13" t="s">
        <v>33</v>
      </c>
      <c r="W84" s="18" t="str">
        <f>TEXT(VLOOKUP(U84, News!A:C, 3, FALSE), "M/D/YYYY")</f>
        <v>11/1/2021</v>
      </c>
      <c r="X84" s="18">
        <f>DATE(YEAR(W84),MONTH(Metrics!$B$5), DAY(Metrics!$B$5))</f>
        <v>44440</v>
      </c>
      <c r="Y84" s="16">
        <f t="shared" si="1"/>
        <v>2022</v>
      </c>
    </row>
    <row r="85" spans="4:25" ht="16" x14ac:dyDescent="0.2">
      <c r="D85" s="10">
        <v>6926</v>
      </c>
      <c r="E85" s="7" t="s">
        <v>33</v>
      </c>
      <c r="J85" s="4">
        <v>3724</v>
      </c>
      <c r="K85" s="9" t="s">
        <v>21</v>
      </c>
      <c r="L85" s="10">
        <v>7296</v>
      </c>
      <c r="M85" s="7" t="s">
        <v>51</v>
      </c>
      <c r="Q85" s="9"/>
      <c r="U85" s="12">
        <v>6926</v>
      </c>
      <c r="V85" s="13" t="s">
        <v>33</v>
      </c>
      <c r="W85" s="18" t="str">
        <f>TEXT(VLOOKUP(U85, News!A:C, 3, FALSE), "M/D/YYYY")</f>
        <v>2/24/2022</v>
      </c>
      <c r="X85" s="18">
        <f>DATE(YEAR(W85),MONTH(Metrics!$B$5), DAY(Metrics!$B$5))</f>
        <v>44805</v>
      </c>
      <c r="Y85" s="16">
        <f t="shared" si="1"/>
        <v>2022</v>
      </c>
    </row>
    <row r="86" spans="4:25" ht="16" x14ac:dyDescent="0.2">
      <c r="D86" s="10">
        <v>1465</v>
      </c>
      <c r="E86" s="7" t="s">
        <v>33</v>
      </c>
      <c r="J86" s="4">
        <v>3739</v>
      </c>
      <c r="K86" s="9" t="s">
        <v>21</v>
      </c>
      <c r="L86" s="10">
        <v>7698</v>
      </c>
      <c r="M86" s="7" t="s">
        <v>51</v>
      </c>
      <c r="Q86" s="9"/>
      <c r="U86" s="12">
        <v>1465</v>
      </c>
      <c r="V86" s="13" t="s">
        <v>33</v>
      </c>
      <c r="W86" s="18" t="str">
        <f>TEXT(VLOOKUP(U86, News!A:C, 3, FALSE), "M/D/YYYY")</f>
        <v>12/1/2017</v>
      </c>
      <c r="X86" s="18">
        <f>DATE(YEAR(W86),MONTH(Metrics!$B$5), DAY(Metrics!$B$5))</f>
        <v>42979</v>
      </c>
      <c r="Y86" s="16">
        <f t="shared" si="1"/>
        <v>2018</v>
      </c>
    </row>
    <row r="87" spans="4:25" ht="16" x14ac:dyDescent="0.2">
      <c r="D87" s="10">
        <v>3274</v>
      </c>
      <c r="E87" s="7" t="s">
        <v>33</v>
      </c>
      <c r="J87" s="4">
        <v>3743</v>
      </c>
      <c r="K87" s="9" t="s">
        <v>21</v>
      </c>
      <c r="L87" s="10">
        <v>7918</v>
      </c>
      <c r="M87" s="7" t="s">
        <v>51</v>
      </c>
      <c r="Q87" s="9"/>
      <c r="U87" s="12">
        <v>3274</v>
      </c>
      <c r="V87" s="13" t="s">
        <v>33</v>
      </c>
      <c r="W87" s="18" t="str">
        <f>TEXT(VLOOKUP(U87, News!A:C, 3, FALSE), "M/D/YYYY")</f>
        <v>1/10/2019</v>
      </c>
      <c r="X87" s="18">
        <f>DATE(YEAR(W87),MONTH(Metrics!$B$5), DAY(Metrics!$B$5))</f>
        <v>43709</v>
      </c>
      <c r="Y87" s="16">
        <f t="shared" si="1"/>
        <v>2019</v>
      </c>
    </row>
    <row r="88" spans="4:25" ht="16" x14ac:dyDescent="0.2">
      <c r="D88" s="10">
        <v>5864</v>
      </c>
      <c r="E88" s="7" t="s">
        <v>33</v>
      </c>
      <c r="J88" s="4">
        <v>3868</v>
      </c>
      <c r="K88" s="9" t="s">
        <v>21</v>
      </c>
      <c r="L88" s="10">
        <v>3539</v>
      </c>
      <c r="M88" s="7" t="s">
        <v>51</v>
      </c>
      <c r="Q88" s="9"/>
      <c r="U88" s="12">
        <v>5864</v>
      </c>
      <c r="V88" s="13" t="s">
        <v>33</v>
      </c>
      <c r="W88" s="18" t="str">
        <f>TEXT(VLOOKUP(U88, News!A:C, 3, FALSE), "M/D/YYYY")</f>
        <v>3/12/2021</v>
      </c>
      <c r="X88" s="18">
        <f>DATE(YEAR(W88),MONTH(Metrics!$B$5), DAY(Metrics!$B$5))</f>
        <v>44440</v>
      </c>
      <c r="Y88" s="16">
        <f t="shared" si="1"/>
        <v>2021</v>
      </c>
    </row>
    <row r="89" spans="4:25" ht="16" x14ac:dyDescent="0.2">
      <c r="D89" s="10">
        <v>7325</v>
      </c>
      <c r="E89" s="7" t="s">
        <v>33</v>
      </c>
      <c r="J89" s="4">
        <v>3872</v>
      </c>
      <c r="K89" s="9" t="s">
        <v>21</v>
      </c>
      <c r="L89" s="10">
        <v>7797</v>
      </c>
      <c r="M89" s="7" t="s">
        <v>51</v>
      </c>
      <c r="Q89" s="9"/>
      <c r="U89" s="12">
        <v>7325</v>
      </c>
      <c r="V89" s="13" t="s">
        <v>33</v>
      </c>
      <c r="W89" s="18" t="str">
        <f>TEXT(VLOOKUP(U89, News!A:C, 3, FALSE), "M/D/YYYY")</f>
        <v>8/11/2022</v>
      </c>
      <c r="X89" s="18">
        <f>DATE(YEAR(W89),MONTH(Metrics!$B$5), DAY(Metrics!$B$5))</f>
        <v>44805</v>
      </c>
      <c r="Y89" s="16">
        <f t="shared" si="1"/>
        <v>2022</v>
      </c>
    </row>
    <row r="90" spans="4:25" ht="16" x14ac:dyDescent="0.2">
      <c r="D90" s="10">
        <v>7449</v>
      </c>
      <c r="E90" s="7" t="s">
        <v>33</v>
      </c>
      <c r="J90" s="4">
        <v>4010</v>
      </c>
      <c r="K90" s="9" t="s">
        <v>21</v>
      </c>
      <c r="Q90" s="9"/>
      <c r="U90" s="12">
        <v>7449</v>
      </c>
      <c r="V90" s="13" t="s">
        <v>33</v>
      </c>
      <c r="W90" s="18" t="str">
        <f>TEXT(VLOOKUP(U90, News!A:C, 3, FALSE), "M/D/YYYY")</f>
        <v>8/29/2022</v>
      </c>
      <c r="X90" s="18">
        <f>DATE(YEAR(W90),MONTH(Metrics!$B$5), DAY(Metrics!$B$5))</f>
        <v>44805</v>
      </c>
      <c r="Y90" s="16">
        <f t="shared" si="1"/>
        <v>2022</v>
      </c>
    </row>
    <row r="91" spans="4:25" ht="16" x14ac:dyDescent="0.2">
      <c r="D91" s="10">
        <v>7765</v>
      </c>
      <c r="E91" s="7" t="s">
        <v>33</v>
      </c>
      <c r="J91" s="4">
        <v>4085</v>
      </c>
      <c r="K91" s="9" t="s">
        <v>21</v>
      </c>
      <c r="Q91" s="9"/>
      <c r="U91" s="12">
        <v>7765</v>
      </c>
      <c r="V91" s="13" t="s">
        <v>33</v>
      </c>
      <c r="W91" s="18" t="str">
        <f>TEXT(VLOOKUP(U91, News!A:C, 3, FALSE), "M/D/YYYY")</f>
        <v>12/16/2022</v>
      </c>
      <c r="X91" s="18">
        <f>DATE(YEAR(W91),MONTH(Metrics!$B$5), DAY(Metrics!$B$5))</f>
        <v>44805</v>
      </c>
      <c r="Y91" s="16">
        <f t="shared" si="1"/>
        <v>2023</v>
      </c>
    </row>
    <row r="92" spans="4:25" ht="16" x14ac:dyDescent="0.2">
      <c r="D92" s="10">
        <v>769</v>
      </c>
      <c r="E92" s="7" t="s">
        <v>33</v>
      </c>
      <c r="J92" s="4">
        <v>4096</v>
      </c>
      <c r="K92" s="9" t="s">
        <v>21</v>
      </c>
      <c r="Q92" s="9"/>
      <c r="U92" s="12">
        <v>769</v>
      </c>
      <c r="V92" s="13" t="s">
        <v>33</v>
      </c>
      <c r="W92" s="18" t="str">
        <f>TEXT(VLOOKUP(U92, News!A:C, 3, FALSE), "M/D/YYYY")</f>
        <v>3/21/2018</v>
      </c>
      <c r="X92" s="18">
        <f>DATE(YEAR(W92),MONTH(Metrics!$B$5), DAY(Metrics!$B$5))</f>
        <v>43344</v>
      </c>
      <c r="Y92" s="16">
        <f t="shared" si="1"/>
        <v>2018</v>
      </c>
    </row>
    <row r="93" spans="4:25" ht="16" x14ac:dyDescent="0.2">
      <c r="D93" s="10">
        <v>1368</v>
      </c>
      <c r="E93" s="7" t="s">
        <v>33</v>
      </c>
      <c r="J93" s="4">
        <v>4100</v>
      </c>
      <c r="K93" s="9" t="s">
        <v>21</v>
      </c>
      <c r="Q93" s="9"/>
      <c r="U93" s="12">
        <v>1368</v>
      </c>
      <c r="V93" s="13" t="s">
        <v>33</v>
      </c>
      <c r="W93" s="18" t="str">
        <f>TEXT(VLOOKUP(U93, News!A:C, 3, FALSE), "M/D/YYYY")</f>
        <v>10/14/2017</v>
      </c>
      <c r="X93" s="18">
        <f>DATE(YEAR(W93),MONTH(Metrics!$B$5), DAY(Metrics!$B$5))</f>
        <v>42979</v>
      </c>
      <c r="Y93" s="16">
        <f t="shared" si="1"/>
        <v>2018</v>
      </c>
    </row>
    <row r="94" spans="4:25" ht="16" x14ac:dyDescent="0.2">
      <c r="D94" s="10">
        <v>1381</v>
      </c>
      <c r="E94" s="7" t="s">
        <v>33</v>
      </c>
      <c r="J94" s="4">
        <v>4151</v>
      </c>
      <c r="K94" s="9" t="s">
        <v>21</v>
      </c>
      <c r="Q94" s="9"/>
      <c r="U94" s="12">
        <v>1381</v>
      </c>
      <c r="V94" s="13" t="s">
        <v>33</v>
      </c>
      <c r="W94" s="18" t="str">
        <f>TEXT(VLOOKUP(U94, News!A:C, 3, FALSE), "M/D/YYYY")</f>
        <v>11/2/2017</v>
      </c>
      <c r="X94" s="18">
        <f>DATE(YEAR(W94),MONTH(Metrics!$B$5), DAY(Metrics!$B$5))</f>
        <v>42979</v>
      </c>
      <c r="Y94" s="16">
        <f t="shared" si="1"/>
        <v>2018</v>
      </c>
    </row>
    <row r="95" spans="4:25" ht="16" x14ac:dyDescent="0.2">
      <c r="D95" s="10">
        <v>4641</v>
      </c>
      <c r="E95" s="7" t="s">
        <v>33</v>
      </c>
      <c r="J95" s="4">
        <v>4172</v>
      </c>
      <c r="K95" s="9" t="s">
        <v>21</v>
      </c>
      <c r="Q95" s="9"/>
      <c r="U95" s="12">
        <v>4641</v>
      </c>
      <c r="V95" s="13" t="s">
        <v>33</v>
      </c>
      <c r="W95" s="18" t="str">
        <f>TEXT(VLOOKUP(U95, News!A:C, 3, FALSE), "M/D/YYYY")</f>
        <v>12/2/2019</v>
      </c>
      <c r="X95" s="18">
        <f>DATE(YEAR(W95),MONTH(Metrics!$B$5), DAY(Metrics!$B$5))</f>
        <v>43709</v>
      </c>
      <c r="Y95" s="16">
        <f t="shared" si="1"/>
        <v>2020</v>
      </c>
    </row>
    <row r="96" spans="4:25" ht="16" x14ac:dyDescent="0.2">
      <c r="D96" s="10">
        <v>7024</v>
      </c>
      <c r="E96" s="7" t="s">
        <v>33</v>
      </c>
      <c r="J96" s="4">
        <v>4174</v>
      </c>
      <c r="K96" s="9" t="s">
        <v>21</v>
      </c>
      <c r="Q96" s="9"/>
      <c r="U96" s="12">
        <v>7024</v>
      </c>
      <c r="V96" s="13" t="s">
        <v>33</v>
      </c>
      <c r="W96" s="18" t="str">
        <f>TEXT(VLOOKUP(U96, News!A:C, 3, FALSE), "M/D/YYYY")</f>
        <v>4/1/2022</v>
      </c>
      <c r="X96" s="18">
        <f>DATE(YEAR(W96),MONTH(Metrics!$B$5), DAY(Metrics!$B$5))</f>
        <v>44805</v>
      </c>
      <c r="Y96" s="16">
        <f t="shared" si="1"/>
        <v>2022</v>
      </c>
    </row>
    <row r="97" spans="10:25" ht="16" x14ac:dyDescent="0.2">
      <c r="J97" s="4">
        <v>4225</v>
      </c>
      <c r="K97" s="9" t="s">
        <v>21</v>
      </c>
      <c r="U97" s="12">
        <v>3212</v>
      </c>
      <c r="V97" s="13" t="s">
        <v>10</v>
      </c>
      <c r="W97" s="18" t="str">
        <f>TEXT(VLOOKUP(U97, News!A:C, 3, FALSE), "M/D/YYYY")</f>
        <v>9/14/2016</v>
      </c>
      <c r="X97" s="18">
        <f>DATE(YEAR(W97),MONTH(Metrics!$B$5), DAY(Metrics!$B$5))</f>
        <v>42614</v>
      </c>
      <c r="Y97" s="16">
        <f t="shared" si="1"/>
        <v>2017</v>
      </c>
    </row>
    <row r="98" spans="10:25" ht="16" x14ac:dyDescent="0.2">
      <c r="J98" s="4">
        <v>4280</v>
      </c>
      <c r="K98" s="9" t="s">
        <v>21</v>
      </c>
      <c r="U98" s="12">
        <v>4765</v>
      </c>
      <c r="V98" s="13" t="s">
        <v>10</v>
      </c>
      <c r="W98" s="18" t="str">
        <f>TEXT(VLOOKUP(U98, News!A:C, 3, FALSE), "M/D/YYYY")</f>
        <v>12/10/2019</v>
      </c>
      <c r="X98" s="18">
        <f>DATE(YEAR(W98),MONTH(Metrics!$B$5), DAY(Metrics!$B$5))</f>
        <v>43709</v>
      </c>
      <c r="Y98" s="16">
        <f t="shared" si="1"/>
        <v>2020</v>
      </c>
    </row>
    <row r="99" spans="10:25" ht="16" x14ac:dyDescent="0.2">
      <c r="J99" s="4">
        <v>4283</v>
      </c>
      <c r="K99" s="9" t="s">
        <v>21</v>
      </c>
      <c r="U99" s="12">
        <v>7060</v>
      </c>
      <c r="V99" s="13" t="s">
        <v>10</v>
      </c>
      <c r="W99" s="18" t="str">
        <f>TEXT(VLOOKUP(U99, News!A:C, 3, FALSE), "M/D/YYYY")</f>
        <v>4/18/2022</v>
      </c>
      <c r="X99" s="18">
        <f>DATE(YEAR(W99),MONTH(Metrics!$B$5), DAY(Metrics!$B$5))</f>
        <v>44805</v>
      </c>
      <c r="Y99" s="16">
        <f t="shared" si="1"/>
        <v>2022</v>
      </c>
    </row>
    <row r="100" spans="10:25" ht="16" x14ac:dyDescent="0.2">
      <c r="J100" s="4">
        <v>4328</v>
      </c>
      <c r="K100" s="9" t="s">
        <v>21</v>
      </c>
      <c r="U100" s="12">
        <v>2338</v>
      </c>
      <c r="V100" s="13" t="s">
        <v>10</v>
      </c>
      <c r="W100" s="18" t="str">
        <f>TEXT(VLOOKUP(U100, News!A:C, 3, FALSE), "M/D/YYYY")</f>
        <v>4/30/2017</v>
      </c>
      <c r="X100" s="18">
        <f>DATE(YEAR(W100),MONTH(Metrics!$B$5), DAY(Metrics!$B$5))</f>
        <v>42979</v>
      </c>
      <c r="Y100" s="16">
        <f t="shared" si="1"/>
        <v>2017</v>
      </c>
    </row>
    <row r="101" spans="10:25" ht="16" x14ac:dyDescent="0.2">
      <c r="J101" s="4">
        <v>4466</v>
      </c>
      <c r="K101" s="9" t="s">
        <v>21</v>
      </c>
      <c r="U101" s="12">
        <v>2525</v>
      </c>
      <c r="V101" s="13" t="s">
        <v>10</v>
      </c>
      <c r="W101" s="18" t="str">
        <f>TEXT(VLOOKUP(U101, News!A:C, 3, FALSE), "M/D/YYYY")</f>
        <v>1/28/2017</v>
      </c>
      <c r="X101" s="18">
        <f>DATE(YEAR(W101),MONTH(Metrics!$B$5), DAY(Metrics!$B$5))</f>
        <v>42979</v>
      </c>
      <c r="Y101" s="16">
        <f t="shared" si="1"/>
        <v>2017</v>
      </c>
    </row>
    <row r="102" spans="10:25" ht="16" x14ac:dyDescent="0.2">
      <c r="J102" s="4">
        <v>4476</v>
      </c>
      <c r="K102" s="9" t="s">
        <v>21</v>
      </c>
      <c r="U102" s="12">
        <v>5535</v>
      </c>
      <c r="V102" s="13" t="s">
        <v>10</v>
      </c>
      <c r="W102" s="18" t="str">
        <f>TEXT(VLOOKUP(U102, News!A:C, 3, FALSE), "M/D/YYYY")</f>
        <v>10/30/2020</v>
      </c>
      <c r="X102" s="18">
        <f>DATE(YEAR(W102),MONTH(Metrics!$B$5), DAY(Metrics!$B$5))</f>
        <v>44075</v>
      </c>
      <c r="Y102" s="16">
        <f t="shared" si="1"/>
        <v>2021</v>
      </c>
    </row>
    <row r="103" spans="10:25" ht="16" x14ac:dyDescent="0.2">
      <c r="J103" s="4">
        <v>4650</v>
      </c>
      <c r="K103" s="9" t="s">
        <v>21</v>
      </c>
      <c r="U103" s="12">
        <v>5883</v>
      </c>
      <c r="V103" s="13" t="s">
        <v>10</v>
      </c>
      <c r="W103" s="18" t="str">
        <f>TEXT(VLOOKUP(U103, News!A:C, 3, FALSE), "M/D/YYYY")</f>
        <v>3/18/2021</v>
      </c>
      <c r="X103" s="18">
        <f>DATE(YEAR(W103),MONTH(Metrics!$B$5), DAY(Metrics!$B$5))</f>
        <v>44440</v>
      </c>
      <c r="Y103" s="16">
        <f t="shared" si="1"/>
        <v>2021</v>
      </c>
    </row>
    <row r="104" spans="10:25" ht="16" x14ac:dyDescent="0.2">
      <c r="J104" s="4">
        <v>4763</v>
      </c>
      <c r="K104" s="9" t="s">
        <v>21</v>
      </c>
      <c r="U104" s="12">
        <v>7040</v>
      </c>
      <c r="V104" s="13" t="s">
        <v>10</v>
      </c>
      <c r="W104" s="18" t="str">
        <f>TEXT(VLOOKUP(U104, News!A:C, 3, FALSE), "M/D/YYYY")</f>
        <v>4/8/2022</v>
      </c>
      <c r="X104" s="18">
        <f>DATE(YEAR(W104),MONTH(Metrics!$B$5), DAY(Metrics!$B$5))</f>
        <v>44805</v>
      </c>
      <c r="Y104" s="16">
        <f t="shared" si="1"/>
        <v>2022</v>
      </c>
    </row>
    <row r="105" spans="10:25" ht="16" x14ac:dyDescent="0.2">
      <c r="J105" s="4">
        <v>4899</v>
      </c>
      <c r="K105" s="9" t="s">
        <v>21</v>
      </c>
      <c r="U105" s="12">
        <v>7357</v>
      </c>
      <c r="V105" s="13" t="s">
        <v>10</v>
      </c>
      <c r="W105" s="18" t="str">
        <f>TEXT(VLOOKUP(U105, News!A:C, 3, FALSE), "M/D/YYYY")</f>
        <v>9/1/2022</v>
      </c>
      <c r="X105" s="18">
        <f>DATE(YEAR(W105),MONTH(Metrics!$B$5), DAY(Metrics!$B$5))</f>
        <v>44805</v>
      </c>
      <c r="Y105" s="16">
        <f t="shared" si="1"/>
        <v>2023</v>
      </c>
    </row>
    <row r="106" spans="10:25" ht="16" x14ac:dyDescent="0.2">
      <c r="J106" s="4">
        <v>4921</v>
      </c>
      <c r="K106" s="9" t="s">
        <v>21</v>
      </c>
      <c r="U106" s="12">
        <v>7358</v>
      </c>
      <c r="V106" s="13" t="s">
        <v>10</v>
      </c>
      <c r="W106" s="18" t="str">
        <f>TEXT(VLOOKUP(U106, News!A:C, 3, FALSE), "M/D/YYYY")</f>
        <v>9/12/2022</v>
      </c>
      <c r="X106" s="18">
        <f>DATE(YEAR(W106),MONTH(Metrics!$B$5), DAY(Metrics!$B$5))</f>
        <v>44805</v>
      </c>
      <c r="Y106" s="16">
        <f t="shared" si="1"/>
        <v>2023</v>
      </c>
    </row>
    <row r="107" spans="10:25" ht="16" x14ac:dyDescent="0.2">
      <c r="J107" s="4">
        <v>4964</v>
      </c>
      <c r="K107" s="9" t="s">
        <v>21</v>
      </c>
      <c r="U107" s="12">
        <v>7355</v>
      </c>
      <c r="V107" s="13" t="s">
        <v>10</v>
      </c>
      <c r="W107" s="18" t="str">
        <f>TEXT(VLOOKUP(U107, News!A:C, 3, FALSE), "M/D/YYYY")</f>
        <v>9/16/2022</v>
      </c>
      <c r="X107" s="18">
        <f>DATE(YEAR(W107),MONTH(Metrics!$B$5), DAY(Metrics!$B$5))</f>
        <v>44805</v>
      </c>
      <c r="Y107" s="16">
        <f t="shared" si="1"/>
        <v>2023</v>
      </c>
    </row>
    <row r="108" spans="10:25" ht="16" x14ac:dyDescent="0.2">
      <c r="J108" s="4">
        <v>5523</v>
      </c>
      <c r="K108" s="9" t="s">
        <v>21</v>
      </c>
      <c r="U108" s="12">
        <v>7881</v>
      </c>
      <c r="V108" s="13" t="s">
        <v>10</v>
      </c>
      <c r="W108" s="18" t="str">
        <f>TEXT(VLOOKUP(U108, News!A:C, 3, FALSE), "M/D/YYYY")</f>
        <v>1/10/2023</v>
      </c>
      <c r="X108" s="18">
        <f>DATE(YEAR(W108),MONTH(Metrics!$B$5), DAY(Metrics!$B$5))</f>
        <v>45170</v>
      </c>
      <c r="Y108" s="16">
        <f t="shared" si="1"/>
        <v>2023</v>
      </c>
    </row>
    <row r="109" spans="10:25" ht="16" x14ac:dyDescent="0.2">
      <c r="J109" s="4">
        <v>5759</v>
      </c>
      <c r="K109" s="9" t="s">
        <v>21</v>
      </c>
      <c r="U109" s="12">
        <v>8204</v>
      </c>
      <c r="V109" s="13" t="s">
        <v>10</v>
      </c>
      <c r="W109" s="18" t="str">
        <f>TEXT(VLOOKUP(U109, News!A:C, 3, FALSE), "M/D/YYYY")</f>
        <v>4/18/2023</v>
      </c>
      <c r="X109" s="18">
        <f>DATE(YEAR(W109),MONTH(Metrics!$B$5), DAY(Metrics!$B$5))</f>
        <v>45170</v>
      </c>
      <c r="Y109" s="16">
        <f t="shared" si="1"/>
        <v>2023</v>
      </c>
    </row>
    <row r="110" spans="10:25" ht="16" x14ac:dyDescent="0.2">
      <c r="J110" s="4">
        <v>5842</v>
      </c>
      <c r="K110" s="9" t="s">
        <v>21</v>
      </c>
      <c r="U110" s="12">
        <v>4816</v>
      </c>
      <c r="V110" s="13" t="s">
        <v>10</v>
      </c>
      <c r="W110" s="18" t="str">
        <f>TEXT(VLOOKUP(U110, News!A:C, 3, FALSE), "M/D/YYYY")</f>
        <v>1/10/2020</v>
      </c>
      <c r="X110" s="18">
        <f>DATE(YEAR(W110),MONTH(Metrics!$B$5), DAY(Metrics!$B$5))</f>
        <v>44075</v>
      </c>
      <c r="Y110" s="16">
        <f t="shared" si="1"/>
        <v>2020</v>
      </c>
    </row>
    <row r="111" spans="10:25" ht="16" x14ac:dyDescent="0.2">
      <c r="J111" s="4">
        <v>5863</v>
      </c>
      <c r="K111" s="9" t="s">
        <v>21</v>
      </c>
      <c r="U111" s="12">
        <v>7954</v>
      </c>
      <c r="V111" s="13" t="s">
        <v>10</v>
      </c>
      <c r="W111" s="18" t="str">
        <f>TEXT(VLOOKUP(U111, News!A:C, 3, FALSE), "M/D/YYYY")</f>
        <v>1/23/2023</v>
      </c>
      <c r="X111" s="18">
        <f>DATE(YEAR(W111),MONTH(Metrics!$B$5), DAY(Metrics!$B$5))</f>
        <v>45170</v>
      </c>
      <c r="Y111" s="16">
        <f t="shared" si="1"/>
        <v>2023</v>
      </c>
    </row>
    <row r="112" spans="10:25" ht="16" x14ac:dyDescent="0.2">
      <c r="J112" s="4">
        <v>5906</v>
      </c>
      <c r="K112" s="9" t="s">
        <v>21</v>
      </c>
      <c r="U112" s="12">
        <v>2341</v>
      </c>
      <c r="V112" s="13" t="s">
        <v>10</v>
      </c>
      <c r="W112" s="18" t="str">
        <f>TEXT(VLOOKUP(U112, News!A:C, 3, FALSE), "M/D/YYYY")</f>
        <v>4/28/2017</v>
      </c>
      <c r="X112" s="18">
        <f>DATE(YEAR(W112),MONTH(Metrics!$B$5), DAY(Metrics!$B$5))</f>
        <v>42979</v>
      </c>
      <c r="Y112" s="16">
        <f t="shared" si="1"/>
        <v>2017</v>
      </c>
    </row>
    <row r="113" spans="10:25" ht="16" x14ac:dyDescent="0.2">
      <c r="J113" s="4">
        <v>5979</v>
      </c>
      <c r="K113" s="9" t="s">
        <v>21</v>
      </c>
      <c r="U113" s="12">
        <v>3301</v>
      </c>
      <c r="V113" s="13" t="s">
        <v>10</v>
      </c>
      <c r="W113" s="18" t="str">
        <f>TEXT(VLOOKUP(U113, News!A:C, 3, FALSE), "M/D/YYYY")</f>
        <v>8/29/2016</v>
      </c>
      <c r="X113" s="18">
        <f>DATE(YEAR(W113),MONTH(Metrics!$B$5), DAY(Metrics!$B$5))</f>
        <v>42614</v>
      </c>
      <c r="Y113" s="16">
        <f t="shared" si="1"/>
        <v>2016</v>
      </c>
    </row>
    <row r="114" spans="10:25" ht="16" x14ac:dyDescent="0.2">
      <c r="J114" s="4">
        <v>6642</v>
      </c>
      <c r="K114" s="9" t="s">
        <v>21</v>
      </c>
      <c r="U114" s="12">
        <v>1353</v>
      </c>
      <c r="V114" s="13" t="s">
        <v>10</v>
      </c>
      <c r="W114" s="18" t="str">
        <f>TEXT(VLOOKUP(U114, News!A:C, 3, FALSE), "M/D/YYYY")</f>
        <v>5/9/2018</v>
      </c>
      <c r="X114" s="18">
        <f>DATE(YEAR(W114),MONTH(Metrics!$B$5), DAY(Metrics!$B$5))</f>
        <v>43344</v>
      </c>
      <c r="Y114" s="16">
        <f t="shared" si="1"/>
        <v>2018</v>
      </c>
    </row>
    <row r="115" spans="10:25" ht="16" x14ac:dyDescent="0.2">
      <c r="J115" s="4">
        <v>6999</v>
      </c>
      <c r="K115" s="9" t="s">
        <v>21</v>
      </c>
      <c r="U115" s="12">
        <v>5806</v>
      </c>
      <c r="V115" s="13" t="s">
        <v>10</v>
      </c>
      <c r="W115" s="18" t="str">
        <f>TEXT(VLOOKUP(U115, News!A:C, 3, FALSE), "M/D/YYYY")</f>
        <v>2/1/2021</v>
      </c>
      <c r="X115" s="18">
        <f>DATE(YEAR(W115),MONTH(Metrics!$B$5), DAY(Metrics!$B$5))</f>
        <v>44440</v>
      </c>
      <c r="Y115" s="16">
        <f t="shared" si="1"/>
        <v>2021</v>
      </c>
    </row>
    <row r="116" spans="10:25" ht="16" x14ac:dyDescent="0.2">
      <c r="J116" s="4">
        <v>7306</v>
      </c>
      <c r="K116" s="9" t="s">
        <v>21</v>
      </c>
      <c r="U116" s="12">
        <v>2201</v>
      </c>
      <c r="V116" s="13" t="s">
        <v>10</v>
      </c>
      <c r="W116" s="18" t="str">
        <f>TEXT(VLOOKUP(U116, News!A:C, 3, FALSE), "M/D/YYYY")</f>
        <v>6/10/2017</v>
      </c>
      <c r="X116" s="18">
        <f>DATE(YEAR(W116),MONTH(Metrics!$B$5), DAY(Metrics!$B$5))</f>
        <v>42979</v>
      </c>
      <c r="Y116" s="16">
        <f t="shared" si="1"/>
        <v>2017</v>
      </c>
    </row>
    <row r="117" spans="10:25" ht="16" x14ac:dyDescent="0.2">
      <c r="J117" s="4">
        <v>8131</v>
      </c>
      <c r="K117" s="9" t="s">
        <v>21</v>
      </c>
      <c r="U117" s="12">
        <v>774</v>
      </c>
      <c r="V117" s="13" t="s">
        <v>10</v>
      </c>
      <c r="W117" s="18" t="str">
        <f>TEXT(VLOOKUP(U117, News!A:C, 3, FALSE), "M/D/YYYY")</f>
        <v>5/18/2016</v>
      </c>
      <c r="X117" s="18">
        <f>DATE(YEAR(W117),MONTH(Metrics!$B$5), DAY(Metrics!$B$5))</f>
        <v>42614</v>
      </c>
      <c r="Y117" s="16">
        <f t="shared" si="1"/>
        <v>2016</v>
      </c>
    </row>
    <row r="118" spans="10:25" ht="16" x14ac:dyDescent="0.2">
      <c r="J118" s="4">
        <v>8271</v>
      </c>
      <c r="K118" s="9" t="s">
        <v>21</v>
      </c>
      <c r="U118" s="12">
        <v>776</v>
      </c>
      <c r="V118" s="13" t="s">
        <v>10</v>
      </c>
      <c r="W118" s="18" t="str">
        <f>TEXT(VLOOKUP(U118, News!A:C, 3, FALSE), "M/D/YYYY")</f>
        <v>5/23/2016</v>
      </c>
      <c r="X118" s="18">
        <f>DATE(YEAR(W118),MONTH(Metrics!$B$5), DAY(Metrics!$B$5))</f>
        <v>42614</v>
      </c>
      <c r="Y118" s="16">
        <f t="shared" si="1"/>
        <v>2016</v>
      </c>
    </row>
    <row r="119" spans="10:25" ht="16" x14ac:dyDescent="0.2">
      <c r="J119" s="4">
        <v>8226</v>
      </c>
      <c r="K119" s="9" t="s">
        <v>21</v>
      </c>
      <c r="U119" s="12">
        <v>1382</v>
      </c>
      <c r="V119" s="13" t="s">
        <v>10</v>
      </c>
      <c r="W119" s="18" t="str">
        <f>TEXT(VLOOKUP(U119, News!A:C, 3, FALSE), "M/D/YYYY")</f>
        <v>12/1/2017</v>
      </c>
      <c r="X119" s="18">
        <f>DATE(YEAR(W119),MONTH(Metrics!$B$5), DAY(Metrics!$B$5))</f>
        <v>42979</v>
      </c>
      <c r="Y119" s="16">
        <f t="shared" si="1"/>
        <v>2018</v>
      </c>
    </row>
    <row r="120" spans="10:25" ht="16" x14ac:dyDescent="0.2">
      <c r="J120" s="4">
        <v>8173</v>
      </c>
      <c r="K120" s="9" t="s">
        <v>21</v>
      </c>
      <c r="U120" s="12">
        <v>1701</v>
      </c>
      <c r="V120" s="13" t="s">
        <v>10</v>
      </c>
      <c r="W120" s="18" t="str">
        <f>TEXT(VLOOKUP(U120, News!A:C, 3, FALSE), "M/D/YYYY")</f>
        <v>9/27/2018</v>
      </c>
      <c r="X120" s="18">
        <f>DATE(YEAR(W120),MONTH(Metrics!$B$5), DAY(Metrics!$B$5))</f>
        <v>43344</v>
      </c>
      <c r="Y120" s="16">
        <f t="shared" si="1"/>
        <v>2019</v>
      </c>
    </row>
    <row r="121" spans="10:25" ht="16" x14ac:dyDescent="0.2">
      <c r="J121" s="4">
        <v>8166</v>
      </c>
      <c r="K121" s="9" t="s">
        <v>21</v>
      </c>
      <c r="U121" s="12">
        <v>2306</v>
      </c>
      <c r="V121" s="13" t="s">
        <v>10</v>
      </c>
      <c r="W121" s="18" t="str">
        <f>TEXT(VLOOKUP(U121, News!A:C, 3, FALSE), "M/D/YYYY")</f>
        <v>5/18/2017</v>
      </c>
      <c r="X121" s="18">
        <f>DATE(YEAR(W121),MONTH(Metrics!$B$5), DAY(Metrics!$B$5))</f>
        <v>42979</v>
      </c>
      <c r="Y121" s="16">
        <f t="shared" si="1"/>
        <v>2017</v>
      </c>
    </row>
    <row r="122" spans="10:25" ht="16" x14ac:dyDescent="0.2">
      <c r="J122" s="4">
        <v>2344</v>
      </c>
      <c r="K122" s="9" t="s">
        <v>21</v>
      </c>
      <c r="U122" s="12">
        <v>2444</v>
      </c>
      <c r="V122" s="13" t="s">
        <v>10</v>
      </c>
      <c r="W122" s="18" t="str">
        <f>TEXT(VLOOKUP(U122, News!A:C, 3, FALSE), "M/D/YYYY")</f>
        <v>3/2/2017</v>
      </c>
      <c r="X122" s="18">
        <f>DATE(YEAR(W122),MONTH(Metrics!$B$5), DAY(Metrics!$B$5))</f>
        <v>42979</v>
      </c>
      <c r="Y122" s="16">
        <f t="shared" si="1"/>
        <v>2017</v>
      </c>
    </row>
    <row r="123" spans="10:25" ht="16" x14ac:dyDescent="0.2">
      <c r="J123" s="4">
        <v>4915</v>
      </c>
      <c r="K123" s="9" t="s">
        <v>21</v>
      </c>
      <c r="U123" s="12">
        <v>2451</v>
      </c>
      <c r="V123" s="13" t="s">
        <v>10</v>
      </c>
      <c r="W123" s="18" t="str">
        <f>TEXT(VLOOKUP(U123, News!A:C, 3, FALSE), "M/D/YYYY")</f>
        <v>2/28/2017</v>
      </c>
      <c r="X123" s="18">
        <f>DATE(YEAR(W123),MONTH(Metrics!$B$5), DAY(Metrics!$B$5))</f>
        <v>42979</v>
      </c>
      <c r="Y123" s="16">
        <f t="shared" si="1"/>
        <v>2017</v>
      </c>
    </row>
    <row r="124" spans="10:25" ht="16" x14ac:dyDescent="0.2">
      <c r="J124" s="4">
        <v>6944</v>
      </c>
      <c r="K124" s="9" t="s">
        <v>21</v>
      </c>
      <c r="U124" s="12">
        <v>3005</v>
      </c>
      <c r="V124" s="13" t="s">
        <v>10</v>
      </c>
      <c r="W124" s="18" t="str">
        <f>TEXT(VLOOKUP(U124, News!A:C, 3, FALSE), "M/D/YYYY")</f>
        <v>10/31/2016</v>
      </c>
      <c r="X124" s="18">
        <f>DATE(YEAR(W124),MONTH(Metrics!$B$5), DAY(Metrics!$B$5))</f>
        <v>42614</v>
      </c>
      <c r="Y124" s="16">
        <f t="shared" si="1"/>
        <v>2017</v>
      </c>
    </row>
    <row r="125" spans="10:25" ht="16" x14ac:dyDescent="0.2">
      <c r="J125" s="4">
        <v>7744</v>
      </c>
      <c r="K125" s="9" t="s">
        <v>21</v>
      </c>
      <c r="U125" s="12">
        <v>3218</v>
      </c>
      <c r="V125" s="13" t="s">
        <v>10</v>
      </c>
      <c r="W125" s="18" t="str">
        <f>TEXT(VLOOKUP(U125, News!A:C, 3, FALSE), "M/D/YYYY")</f>
        <v>9/13/2016</v>
      </c>
      <c r="X125" s="18">
        <f>DATE(YEAR(W125),MONTH(Metrics!$B$5), DAY(Metrics!$B$5))</f>
        <v>42614</v>
      </c>
      <c r="Y125" s="16">
        <f t="shared" si="1"/>
        <v>2017</v>
      </c>
    </row>
    <row r="126" spans="10:25" ht="16" x14ac:dyDescent="0.2">
      <c r="J126" s="4">
        <v>7768</v>
      </c>
      <c r="K126" s="9" t="s">
        <v>21</v>
      </c>
      <c r="U126" s="12">
        <v>3663</v>
      </c>
      <c r="V126" s="13" t="s">
        <v>10</v>
      </c>
      <c r="W126" s="18" t="str">
        <f>TEXT(VLOOKUP(U126, News!A:C, 3, FALSE), "M/D/YYYY")</f>
        <v>11/3/2015</v>
      </c>
      <c r="X126" s="18">
        <f>DATE(YEAR(W126),MONTH(Metrics!$B$5), DAY(Metrics!$B$5))</f>
        <v>42248</v>
      </c>
      <c r="Y126" s="16">
        <f t="shared" si="1"/>
        <v>2016</v>
      </c>
    </row>
    <row r="127" spans="10:25" ht="16" x14ac:dyDescent="0.2">
      <c r="J127" s="4">
        <v>7845</v>
      </c>
      <c r="K127" s="9" t="s">
        <v>21</v>
      </c>
      <c r="U127" s="12">
        <v>3793</v>
      </c>
      <c r="V127" s="13" t="s">
        <v>10</v>
      </c>
      <c r="W127" s="18" t="str">
        <f>TEXT(VLOOKUP(U127, News!A:C, 3, FALSE), "M/D/YYYY")</f>
        <v>7/27/2015</v>
      </c>
      <c r="X127" s="18">
        <f>DATE(YEAR(W127),MONTH(Metrics!$B$5), DAY(Metrics!$B$5))</f>
        <v>42248</v>
      </c>
      <c r="Y127" s="16">
        <f t="shared" si="1"/>
        <v>2015</v>
      </c>
    </row>
    <row r="128" spans="10:25" ht="16" x14ac:dyDescent="0.2">
      <c r="J128" s="4">
        <v>1346</v>
      </c>
      <c r="K128" s="9" t="s">
        <v>21</v>
      </c>
      <c r="U128" s="12">
        <v>3801</v>
      </c>
      <c r="V128" s="13" t="s">
        <v>10</v>
      </c>
      <c r="W128" s="18" t="str">
        <f>TEXT(VLOOKUP(U128, News!A:C, 3, FALSE), "M/D/YYYY")</f>
        <v>7/4/2015</v>
      </c>
      <c r="X128" s="18">
        <f>DATE(YEAR(W128),MONTH(Metrics!$B$5), DAY(Metrics!$B$5))</f>
        <v>42248</v>
      </c>
      <c r="Y128" s="16">
        <f t="shared" si="1"/>
        <v>2015</v>
      </c>
    </row>
    <row r="129" spans="10:25" ht="16" x14ac:dyDescent="0.2">
      <c r="J129" s="4">
        <v>4242</v>
      </c>
      <c r="K129" s="9" t="s">
        <v>21</v>
      </c>
      <c r="U129" s="12">
        <v>3885</v>
      </c>
      <c r="V129" s="13" t="s">
        <v>10</v>
      </c>
      <c r="W129" s="18" t="str">
        <f>TEXT(VLOOKUP(U129, News!A:C, 3, FALSE), "M/D/YYYY")</f>
        <v>6/10/2015</v>
      </c>
      <c r="X129" s="18">
        <f>DATE(YEAR(W129),MONTH(Metrics!$B$5), DAY(Metrics!$B$5))</f>
        <v>42248</v>
      </c>
      <c r="Y129" s="16">
        <f t="shared" si="1"/>
        <v>2015</v>
      </c>
    </row>
    <row r="130" spans="10:25" ht="16" x14ac:dyDescent="0.2">
      <c r="J130" s="4">
        <v>7657</v>
      </c>
      <c r="K130" s="9" t="s">
        <v>21</v>
      </c>
      <c r="U130" s="12">
        <v>3945</v>
      </c>
      <c r="V130" s="13" t="s">
        <v>10</v>
      </c>
      <c r="W130" s="18" t="str">
        <f>TEXT(VLOOKUP(U130, News!A:C, 3, FALSE), "M/D/YYYY")</f>
        <v>4/18/2015</v>
      </c>
      <c r="X130" s="18">
        <f>DATE(YEAR(W130),MONTH(Metrics!$B$5), DAY(Metrics!$B$5))</f>
        <v>42248</v>
      </c>
      <c r="Y130" s="16">
        <f t="shared" si="1"/>
        <v>2015</v>
      </c>
    </row>
    <row r="131" spans="10:25" ht="16" x14ac:dyDescent="0.2">
      <c r="U131" s="12">
        <v>3978</v>
      </c>
      <c r="V131" s="13" t="s">
        <v>10</v>
      </c>
      <c r="W131" s="18" t="str">
        <f>TEXT(VLOOKUP(U131, News!A:C, 3, FALSE), "M/D/YYYY")</f>
        <v>2/28/2015</v>
      </c>
      <c r="X131" s="18">
        <f>DATE(YEAR(W131),MONTH(Metrics!$B$5), DAY(Metrics!$B$5))</f>
        <v>42248</v>
      </c>
      <c r="Y131" s="16">
        <f t="shared" ref="Y131:Y194" si="2">IF(MONTH(W131) &gt;= MONTH(X131), YEAR(W131)+1, YEAR(W131))</f>
        <v>2015</v>
      </c>
    </row>
    <row r="132" spans="10:25" ht="16" x14ac:dyDescent="0.2">
      <c r="U132" s="12">
        <v>4006</v>
      </c>
      <c r="V132" s="13" t="s">
        <v>10</v>
      </c>
      <c r="W132" s="18" t="str">
        <f>TEXT(VLOOKUP(U132, News!A:C, 3, FALSE), "M/D/YYYY")</f>
        <v>2/20/2015</v>
      </c>
      <c r="X132" s="18">
        <f>DATE(YEAR(W132),MONTH(Metrics!$B$5), DAY(Metrics!$B$5))</f>
        <v>42248</v>
      </c>
      <c r="Y132" s="16">
        <f t="shared" si="2"/>
        <v>2015</v>
      </c>
    </row>
    <row r="133" spans="10:25" ht="16" x14ac:dyDescent="0.2">
      <c r="U133" s="12">
        <v>4008</v>
      </c>
      <c r="V133" s="13" t="s">
        <v>10</v>
      </c>
      <c r="W133" s="18" t="str">
        <f>TEXT(VLOOKUP(U133, News!A:C, 3, FALSE), "M/D/YYYY")</f>
        <v>2/17/2015</v>
      </c>
      <c r="X133" s="18">
        <f>DATE(YEAR(W133),MONTH(Metrics!$B$5), DAY(Metrics!$B$5))</f>
        <v>42248</v>
      </c>
      <c r="Y133" s="16">
        <f t="shared" si="2"/>
        <v>2015</v>
      </c>
    </row>
    <row r="134" spans="10:25" ht="16" x14ac:dyDescent="0.2">
      <c r="U134" s="12">
        <v>4040</v>
      </c>
      <c r="V134" s="13" t="s">
        <v>10</v>
      </c>
      <c r="W134" s="18" t="str">
        <f>TEXT(VLOOKUP(U134, News!A:C, 3, FALSE), "M/D/YYYY")</f>
        <v>4/29/2019</v>
      </c>
      <c r="X134" s="18">
        <f>DATE(YEAR(W134),MONTH(Metrics!$B$5), DAY(Metrics!$B$5))</f>
        <v>43709</v>
      </c>
      <c r="Y134" s="16">
        <f t="shared" si="2"/>
        <v>2019</v>
      </c>
    </row>
    <row r="135" spans="10:25" ht="16" x14ac:dyDescent="0.2">
      <c r="U135" s="12">
        <v>4081</v>
      </c>
      <c r="V135" s="13" t="s">
        <v>10</v>
      </c>
      <c r="W135" s="18" t="str">
        <f>TEXT(VLOOKUP(U135, News!A:C, 3, FALSE), "M/D/YYYY")</f>
        <v>9/25/2014</v>
      </c>
      <c r="X135" s="18">
        <f>DATE(YEAR(W135),MONTH(Metrics!$B$5), DAY(Metrics!$B$5))</f>
        <v>41883</v>
      </c>
      <c r="Y135" s="16">
        <f t="shared" si="2"/>
        <v>2015</v>
      </c>
    </row>
    <row r="136" spans="10:25" ht="16" x14ac:dyDescent="0.2">
      <c r="U136" s="12">
        <v>4574</v>
      </c>
      <c r="V136" s="13" t="s">
        <v>10</v>
      </c>
      <c r="W136" s="18" t="str">
        <f>TEXT(VLOOKUP(U136, News!A:C, 3, FALSE), "M/D/YYYY")</f>
        <v>11/12/2019</v>
      </c>
      <c r="X136" s="18">
        <f>DATE(YEAR(W136),MONTH(Metrics!$B$5), DAY(Metrics!$B$5))</f>
        <v>43709</v>
      </c>
      <c r="Y136" s="16">
        <f t="shared" si="2"/>
        <v>2020</v>
      </c>
    </row>
    <row r="137" spans="10:25" ht="16" x14ac:dyDescent="0.2">
      <c r="U137" s="12">
        <v>4619</v>
      </c>
      <c r="V137" s="13" t="s">
        <v>10</v>
      </c>
      <c r="W137" s="18" t="str">
        <f>TEXT(VLOOKUP(U137, News!A:C, 3, FALSE), "M/D/YYYY")</f>
        <v>4/4/2014</v>
      </c>
      <c r="X137" s="18">
        <f>DATE(YEAR(W137),MONTH(Metrics!$B$5), DAY(Metrics!$B$5))</f>
        <v>41883</v>
      </c>
      <c r="Y137" s="16">
        <f t="shared" si="2"/>
        <v>2014</v>
      </c>
    </row>
    <row r="138" spans="10:25" ht="16" x14ac:dyDescent="0.2">
      <c r="U138" s="12">
        <v>4713</v>
      </c>
      <c r="V138" s="13" t="s">
        <v>10</v>
      </c>
      <c r="W138" s="18" t="str">
        <f>TEXT(VLOOKUP(U138, News!A:C, 3, FALSE), "M/D/YYYY")</f>
        <v>1/13/2020</v>
      </c>
      <c r="X138" s="18">
        <f>DATE(YEAR(W138),MONTH(Metrics!$B$5), DAY(Metrics!$B$5))</f>
        <v>44075</v>
      </c>
      <c r="Y138" s="16">
        <f t="shared" si="2"/>
        <v>2020</v>
      </c>
    </row>
    <row r="139" spans="10:25" ht="16" x14ac:dyDescent="0.2">
      <c r="U139" s="12">
        <v>5678</v>
      </c>
      <c r="V139" s="13" t="s">
        <v>10</v>
      </c>
      <c r="W139" s="18" t="str">
        <f>TEXT(VLOOKUP(U139, News!A:C, 3, FALSE), "M/D/YYYY")</f>
        <v>12/14/2020</v>
      </c>
      <c r="X139" s="18">
        <f>DATE(YEAR(W139),MONTH(Metrics!$B$5), DAY(Metrics!$B$5))</f>
        <v>44075</v>
      </c>
      <c r="Y139" s="16">
        <f t="shared" si="2"/>
        <v>2021</v>
      </c>
    </row>
    <row r="140" spans="10:25" ht="16" x14ac:dyDescent="0.2">
      <c r="U140" s="12">
        <v>5732</v>
      </c>
      <c r="V140" s="13" t="s">
        <v>10</v>
      </c>
      <c r="W140" s="18" t="str">
        <f>TEXT(VLOOKUP(U140, News!A:C, 3, FALSE), "M/D/YYYY")</f>
        <v>12/21/2020</v>
      </c>
      <c r="X140" s="18">
        <f>DATE(YEAR(W140),MONTH(Metrics!$B$5), DAY(Metrics!$B$5))</f>
        <v>44075</v>
      </c>
      <c r="Y140" s="16">
        <f t="shared" si="2"/>
        <v>2021</v>
      </c>
    </row>
    <row r="141" spans="10:25" ht="16" x14ac:dyDescent="0.2">
      <c r="U141" s="12">
        <v>6028</v>
      </c>
      <c r="V141" s="13" t="s">
        <v>10</v>
      </c>
      <c r="W141" s="18" t="str">
        <f>TEXT(VLOOKUP(U141, News!A:C, 3, FALSE), "M/D/YYYY")</f>
        <v>5/3/2021</v>
      </c>
      <c r="X141" s="18">
        <f>DATE(YEAR(W141),MONTH(Metrics!$B$5), DAY(Metrics!$B$5))</f>
        <v>44440</v>
      </c>
      <c r="Y141" s="16">
        <f t="shared" si="2"/>
        <v>2021</v>
      </c>
    </row>
    <row r="142" spans="10:25" ht="16" x14ac:dyDescent="0.2">
      <c r="U142" s="12">
        <v>6664</v>
      </c>
      <c r="V142" s="13" t="s">
        <v>10</v>
      </c>
      <c r="W142" s="18" t="str">
        <f>TEXT(VLOOKUP(U142, News!A:C, 3, FALSE), "M/D/YYYY")</f>
        <v>10/21/2021</v>
      </c>
      <c r="X142" s="18">
        <f>DATE(YEAR(W142),MONTH(Metrics!$B$5), DAY(Metrics!$B$5))</f>
        <v>44440</v>
      </c>
      <c r="Y142" s="16">
        <f t="shared" si="2"/>
        <v>2022</v>
      </c>
    </row>
    <row r="143" spans="10:25" ht="16" x14ac:dyDescent="0.2">
      <c r="U143" s="12">
        <v>7385</v>
      </c>
      <c r="V143" s="13" t="s">
        <v>10</v>
      </c>
      <c r="W143" s="18" t="str">
        <f>TEXT(VLOOKUP(U143, News!A:C, 3, FALSE), "M/D/YYYY")</f>
        <v>9/1/2022</v>
      </c>
      <c r="X143" s="18">
        <f>DATE(YEAR(W143),MONTH(Metrics!$B$5), DAY(Metrics!$B$5))</f>
        <v>44805</v>
      </c>
      <c r="Y143" s="16">
        <f t="shared" si="2"/>
        <v>2023</v>
      </c>
    </row>
    <row r="144" spans="10:25" ht="16" x14ac:dyDescent="0.2">
      <c r="U144" s="12">
        <v>7634</v>
      </c>
      <c r="V144" s="13" t="s">
        <v>10</v>
      </c>
      <c r="W144" s="18" t="str">
        <f>TEXT(VLOOKUP(U144, News!A:C, 3, FALSE), "M/D/YYYY")</f>
        <v>11/7/2022</v>
      </c>
      <c r="X144" s="18">
        <f>DATE(YEAR(W144),MONTH(Metrics!$B$5), DAY(Metrics!$B$5))</f>
        <v>44805</v>
      </c>
      <c r="Y144" s="16">
        <f t="shared" si="2"/>
        <v>2023</v>
      </c>
    </row>
    <row r="145" spans="21:25" ht="16" x14ac:dyDescent="0.2">
      <c r="U145" s="12">
        <v>7916</v>
      </c>
      <c r="V145" s="13" t="s">
        <v>10</v>
      </c>
      <c r="W145" s="18" t="str">
        <f>TEXT(VLOOKUP(U145, News!A:C, 3, FALSE), "M/D/YYYY")</f>
        <v>1/18/2023</v>
      </c>
      <c r="X145" s="18">
        <f>DATE(YEAR(W145),MONTH(Metrics!$B$5), DAY(Metrics!$B$5))</f>
        <v>45170</v>
      </c>
      <c r="Y145" s="16">
        <f t="shared" si="2"/>
        <v>2023</v>
      </c>
    </row>
    <row r="146" spans="21:25" ht="16" x14ac:dyDescent="0.2">
      <c r="U146" s="12">
        <v>7996</v>
      </c>
      <c r="V146" s="13" t="s">
        <v>10</v>
      </c>
      <c r="W146" s="18" t="str">
        <f>TEXT(VLOOKUP(U146, News!A:C, 3, FALSE), "M/D/YYYY")</f>
        <v>1/31/2023</v>
      </c>
      <c r="X146" s="18">
        <f>DATE(YEAR(W146),MONTH(Metrics!$B$5), DAY(Metrics!$B$5))</f>
        <v>45170</v>
      </c>
      <c r="Y146" s="16">
        <f t="shared" si="2"/>
        <v>2023</v>
      </c>
    </row>
    <row r="147" spans="21:25" ht="16" x14ac:dyDescent="0.2">
      <c r="U147" s="12">
        <v>8153</v>
      </c>
      <c r="V147" s="13" t="s">
        <v>10</v>
      </c>
      <c r="W147" s="18" t="str">
        <f>TEXT(VLOOKUP(U147, News!A:C, 3, FALSE), "M/D/YYYY")</f>
        <v>4/4/2023</v>
      </c>
      <c r="X147" s="18">
        <f>DATE(YEAR(W147),MONTH(Metrics!$B$5), DAY(Metrics!$B$5))</f>
        <v>45170</v>
      </c>
      <c r="Y147" s="16">
        <f t="shared" si="2"/>
        <v>2023</v>
      </c>
    </row>
    <row r="148" spans="21:25" ht="16" x14ac:dyDescent="0.2">
      <c r="U148" s="12">
        <v>8085</v>
      </c>
      <c r="V148" s="13" t="s">
        <v>10</v>
      </c>
      <c r="W148" s="18" t="str">
        <f>TEXT(VLOOKUP(U148, News!A:C, 3, FALSE), "M/D/YYYY")</f>
        <v>3/28/2023</v>
      </c>
      <c r="X148" s="18">
        <f>DATE(YEAR(W148),MONTH(Metrics!$B$5), DAY(Metrics!$B$5))</f>
        <v>45170</v>
      </c>
      <c r="Y148" s="16">
        <f t="shared" si="2"/>
        <v>2023</v>
      </c>
    </row>
    <row r="149" spans="21:25" ht="16" x14ac:dyDescent="0.2">
      <c r="U149" s="12">
        <v>8054</v>
      </c>
      <c r="V149" s="13" t="s">
        <v>10</v>
      </c>
      <c r="W149" s="18" t="str">
        <f>TEXT(VLOOKUP(U149, News!A:C, 3, FALSE), "M/D/YYYY")</f>
        <v>2/16/2023</v>
      </c>
      <c r="X149" s="18">
        <f>DATE(YEAR(W149),MONTH(Metrics!$B$5), DAY(Metrics!$B$5))</f>
        <v>45170</v>
      </c>
      <c r="Y149" s="16">
        <f t="shared" si="2"/>
        <v>2023</v>
      </c>
    </row>
    <row r="150" spans="21:25" ht="16" x14ac:dyDescent="0.2">
      <c r="U150" s="12">
        <v>2551</v>
      </c>
      <c r="V150" s="13" t="s">
        <v>10</v>
      </c>
      <c r="W150" s="18" t="str">
        <f>TEXT(VLOOKUP(U150, News!A:C, 3, FALSE), "M/D/YYYY")</f>
        <v>1/1/2017</v>
      </c>
      <c r="X150" s="18">
        <f>DATE(YEAR(W150),MONTH(Metrics!$B$5), DAY(Metrics!$B$5))</f>
        <v>42979</v>
      </c>
      <c r="Y150" s="16">
        <f t="shared" si="2"/>
        <v>2017</v>
      </c>
    </row>
    <row r="151" spans="21:25" ht="16" x14ac:dyDescent="0.2">
      <c r="U151" s="12">
        <v>3000</v>
      </c>
      <c r="V151" s="13" t="s">
        <v>10</v>
      </c>
      <c r="W151" s="18" t="str">
        <f>TEXT(VLOOKUP(U151, News!A:C, 3, FALSE), "M/D/YYYY")</f>
        <v>11/27/2016</v>
      </c>
      <c r="X151" s="18">
        <f>DATE(YEAR(W151),MONTH(Metrics!$B$5), DAY(Metrics!$B$5))</f>
        <v>42614</v>
      </c>
      <c r="Y151" s="16">
        <f t="shared" si="2"/>
        <v>2017</v>
      </c>
    </row>
    <row r="152" spans="21:25" ht="16" x14ac:dyDescent="0.2">
      <c r="U152" s="12">
        <v>3345</v>
      </c>
      <c r="V152" s="13" t="s">
        <v>10</v>
      </c>
      <c r="W152" s="18" t="str">
        <f>TEXT(VLOOKUP(U152, News!A:C, 3, FALSE), "M/D/YYYY")</f>
        <v>5/29/2016</v>
      </c>
      <c r="X152" s="18">
        <f>DATE(YEAR(W152),MONTH(Metrics!$B$5), DAY(Metrics!$B$5))</f>
        <v>42614</v>
      </c>
      <c r="Y152" s="16">
        <f t="shared" si="2"/>
        <v>2016</v>
      </c>
    </row>
    <row r="153" spans="21:25" ht="16" x14ac:dyDescent="0.2">
      <c r="U153" s="12">
        <v>3717</v>
      </c>
      <c r="V153" s="13" t="s">
        <v>10</v>
      </c>
      <c r="W153" s="18" t="str">
        <f>TEXT(VLOOKUP(U153, News!A:C, 3, FALSE), "M/D/YYYY")</f>
        <v>2/22/2019</v>
      </c>
      <c r="X153" s="18">
        <f>DATE(YEAR(W153),MONTH(Metrics!$B$5), DAY(Metrics!$B$5))</f>
        <v>43709</v>
      </c>
      <c r="Y153" s="16">
        <f t="shared" si="2"/>
        <v>2019</v>
      </c>
    </row>
    <row r="154" spans="21:25" ht="16" x14ac:dyDescent="0.2">
      <c r="U154" s="12">
        <v>7400</v>
      </c>
      <c r="V154" s="13" t="s">
        <v>10</v>
      </c>
      <c r="W154" s="18" t="str">
        <f>TEXT(VLOOKUP(U154, News!A:C, 3, FALSE), "M/D/YYYY")</f>
        <v>9/6/2022</v>
      </c>
      <c r="X154" s="18">
        <f>DATE(YEAR(W154),MONTH(Metrics!$B$5), DAY(Metrics!$B$5))</f>
        <v>44805</v>
      </c>
      <c r="Y154" s="16">
        <f t="shared" si="2"/>
        <v>2023</v>
      </c>
    </row>
    <row r="155" spans="21:25" ht="16" x14ac:dyDescent="0.2">
      <c r="U155" s="12">
        <v>2338</v>
      </c>
      <c r="V155" s="13" t="s">
        <v>29</v>
      </c>
      <c r="W155" s="18" t="str">
        <f>TEXT(VLOOKUP(U155, News!A:C, 3, FALSE), "M/D/YYYY")</f>
        <v>4/30/2017</v>
      </c>
      <c r="X155" s="18">
        <f>DATE(YEAR(W155),MONTH(Metrics!$B$5), DAY(Metrics!$B$5))</f>
        <v>42979</v>
      </c>
      <c r="Y155" s="16">
        <f t="shared" si="2"/>
        <v>2017</v>
      </c>
    </row>
    <row r="156" spans="21:25" ht="16" x14ac:dyDescent="0.2">
      <c r="U156" s="12">
        <v>2525</v>
      </c>
      <c r="V156" s="13" t="s">
        <v>29</v>
      </c>
      <c r="W156" s="18" t="str">
        <f>TEXT(VLOOKUP(U156, News!A:C, 3, FALSE), "M/D/YYYY")</f>
        <v>1/28/2017</v>
      </c>
      <c r="X156" s="18">
        <f>DATE(YEAR(W156),MONTH(Metrics!$B$5), DAY(Metrics!$B$5))</f>
        <v>42979</v>
      </c>
      <c r="Y156" s="16">
        <f t="shared" si="2"/>
        <v>2017</v>
      </c>
    </row>
    <row r="157" spans="21:25" ht="16" x14ac:dyDescent="0.2">
      <c r="U157" s="12">
        <v>5535</v>
      </c>
      <c r="V157" s="13" t="s">
        <v>29</v>
      </c>
      <c r="W157" s="18" t="str">
        <f>TEXT(VLOOKUP(U157, News!A:C, 3, FALSE), "M/D/YYYY")</f>
        <v>10/30/2020</v>
      </c>
      <c r="X157" s="18">
        <f>DATE(YEAR(W157),MONTH(Metrics!$B$5), DAY(Metrics!$B$5))</f>
        <v>44075</v>
      </c>
      <c r="Y157" s="16">
        <f t="shared" si="2"/>
        <v>2021</v>
      </c>
    </row>
    <row r="158" spans="21:25" ht="16" x14ac:dyDescent="0.2">
      <c r="U158" s="12">
        <v>5883</v>
      </c>
      <c r="V158" s="13" t="s">
        <v>29</v>
      </c>
      <c r="W158" s="18" t="str">
        <f>TEXT(VLOOKUP(U158, News!A:C, 3, FALSE), "M/D/YYYY")</f>
        <v>3/18/2021</v>
      </c>
      <c r="X158" s="18">
        <f>DATE(YEAR(W158),MONTH(Metrics!$B$5), DAY(Metrics!$B$5))</f>
        <v>44440</v>
      </c>
      <c r="Y158" s="16">
        <f t="shared" si="2"/>
        <v>2021</v>
      </c>
    </row>
    <row r="159" spans="21:25" ht="16" x14ac:dyDescent="0.2">
      <c r="U159" s="12">
        <v>7040</v>
      </c>
      <c r="V159" s="13" t="s">
        <v>29</v>
      </c>
      <c r="W159" s="18" t="str">
        <f>TEXT(VLOOKUP(U159, News!A:C, 3, FALSE), "M/D/YYYY")</f>
        <v>4/8/2022</v>
      </c>
      <c r="X159" s="18">
        <f>DATE(YEAR(W159),MONTH(Metrics!$B$5), DAY(Metrics!$B$5))</f>
        <v>44805</v>
      </c>
      <c r="Y159" s="16">
        <f t="shared" si="2"/>
        <v>2022</v>
      </c>
    </row>
    <row r="160" spans="21:25" ht="16" x14ac:dyDescent="0.2">
      <c r="U160" s="12">
        <v>7357</v>
      </c>
      <c r="V160" s="13" t="s">
        <v>29</v>
      </c>
      <c r="W160" s="18" t="str">
        <f>TEXT(VLOOKUP(U160, News!A:C, 3, FALSE), "M/D/YYYY")</f>
        <v>9/1/2022</v>
      </c>
      <c r="X160" s="18">
        <f>DATE(YEAR(W160),MONTH(Metrics!$B$5), DAY(Metrics!$B$5))</f>
        <v>44805</v>
      </c>
      <c r="Y160" s="16">
        <f t="shared" si="2"/>
        <v>2023</v>
      </c>
    </row>
    <row r="161" spans="21:25" ht="16" x14ac:dyDescent="0.2">
      <c r="U161" s="12">
        <v>7358</v>
      </c>
      <c r="V161" s="13" t="s">
        <v>29</v>
      </c>
      <c r="W161" s="18" t="str">
        <f>TEXT(VLOOKUP(U161, News!A:C, 3, FALSE), "M/D/YYYY")</f>
        <v>9/12/2022</v>
      </c>
      <c r="X161" s="18">
        <f>DATE(YEAR(W161),MONTH(Metrics!$B$5), DAY(Metrics!$B$5))</f>
        <v>44805</v>
      </c>
      <c r="Y161" s="16">
        <f t="shared" si="2"/>
        <v>2023</v>
      </c>
    </row>
    <row r="162" spans="21:25" ht="16" x14ac:dyDescent="0.2">
      <c r="U162" s="12">
        <v>7355</v>
      </c>
      <c r="V162" s="13" t="s">
        <v>29</v>
      </c>
      <c r="W162" s="18" t="str">
        <f>TEXT(VLOOKUP(U162, News!A:C, 3, FALSE), "M/D/YYYY")</f>
        <v>9/16/2022</v>
      </c>
      <c r="X162" s="18">
        <f>DATE(YEAR(W162),MONTH(Metrics!$B$5), DAY(Metrics!$B$5))</f>
        <v>44805</v>
      </c>
      <c r="Y162" s="16">
        <f t="shared" si="2"/>
        <v>2023</v>
      </c>
    </row>
    <row r="163" spans="21:25" ht="16" x14ac:dyDescent="0.2">
      <c r="U163" s="12">
        <v>7881</v>
      </c>
      <c r="V163" s="13" t="s">
        <v>29</v>
      </c>
      <c r="W163" s="18" t="str">
        <f>TEXT(VLOOKUP(U163, News!A:C, 3, FALSE), "M/D/YYYY")</f>
        <v>1/10/2023</v>
      </c>
      <c r="X163" s="18">
        <f>DATE(YEAR(W163),MONTH(Metrics!$B$5), DAY(Metrics!$B$5))</f>
        <v>45170</v>
      </c>
      <c r="Y163" s="16">
        <f t="shared" si="2"/>
        <v>2023</v>
      </c>
    </row>
    <row r="164" spans="21:25" ht="16" x14ac:dyDescent="0.2">
      <c r="U164" s="12">
        <v>8204</v>
      </c>
      <c r="V164" s="13" t="s">
        <v>29</v>
      </c>
      <c r="W164" s="18" t="str">
        <f>TEXT(VLOOKUP(U164, News!A:C, 3, FALSE), "M/D/YYYY")</f>
        <v>4/18/2023</v>
      </c>
      <c r="X164" s="18">
        <f>DATE(YEAR(W164),MONTH(Metrics!$B$5), DAY(Metrics!$B$5))</f>
        <v>45170</v>
      </c>
      <c r="Y164" s="16">
        <f t="shared" si="2"/>
        <v>2023</v>
      </c>
    </row>
    <row r="165" spans="21:25" ht="16" x14ac:dyDescent="0.2">
      <c r="U165" s="12">
        <v>4816</v>
      </c>
      <c r="V165" s="13" t="s">
        <v>29</v>
      </c>
      <c r="W165" s="18" t="str">
        <f>TEXT(VLOOKUP(U165, News!A:C, 3, FALSE), "M/D/YYYY")</f>
        <v>1/10/2020</v>
      </c>
      <c r="X165" s="18">
        <f>DATE(YEAR(W165),MONTH(Metrics!$B$5), DAY(Metrics!$B$5))</f>
        <v>44075</v>
      </c>
      <c r="Y165" s="16">
        <f t="shared" si="2"/>
        <v>2020</v>
      </c>
    </row>
    <row r="166" spans="21:25" ht="16" x14ac:dyDescent="0.2">
      <c r="U166" s="12">
        <v>7954</v>
      </c>
      <c r="V166" s="13" t="s">
        <v>29</v>
      </c>
      <c r="W166" s="18" t="str">
        <f>TEXT(VLOOKUP(U166, News!A:C, 3, FALSE), "M/D/YYYY")</f>
        <v>1/23/2023</v>
      </c>
      <c r="X166" s="18">
        <f>DATE(YEAR(W166),MONTH(Metrics!$B$5), DAY(Metrics!$B$5))</f>
        <v>45170</v>
      </c>
      <c r="Y166" s="16">
        <f t="shared" si="2"/>
        <v>2023</v>
      </c>
    </row>
    <row r="167" spans="21:25" ht="16" x14ac:dyDescent="0.2">
      <c r="U167" s="12">
        <v>2341</v>
      </c>
      <c r="V167" s="13" t="s">
        <v>29</v>
      </c>
      <c r="W167" s="18" t="str">
        <f>TEXT(VLOOKUP(U167, News!A:C, 3, FALSE), "M/D/YYYY")</f>
        <v>4/28/2017</v>
      </c>
      <c r="X167" s="18">
        <f>DATE(YEAR(W167),MONTH(Metrics!$B$5), DAY(Metrics!$B$5))</f>
        <v>42979</v>
      </c>
      <c r="Y167" s="16">
        <f t="shared" si="2"/>
        <v>2017</v>
      </c>
    </row>
    <row r="168" spans="21:25" ht="16" x14ac:dyDescent="0.2">
      <c r="U168" s="12">
        <v>3301</v>
      </c>
      <c r="V168" s="13" t="s">
        <v>29</v>
      </c>
      <c r="W168" s="18" t="str">
        <f>TEXT(VLOOKUP(U168, News!A:C, 3, FALSE), "M/D/YYYY")</f>
        <v>8/29/2016</v>
      </c>
      <c r="X168" s="18">
        <f>DATE(YEAR(W168),MONTH(Metrics!$B$5), DAY(Metrics!$B$5))</f>
        <v>42614</v>
      </c>
      <c r="Y168" s="16">
        <f t="shared" si="2"/>
        <v>2016</v>
      </c>
    </row>
    <row r="169" spans="21:25" ht="16" x14ac:dyDescent="0.2">
      <c r="U169" s="12">
        <v>1448</v>
      </c>
      <c r="V169" s="13" t="s">
        <v>29</v>
      </c>
      <c r="W169" s="18" t="str">
        <f>TEXT(VLOOKUP(U169, News!A:C, 3, FALSE), "M/D/YYYY")</f>
        <v>1/30/2018</v>
      </c>
      <c r="X169" s="18">
        <f>DATE(YEAR(W169),MONTH(Metrics!$B$5), DAY(Metrics!$B$5))</f>
        <v>43344</v>
      </c>
      <c r="Y169" s="16">
        <f t="shared" si="2"/>
        <v>2018</v>
      </c>
    </row>
    <row r="170" spans="21:25" ht="16" x14ac:dyDescent="0.2">
      <c r="U170" s="12">
        <v>4411</v>
      </c>
      <c r="V170" s="13" t="s">
        <v>29</v>
      </c>
      <c r="W170" s="18" t="str">
        <f>TEXT(VLOOKUP(U170, News!A:C, 3, FALSE), "M/D/YYYY")</f>
        <v>9/12/2019</v>
      </c>
      <c r="X170" s="18">
        <f>DATE(YEAR(W170),MONTH(Metrics!$B$5), DAY(Metrics!$B$5))</f>
        <v>43709</v>
      </c>
      <c r="Y170" s="16">
        <f t="shared" si="2"/>
        <v>2020</v>
      </c>
    </row>
    <row r="171" spans="21:25" ht="16" x14ac:dyDescent="0.2">
      <c r="U171" s="12">
        <v>6267</v>
      </c>
      <c r="V171" s="13" t="s">
        <v>29</v>
      </c>
      <c r="W171" s="18" t="str">
        <f>TEXT(VLOOKUP(U171, News!A:C, 3, FALSE), "M/D/YYYY")</f>
        <v>8/17/2021</v>
      </c>
      <c r="X171" s="18">
        <f>DATE(YEAR(W171),MONTH(Metrics!$B$5), DAY(Metrics!$B$5))</f>
        <v>44440</v>
      </c>
      <c r="Y171" s="16">
        <f t="shared" si="2"/>
        <v>2021</v>
      </c>
    </row>
    <row r="172" spans="21:25" ht="16" x14ac:dyDescent="0.2">
      <c r="U172" s="12">
        <v>6747</v>
      </c>
      <c r="V172" s="13" t="s">
        <v>29</v>
      </c>
      <c r="W172" s="18" t="str">
        <f>TEXT(VLOOKUP(U172, News!A:C, 3, FALSE), "M/D/YYYY")</f>
        <v>12/17/2021</v>
      </c>
      <c r="X172" s="18">
        <f>DATE(YEAR(W172),MONTH(Metrics!$B$5), DAY(Metrics!$B$5))</f>
        <v>44440</v>
      </c>
      <c r="Y172" s="16">
        <f t="shared" si="2"/>
        <v>2022</v>
      </c>
    </row>
    <row r="173" spans="21:25" ht="16" x14ac:dyDescent="0.2">
      <c r="U173" s="12">
        <v>7305</v>
      </c>
      <c r="V173" s="13" t="s">
        <v>29</v>
      </c>
      <c r="W173" s="18" t="str">
        <f>TEXT(VLOOKUP(U173, News!A:C, 3, FALSE), "M/D/YYYY")</f>
        <v>8/12/2022</v>
      </c>
      <c r="X173" s="18">
        <f>DATE(YEAR(W173),MONTH(Metrics!$B$5), DAY(Metrics!$B$5))</f>
        <v>44805</v>
      </c>
      <c r="Y173" s="16">
        <f t="shared" si="2"/>
        <v>2022</v>
      </c>
    </row>
    <row r="174" spans="21:25" ht="16" x14ac:dyDescent="0.2">
      <c r="U174" s="12">
        <v>7359</v>
      </c>
      <c r="V174" s="13" t="s">
        <v>29</v>
      </c>
      <c r="W174" s="18" t="str">
        <f>TEXT(VLOOKUP(U174, News!A:C, 3, FALSE), "M/D/YYYY")</f>
        <v>8/29/2022</v>
      </c>
      <c r="X174" s="18">
        <f>DATE(YEAR(W174),MONTH(Metrics!$B$5), DAY(Metrics!$B$5))</f>
        <v>44805</v>
      </c>
      <c r="Y174" s="16">
        <f t="shared" si="2"/>
        <v>2022</v>
      </c>
    </row>
    <row r="175" spans="21:25" ht="16" x14ac:dyDescent="0.2">
      <c r="U175" s="12">
        <v>4912</v>
      </c>
      <c r="V175" s="13" t="s">
        <v>29</v>
      </c>
      <c r="W175" s="18" t="str">
        <f>TEXT(VLOOKUP(U175, News!A:C, 3, FALSE), "M/D/YYYY")</f>
        <v>3/24/2020</v>
      </c>
      <c r="X175" s="18">
        <f>DATE(YEAR(W175),MONTH(Metrics!$B$5), DAY(Metrics!$B$5))</f>
        <v>44075</v>
      </c>
      <c r="Y175" s="16">
        <f t="shared" si="2"/>
        <v>2020</v>
      </c>
    </row>
    <row r="176" spans="21:25" ht="16" x14ac:dyDescent="0.2">
      <c r="U176" s="12">
        <v>1391</v>
      </c>
      <c r="V176" s="13" t="s">
        <v>29</v>
      </c>
      <c r="W176" s="18" t="str">
        <f>TEXT(VLOOKUP(U176, News!A:C, 3, FALSE), "M/D/YYYY")</f>
        <v>4/10/2018</v>
      </c>
      <c r="X176" s="18">
        <f>DATE(YEAR(W176),MONTH(Metrics!$B$5), DAY(Metrics!$B$5))</f>
        <v>43344</v>
      </c>
      <c r="Y176" s="16">
        <f t="shared" si="2"/>
        <v>2018</v>
      </c>
    </row>
    <row r="177" spans="21:25" ht="16" x14ac:dyDescent="0.2">
      <c r="U177" s="12">
        <v>7196</v>
      </c>
      <c r="V177" s="13" t="s">
        <v>29</v>
      </c>
      <c r="W177" s="18" t="str">
        <f>TEXT(VLOOKUP(U177, News!A:C, 3, FALSE), "M/D/YYYY")</f>
        <v>6/21/2022</v>
      </c>
      <c r="X177" s="18">
        <f>DATE(YEAR(W177),MONTH(Metrics!$B$5), DAY(Metrics!$B$5))</f>
        <v>44805</v>
      </c>
      <c r="Y177" s="16">
        <f t="shared" si="2"/>
        <v>2022</v>
      </c>
    </row>
    <row r="178" spans="21:25" ht="16" x14ac:dyDescent="0.2">
      <c r="U178" s="12">
        <v>4978</v>
      </c>
      <c r="V178" s="13" t="s">
        <v>29</v>
      </c>
      <c r="W178" s="18" t="str">
        <f>TEXT(VLOOKUP(U178, News!A:C, 3, FALSE), "M/D/YYYY")</f>
        <v>5/29/2020</v>
      </c>
      <c r="X178" s="18">
        <f>DATE(YEAR(W178),MONTH(Metrics!$B$5), DAY(Metrics!$B$5))</f>
        <v>44075</v>
      </c>
      <c r="Y178" s="16">
        <f t="shared" si="2"/>
        <v>2020</v>
      </c>
    </row>
    <row r="179" spans="21:25" ht="16" x14ac:dyDescent="0.2">
      <c r="U179" s="12">
        <v>2551</v>
      </c>
      <c r="V179" s="13" t="s">
        <v>29</v>
      </c>
      <c r="W179" s="18" t="str">
        <f>TEXT(VLOOKUP(U179, News!A:C, 3, FALSE), "M/D/YYYY")</f>
        <v>1/1/2017</v>
      </c>
      <c r="X179" s="18">
        <f>DATE(YEAR(W179),MONTH(Metrics!$B$5), DAY(Metrics!$B$5))</f>
        <v>42979</v>
      </c>
      <c r="Y179" s="16">
        <f t="shared" si="2"/>
        <v>2017</v>
      </c>
    </row>
    <row r="180" spans="21:25" ht="16" x14ac:dyDescent="0.2">
      <c r="U180" s="12">
        <v>1289</v>
      </c>
      <c r="V180" s="13" t="s">
        <v>29</v>
      </c>
      <c r="W180" s="18" t="str">
        <f>TEXT(VLOOKUP(U180, News!A:C, 3, FALSE), "M/D/YYYY")</f>
        <v>8/4/2018</v>
      </c>
      <c r="X180" s="18">
        <f>DATE(YEAR(W180),MONTH(Metrics!$B$5), DAY(Metrics!$B$5))</f>
        <v>43344</v>
      </c>
      <c r="Y180" s="16">
        <f t="shared" si="2"/>
        <v>2018</v>
      </c>
    </row>
    <row r="181" spans="21:25" ht="16" x14ac:dyDescent="0.2">
      <c r="U181" s="12">
        <v>1351</v>
      </c>
      <c r="V181" s="13" t="s">
        <v>29</v>
      </c>
      <c r="W181" s="18" t="str">
        <f>TEXT(VLOOKUP(U181, News!A:C, 3, FALSE), "M/D/YYYY")</f>
        <v>5/10/2018</v>
      </c>
      <c r="X181" s="18">
        <f>DATE(YEAR(W181),MONTH(Metrics!$B$5), DAY(Metrics!$B$5))</f>
        <v>43344</v>
      </c>
      <c r="Y181" s="16">
        <f t="shared" si="2"/>
        <v>2018</v>
      </c>
    </row>
    <row r="182" spans="21:25" ht="16" x14ac:dyDescent="0.2">
      <c r="U182" s="12">
        <v>1377</v>
      </c>
      <c r="V182" s="13" t="s">
        <v>29</v>
      </c>
      <c r="W182" s="18" t="str">
        <f>TEXT(VLOOKUP(U182, News!A:C, 3, FALSE), "M/D/YYYY")</f>
        <v>10/21/2017</v>
      </c>
      <c r="X182" s="18">
        <f>DATE(YEAR(W182),MONTH(Metrics!$B$5), DAY(Metrics!$B$5))</f>
        <v>42979</v>
      </c>
      <c r="Y182" s="16">
        <f t="shared" si="2"/>
        <v>2018</v>
      </c>
    </row>
    <row r="183" spans="21:25" ht="16" x14ac:dyDescent="0.2">
      <c r="U183" s="12">
        <v>1390</v>
      </c>
      <c r="V183" s="13" t="s">
        <v>29</v>
      </c>
      <c r="W183" s="18" t="str">
        <f>TEXT(VLOOKUP(U183, News!A:C, 3, FALSE), "M/D/YYYY")</f>
        <v>4/20/2018</v>
      </c>
      <c r="X183" s="18">
        <f>DATE(YEAR(W183),MONTH(Metrics!$B$5), DAY(Metrics!$B$5))</f>
        <v>43344</v>
      </c>
      <c r="Y183" s="16">
        <f t="shared" si="2"/>
        <v>2018</v>
      </c>
    </row>
    <row r="184" spans="21:25" ht="16" x14ac:dyDescent="0.2">
      <c r="U184" s="12">
        <v>1392</v>
      </c>
      <c r="V184" s="13" t="s">
        <v>29</v>
      </c>
      <c r="W184" s="18" t="str">
        <f>TEXT(VLOOKUP(U184, News!A:C, 3, FALSE), "M/D/YYYY")</f>
        <v>4/5/2018</v>
      </c>
      <c r="X184" s="18">
        <f>DATE(YEAR(W184),MONTH(Metrics!$B$5), DAY(Metrics!$B$5))</f>
        <v>43344</v>
      </c>
      <c r="Y184" s="16">
        <f t="shared" si="2"/>
        <v>2018</v>
      </c>
    </row>
    <row r="185" spans="21:25" ht="16" x14ac:dyDescent="0.2">
      <c r="U185" s="12">
        <v>2087</v>
      </c>
      <c r="V185" s="13" t="s">
        <v>29</v>
      </c>
      <c r="W185" s="18" t="str">
        <f>TEXT(VLOOKUP(U185, News!A:C, 3, FALSE), "M/D/YYYY")</f>
        <v>7/31/2017</v>
      </c>
      <c r="X185" s="18">
        <f>DATE(YEAR(W185),MONTH(Metrics!$B$5), DAY(Metrics!$B$5))</f>
        <v>42979</v>
      </c>
      <c r="Y185" s="16">
        <f t="shared" si="2"/>
        <v>2017</v>
      </c>
    </row>
    <row r="186" spans="21:25" ht="16" x14ac:dyDescent="0.2">
      <c r="U186" s="12">
        <v>2088</v>
      </c>
      <c r="V186" s="13" t="s">
        <v>29</v>
      </c>
      <c r="W186" s="18" t="str">
        <f>TEXT(VLOOKUP(U186, News!A:C, 3, FALSE), "M/D/YYYY")</f>
        <v>7/20/2017</v>
      </c>
      <c r="X186" s="18">
        <f>DATE(YEAR(W186),MONTH(Metrics!$B$5), DAY(Metrics!$B$5))</f>
        <v>42979</v>
      </c>
      <c r="Y186" s="16">
        <f t="shared" si="2"/>
        <v>2017</v>
      </c>
    </row>
    <row r="187" spans="21:25" ht="16" x14ac:dyDescent="0.2">
      <c r="U187" s="12">
        <v>2340</v>
      </c>
      <c r="V187" s="13" t="s">
        <v>29</v>
      </c>
      <c r="W187" s="18" t="str">
        <f>TEXT(VLOOKUP(U187, News!A:C, 3, FALSE), "M/D/YYYY")</f>
        <v>4/29/2017</v>
      </c>
      <c r="X187" s="18">
        <f>DATE(YEAR(W187),MONTH(Metrics!$B$5), DAY(Metrics!$B$5))</f>
        <v>42979</v>
      </c>
      <c r="Y187" s="16">
        <f t="shared" si="2"/>
        <v>2017</v>
      </c>
    </row>
    <row r="188" spans="21:25" ht="16" x14ac:dyDescent="0.2">
      <c r="U188" s="12">
        <v>2768</v>
      </c>
      <c r="V188" s="13" t="s">
        <v>29</v>
      </c>
      <c r="W188" s="18" t="str">
        <f>TEXT(VLOOKUP(U188, News!A:C, 3, FALSE), "M/D/YYYY")</f>
        <v>12/31/2016</v>
      </c>
      <c r="X188" s="18">
        <f>DATE(YEAR(W188),MONTH(Metrics!$B$5), DAY(Metrics!$B$5))</f>
        <v>42614</v>
      </c>
      <c r="Y188" s="16">
        <f t="shared" si="2"/>
        <v>2017</v>
      </c>
    </row>
    <row r="189" spans="21:25" ht="16" x14ac:dyDescent="0.2">
      <c r="U189" s="12">
        <v>3225</v>
      </c>
      <c r="V189" s="13" t="s">
        <v>29</v>
      </c>
      <c r="W189" s="18" t="str">
        <f>TEXT(VLOOKUP(U189, News!A:C, 3, FALSE), "M/D/YYYY")</f>
        <v>12/13/2018</v>
      </c>
      <c r="X189" s="18">
        <f>DATE(YEAR(W189),MONTH(Metrics!$B$5), DAY(Metrics!$B$5))</f>
        <v>43344</v>
      </c>
      <c r="Y189" s="16">
        <f t="shared" si="2"/>
        <v>2019</v>
      </c>
    </row>
    <row r="190" spans="21:25" ht="16" x14ac:dyDescent="0.2">
      <c r="U190" s="12">
        <v>3343</v>
      </c>
      <c r="V190" s="13" t="s">
        <v>29</v>
      </c>
      <c r="W190" s="18" t="str">
        <f>TEXT(VLOOKUP(U190, News!A:C, 3, FALSE), "M/D/YYYY")</f>
        <v>6/1/2016</v>
      </c>
      <c r="X190" s="18">
        <f>DATE(YEAR(W190),MONTH(Metrics!$B$5), DAY(Metrics!$B$5))</f>
        <v>42614</v>
      </c>
      <c r="Y190" s="16">
        <f t="shared" si="2"/>
        <v>2016</v>
      </c>
    </row>
    <row r="191" spans="21:25" ht="16" x14ac:dyDescent="0.2">
      <c r="U191" s="12">
        <v>3410</v>
      </c>
      <c r="V191" s="13" t="s">
        <v>29</v>
      </c>
      <c r="W191" s="18" t="str">
        <f>TEXT(VLOOKUP(U191, News!A:C, 3, FALSE), "M/D/YYYY")</f>
        <v>1/15/2019</v>
      </c>
      <c r="X191" s="18">
        <f>DATE(YEAR(W191),MONTH(Metrics!$B$5), DAY(Metrics!$B$5))</f>
        <v>43709</v>
      </c>
      <c r="Y191" s="16">
        <f t="shared" si="2"/>
        <v>2019</v>
      </c>
    </row>
    <row r="192" spans="21:25" ht="16" x14ac:dyDescent="0.2">
      <c r="U192" s="12">
        <v>3735</v>
      </c>
      <c r="V192" s="13" t="s">
        <v>29</v>
      </c>
      <c r="W192" s="18" t="str">
        <f>TEXT(VLOOKUP(U192, News!A:C, 3, FALSE), "M/D/YYYY")</f>
        <v>10/31/2015</v>
      </c>
      <c r="X192" s="18">
        <f>DATE(YEAR(W192),MONTH(Metrics!$B$5), DAY(Metrics!$B$5))</f>
        <v>42248</v>
      </c>
      <c r="Y192" s="16">
        <f t="shared" si="2"/>
        <v>2016</v>
      </c>
    </row>
    <row r="193" spans="21:25" ht="16" x14ac:dyDescent="0.2">
      <c r="U193" s="12">
        <v>3797</v>
      </c>
      <c r="V193" s="13" t="s">
        <v>29</v>
      </c>
      <c r="W193" s="18" t="str">
        <f>TEXT(VLOOKUP(U193, News!A:C, 3, FALSE), "M/D/YYYY")</f>
        <v>7/20/2015</v>
      </c>
      <c r="X193" s="18">
        <f>DATE(YEAR(W193),MONTH(Metrics!$B$5), DAY(Metrics!$B$5))</f>
        <v>42248</v>
      </c>
      <c r="Y193" s="16">
        <f t="shared" si="2"/>
        <v>2015</v>
      </c>
    </row>
    <row r="194" spans="21:25" ht="16" x14ac:dyDescent="0.2">
      <c r="U194" s="12">
        <v>3887</v>
      </c>
      <c r="V194" s="13" t="s">
        <v>29</v>
      </c>
      <c r="W194" s="18" t="str">
        <f>TEXT(VLOOKUP(U194, News!A:C, 3, FALSE), "M/D/YYYY")</f>
        <v>6/5/2015</v>
      </c>
      <c r="X194" s="18">
        <f>DATE(YEAR(W194),MONTH(Metrics!$B$5), DAY(Metrics!$B$5))</f>
        <v>42248</v>
      </c>
      <c r="Y194" s="16">
        <f t="shared" si="2"/>
        <v>2015</v>
      </c>
    </row>
    <row r="195" spans="21:25" ht="16" x14ac:dyDescent="0.2">
      <c r="U195" s="12">
        <v>3964</v>
      </c>
      <c r="V195" s="13" t="s">
        <v>29</v>
      </c>
      <c r="W195" s="18" t="str">
        <f>TEXT(VLOOKUP(U195, News!A:C, 3, FALSE), "M/D/YYYY")</f>
        <v>4/19/2019</v>
      </c>
      <c r="X195" s="18">
        <f>DATE(YEAR(W195),MONTH(Metrics!$B$5), DAY(Metrics!$B$5))</f>
        <v>43709</v>
      </c>
      <c r="Y195" s="16">
        <f t="shared" ref="Y195:Y258" si="3">IF(MONTH(W195) &gt;= MONTH(X195), YEAR(W195)+1, YEAR(W195))</f>
        <v>2019</v>
      </c>
    </row>
    <row r="196" spans="21:25" ht="16" x14ac:dyDescent="0.2">
      <c r="U196" s="12">
        <v>4028</v>
      </c>
      <c r="V196" s="13" t="s">
        <v>29</v>
      </c>
      <c r="W196" s="18" t="str">
        <f>TEXT(VLOOKUP(U196, News!A:C, 3, FALSE), "M/D/YYYY")</f>
        <v>12/15/2014</v>
      </c>
      <c r="X196" s="18">
        <f>DATE(YEAR(W196),MONTH(Metrics!$B$5), DAY(Metrics!$B$5))</f>
        <v>41883</v>
      </c>
      <c r="Y196" s="16">
        <f t="shared" si="3"/>
        <v>2015</v>
      </c>
    </row>
    <row r="197" spans="21:25" ht="16" x14ac:dyDescent="0.2">
      <c r="U197" s="12">
        <v>4093</v>
      </c>
      <c r="V197" s="13" t="s">
        <v>29</v>
      </c>
      <c r="W197" s="18" t="str">
        <f>TEXT(VLOOKUP(U197, News!A:C, 3, FALSE), "M/D/YYYY")</f>
        <v>8/1/2014</v>
      </c>
      <c r="X197" s="18">
        <f>DATE(YEAR(W197),MONTH(Metrics!$B$5), DAY(Metrics!$B$5))</f>
        <v>41883</v>
      </c>
      <c r="Y197" s="16">
        <f t="shared" si="3"/>
        <v>2014</v>
      </c>
    </row>
    <row r="198" spans="21:25" ht="16" x14ac:dyDescent="0.2">
      <c r="U198" s="12">
        <v>4608</v>
      </c>
      <c r="V198" s="13" t="s">
        <v>29</v>
      </c>
      <c r="W198" s="18" t="str">
        <f>TEXT(VLOOKUP(U198, News!A:C, 3, FALSE), "M/D/YYYY")</f>
        <v>10/25/2019</v>
      </c>
      <c r="X198" s="18">
        <f>DATE(YEAR(W198),MONTH(Metrics!$B$5), DAY(Metrics!$B$5))</f>
        <v>43709</v>
      </c>
      <c r="Y198" s="16">
        <f t="shared" si="3"/>
        <v>2020</v>
      </c>
    </row>
    <row r="199" spans="21:25" ht="16" x14ac:dyDescent="0.2">
      <c r="U199" s="12">
        <v>4659</v>
      </c>
      <c r="V199" s="13" t="s">
        <v>29</v>
      </c>
      <c r="W199" s="18" t="str">
        <f>TEXT(VLOOKUP(U199, News!A:C, 3, FALSE), "M/D/YYYY")</f>
        <v>11/18/2019</v>
      </c>
      <c r="X199" s="18">
        <f>DATE(YEAR(W199),MONTH(Metrics!$B$5), DAY(Metrics!$B$5))</f>
        <v>43709</v>
      </c>
      <c r="Y199" s="16">
        <f t="shared" si="3"/>
        <v>2020</v>
      </c>
    </row>
    <row r="200" spans="21:25" ht="16" x14ac:dyDescent="0.2">
      <c r="U200" s="12">
        <v>4982</v>
      </c>
      <c r="V200" s="13" t="s">
        <v>29</v>
      </c>
      <c r="W200" s="18" t="str">
        <f>TEXT(VLOOKUP(U200, News!A:C, 3, FALSE), "M/D/YYYY")</f>
        <v>6/19/2020</v>
      </c>
      <c r="X200" s="18">
        <f>DATE(YEAR(W200),MONTH(Metrics!$B$5), DAY(Metrics!$B$5))</f>
        <v>44075</v>
      </c>
      <c r="Y200" s="16">
        <f t="shared" si="3"/>
        <v>2020</v>
      </c>
    </row>
    <row r="201" spans="21:25" ht="16" x14ac:dyDescent="0.2">
      <c r="U201" s="12">
        <v>5094</v>
      </c>
      <c r="V201" s="13" t="s">
        <v>29</v>
      </c>
      <c r="W201" s="18" t="str">
        <f>TEXT(VLOOKUP(U201, News!A:C, 3, FALSE), "M/D/YYYY")</f>
        <v>9/8/2020</v>
      </c>
      <c r="X201" s="18">
        <f>DATE(YEAR(W201),MONTH(Metrics!$B$5), DAY(Metrics!$B$5))</f>
        <v>44075</v>
      </c>
      <c r="Y201" s="16">
        <f t="shared" si="3"/>
        <v>2021</v>
      </c>
    </row>
    <row r="202" spans="21:25" ht="16" x14ac:dyDescent="0.2">
      <c r="U202" s="12">
        <v>5726</v>
      </c>
      <c r="V202" s="13" t="s">
        <v>29</v>
      </c>
      <c r="W202" s="18" t="str">
        <f>TEXT(VLOOKUP(U202, News!A:C, 3, FALSE), "M/D/YYYY")</f>
        <v>12/21/2020</v>
      </c>
      <c r="X202" s="18">
        <f>DATE(YEAR(W202),MONTH(Metrics!$B$5), DAY(Metrics!$B$5))</f>
        <v>44075</v>
      </c>
      <c r="Y202" s="16">
        <f t="shared" si="3"/>
        <v>2021</v>
      </c>
    </row>
    <row r="203" spans="21:25" ht="16" x14ac:dyDescent="0.2">
      <c r="U203" s="12">
        <v>6828</v>
      </c>
      <c r="V203" s="13" t="s">
        <v>29</v>
      </c>
      <c r="W203" s="18" t="str">
        <f>TEXT(VLOOKUP(U203, News!A:C, 3, FALSE), "M/D/YYYY")</f>
        <v>1/26/2022</v>
      </c>
      <c r="X203" s="18">
        <f>DATE(YEAR(W203),MONTH(Metrics!$B$5), DAY(Metrics!$B$5))</f>
        <v>44805</v>
      </c>
      <c r="Y203" s="16">
        <f t="shared" si="3"/>
        <v>2022</v>
      </c>
    </row>
    <row r="204" spans="21:25" ht="16" x14ac:dyDescent="0.2">
      <c r="U204" s="12">
        <v>7155</v>
      </c>
      <c r="V204" s="13" t="s">
        <v>29</v>
      </c>
      <c r="W204" s="18" t="str">
        <f>TEXT(VLOOKUP(U204, News!A:C, 3, FALSE), "M/D/YYYY")</f>
        <v>6/7/2022</v>
      </c>
      <c r="X204" s="18">
        <f>DATE(YEAR(W204),MONTH(Metrics!$B$5), DAY(Metrics!$B$5))</f>
        <v>44805</v>
      </c>
      <c r="Y204" s="16">
        <f t="shared" si="3"/>
        <v>2022</v>
      </c>
    </row>
    <row r="205" spans="21:25" ht="16" x14ac:dyDescent="0.2">
      <c r="U205" s="12">
        <v>8015</v>
      </c>
      <c r="V205" s="13" t="s">
        <v>29</v>
      </c>
      <c r="W205" s="18" t="str">
        <f>TEXT(VLOOKUP(U205, News!A:C, 3, FALSE), "M/D/YYYY")</f>
        <v>2/3/2023</v>
      </c>
      <c r="X205" s="18">
        <f>DATE(YEAR(W205),MONTH(Metrics!$B$5), DAY(Metrics!$B$5))</f>
        <v>45170</v>
      </c>
      <c r="Y205" s="16">
        <f t="shared" si="3"/>
        <v>2023</v>
      </c>
    </row>
    <row r="206" spans="21:25" ht="16" x14ac:dyDescent="0.2">
      <c r="U206" s="12">
        <v>8056</v>
      </c>
      <c r="V206" s="13" t="s">
        <v>29</v>
      </c>
      <c r="W206" s="18" t="str">
        <f>TEXT(VLOOKUP(U206, News!A:C, 3, FALSE), "M/D/YYYY")</f>
        <v>2/16/2023</v>
      </c>
      <c r="X206" s="18">
        <f>DATE(YEAR(W206),MONTH(Metrics!$B$5), DAY(Metrics!$B$5))</f>
        <v>45170</v>
      </c>
      <c r="Y206" s="16">
        <f t="shared" si="3"/>
        <v>2023</v>
      </c>
    </row>
    <row r="207" spans="21:25" ht="16" x14ac:dyDescent="0.2">
      <c r="U207" s="12">
        <v>1460</v>
      </c>
      <c r="V207" s="13" t="s">
        <v>29</v>
      </c>
      <c r="W207" s="18" t="str">
        <f>TEXT(VLOOKUP(U207, News!A:C, 3, FALSE), "M/D/YYYY")</f>
        <v>12/6/2017</v>
      </c>
      <c r="X207" s="18">
        <f>DATE(YEAR(W207),MONTH(Metrics!$B$5), DAY(Metrics!$B$5))</f>
        <v>42979</v>
      </c>
      <c r="Y207" s="16">
        <f t="shared" si="3"/>
        <v>2018</v>
      </c>
    </row>
    <row r="208" spans="21:25" ht="16" x14ac:dyDescent="0.2">
      <c r="U208" s="12">
        <v>4794</v>
      </c>
      <c r="V208" s="13" t="s">
        <v>29</v>
      </c>
      <c r="W208" s="18" t="str">
        <f>TEXT(VLOOKUP(U208, News!A:C, 3, FALSE), "M/D/YYYY")</f>
        <v>2/19/2020</v>
      </c>
      <c r="X208" s="18">
        <f>DATE(YEAR(W208),MONTH(Metrics!$B$5), DAY(Metrics!$B$5))</f>
        <v>44075</v>
      </c>
      <c r="Y208" s="16">
        <f t="shared" si="3"/>
        <v>2020</v>
      </c>
    </row>
    <row r="209" spans="21:25" ht="16" x14ac:dyDescent="0.2">
      <c r="U209" s="12">
        <v>4073</v>
      </c>
      <c r="V209" s="13" t="s">
        <v>29</v>
      </c>
      <c r="W209" s="18" t="str">
        <f>TEXT(VLOOKUP(U209, News!A:C, 3, FALSE), "M/D/YYYY")</f>
        <v>9/30/2014</v>
      </c>
      <c r="X209" s="18">
        <f>DATE(YEAR(W209),MONTH(Metrics!$B$5), DAY(Metrics!$B$5))</f>
        <v>41883</v>
      </c>
      <c r="Y209" s="16">
        <f t="shared" si="3"/>
        <v>2015</v>
      </c>
    </row>
    <row r="210" spans="21:25" ht="16" x14ac:dyDescent="0.2">
      <c r="U210" s="12">
        <v>4800</v>
      </c>
      <c r="V210" s="13" t="s">
        <v>29</v>
      </c>
      <c r="W210" s="18" t="str">
        <f>TEXT(VLOOKUP(U210, News!A:C, 3, FALSE), "M/D/YYYY")</f>
        <v>12/18/2019</v>
      </c>
      <c r="X210" s="18">
        <f>DATE(YEAR(W210),MONTH(Metrics!$B$5), DAY(Metrics!$B$5))</f>
        <v>43709</v>
      </c>
      <c r="Y210" s="16">
        <f t="shared" si="3"/>
        <v>2020</v>
      </c>
    </row>
    <row r="211" spans="21:25" ht="16" x14ac:dyDescent="0.2">
      <c r="U211" s="12">
        <v>6078</v>
      </c>
      <c r="V211" s="13" t="s">
        <v>29</v>
      </c>
      <c r="W211" s="18" t="str">
        <f>TEXT(VLOOKUP(U211, News!A:C, 3, FALSE), "M/D/YYYY")</f>
        <v>5/17/2021</v>
      </c>
      <c r="X211" s="18">
        <f>DATE(YEAR(W211),MONTH(Metrics!$B$5), DAY(Metrics!$B$5))</f>
        <v>44440</v>
      </c>
      <c r="Y211" s="16">
        <f t="shared" si="3"/>
        <v>2021</v>
      </c>
    </row>
    <row r="212" spans="21:25" ht="16" x14ac:dyDescent="0.2">
      <c r="U212" s="12">
        <v>6553</v>
      </c>
      <c r="V212" s="13" t="s">
        <v>29</v>
      </c>
      <c r="W212" s="18" t="str">
        <f>TEXT(VLOOKUP(U212, News!A:C, 3, FALSE), "M/D/YYYY")</f>
        <v>10/14/2021</v>
      </c>
      <c r="X212" s="18">
        <f>DATE(YEAR(W212),MONTH(Metrics!$B$5), DAY(Metrics!$B$5))</f>
        <v>44440</v>
      </c>
      <c r="Y212" s="16">
        <f t="shared" si="3"/>
        <v>2022</v>
      </c>
    </row>
    <row r="213" spans="21:25" ht="16" x14ac:dyDescent="0.2">
      <c r="U213" s="12">
        <v>7265</v>
      </c>
      <c r="V213" s="13" t="s">
        <v>29</v>
      </c>
      <c r="W213" s="18" t="str">
        <f>TEXT(VLOOKUP(U213, News!A:C, 3, FALSE), "M/D/YYYY")</f>
        <v>7/12/2022</v>
      </c>
      <c r="X213" s="18">
        <f>DATE(YEAR(W213),MONTH(Metrics!$B$5), DAY(Metrics!$B$5))</f>
        <v>44805</v>
      </c>
      <c r="Y213" s="16">
        <f t="shared" si="3"/>
        <v>2022</v>
      </c>
    </row>
    <row r="214" spans="21:25" ht="16" x14ac:dyDescent="0.2">
      <c r="U214" s="12">
        <v>5606</v>
      </c>
      <c r="V214" s="13" t="s">
        <v>29</v>
      </c>
      <c r="W214" s="18" t="str">
        <f>TEXT(VLOOKUP(U214, News!A:C, 3, FALSE), "M/D/YYYY")</f>
        <v>11/23/2020</v>
      </c>
      <c r="X214" s="18">
        <f>DATE(YEAR(W214),MONTH(Metrics!$B$5), DAY(Metrics!$B$5))</f>
        <v>44075</v>
      </c>
      <c r="Y214" s="16">
        <f t="shared" si="3"/>
        <v>2021</v>
      </c>
    </row>
    <row r="215" spans="21:25" ht="16" x14ac:dyDescent="0.2">
      <c r="U215" s="12">
        <v>4164</v>
      </c>
      <c r="V215" s="13" t="s">
        <v>29</v>
      </c>
      <c r="W215" s="18" t="str">
        <f>TEXT(VLOOKUP(U215, News!A:C, 3, FALSE), "M/D/YYYY")</f>
        <v>6/4/2019</v>
      </c>
      <c r="X215" s="18">
        <f>DATE(YEAR(W215),MONTH(Metrics!$B$5), DAY(Metrics!$B$5))</f>
        <v>43709</v>
      </c>
      <c r="Y215" s="16">
        <f t="shared" si="3"/>
        <v>2019</v>
      </c>
    </row>
    <row r="216" spans="21:25" ht="16" x14ac:dyDescent="0.2">
      <c r="U216" s="12">
        <v>4167</v>
      </c>
      <c r="V216" s="13" t="s">
        <v>29</v>
      </c>
      <c r="W216" s="18" t="str">
        <f>TEXT(VLOOKUP(U216, News!A:C, 3, FALSE), "M/D/YYYY")</f>
        <v>6/4/2019</v>
      </c>
      <c r="X216" s="18">
        <f>DATE(YEAR(W216),MONTH(Metrics!$B$5), DAY(Metrics!$B$5))</f>
        <v>43709</v>
      </c>
      <c r="Y216" s="16">
        <f t="shared" si="3"/>
        <v>2019</v>
      </c>
    </row>
    <row r="217" spans="21:25" ht="16" x14ac:dyDescent="0.2">
      <c r="U217" s="12">
        <v>6083</v>
      </c>
      <c r="V217" s="13" t="s">
        <v>29</v>
      </c>
      <c r="W217" s="18" t="str">
        <f>TEXT(VLOOKUP(U217, News!A:C, 3, FALSE), "M/D/YYYY")</f>
        <v>5/18/2021</v>
      </c>
      <c r="X217" s="18">
        <f>DATE(YEAR(W217),MONTH(Metrics!$B$5), DAY(Metrics!$B$5))</f>
        <v>44440</v>
      </c>
      <c r="Y217" s="16">
        <f t="shared" si="3"/>
        <v>2021</v>
      </c>
    </row>
    <row r="218" spans="21:25" ht="16" x14ac:dyDescent="0.2">
      <c r="U218" s="12">
        <v>7400</v>
      </c>
      <c r="V218" s="13" t="s">
        <v>29</v>
      </c>
      <c r="W218" s="18" t="str">
        <f>TEXT(VLOOKUP(U218, News!A:C, 3, FALSE), "M/D/YYYY")</f>
        <v>9/6/2022</v>
      </c>
      <c r="X218" s="18">
        <f>DATE(YEAR(W218),MONTH(Metrics!$B$5), DAY(Metrics!$B$5))</f>
        <v>44805</v>
      </c>
      <c r="Y218" s="16">
        <f t="shared" si="3"/>
        <v>2023</v>
      </c>
    </row>
    <row r="219" spans="21:25" ht="16" x14ac:dyDescent="0.2">
      <c r="U219" s="12">
        <v>2338</v>
      </c>
      <c r="V219" s="13" t="s">
        <v>21</v>
      </c>
      <c r="W219" s="18" t="str">
        <f>TEXT(VLOOKUP(U219, News!A:C, 3, FALSE), "M/D/YYYY")</f>
        <v>4/30/2017</v>
      </c>
      <c r="X219" s="18">
        <f>DATE(YEAR(W219),MONTH(Metrics!$B$5), DAY(Metrics!$B$5))</f>
        <v>42979</v>
      </c>
      <c r="Y219" s="16">
        <f t="shared" si="3"/>
        <v>2017</v>
      </c>
    </row>
    <row r="220" spans="21:25" ht="16" x14ac:dyDescent="0.2">
      <c r="U220" s="12">
        <v>2525</v>
      </c>
      <c r="V220" s="13" t="s">
        <v>21</v>
      </c>
      <c r="W220" s="18" t="str">
        <f>TEXT(VLOOKUP(U220, News!A:C, 3, FALSE), "M/D/YYYY")</f>
        <v>1/28/2017</v>
      </c>
      <c r="X220" s="18">
        <f>DATE(YEAR(W220),MONTH(Metrics!$B$5), DAY(Metrics!$B$5))</f>
        <v>42979</v>
      </c>
      <c r="Y220" s="16">
        <f t="shared" si="3"/>
        <v>2017</v>
      </c>
    </row>
    <row r="221" spans="21:25" ht="16" x14ac:dyDescent="0.2">
      <c r="U221" s="12">
        <v>5535</v>
      </c>
      <c r="V221" s="13" t="s">
        <v>21</v>
      </c>
      <c r="W221" s="18" t="str">
        <f>TEXT(VLOOKUP(U221, News!A:C, 3, FALSE), "M/D/YYYY")</f>
        <v>10/30/2020</v>
      </c>
      <c r="X221" s="18">
        <f>DATE(YEAR(W221),MONTH(Metrics!$B$5), DAY(Metrics!$B$5))</f>
        <v>44075</v>
      </c>
      <c r="Y221" s="16">
        <f t="shared" si="3"/>
        <v>2021</v>
      </c>
    </row>
    <row r="222" spans="21:25" ht="16" x14ac:dyDescent="0.2">
      <c r="U222" s="12">
        <v>5883</v>
      </c>
      <c r="V222" s="13" t="s">
        <v>21</v>
      </c>
      <c r="W222" s="18" t="str">
        <f>TEXT(VLOOKUP(U222, News!A:C, 3, FALSE), "M/D/YYYY")</f>
        <v>3/18/2021</v>
      </c>
      <c r="X222" s="18">
        <f>DATE(YEAR(W222),MONTH(Metrics!$B$5), DAY(Metrics!$B$5))</f>
        <v>44440</v>
      </c>
      <c r="Y222" s="16">
        <f t="shared" si="3"/>
        <v>2021</v>
      </c>
    </row>
    <row r="223" spans="21:25" ht="16" x14ac:dyDescent="0.2">
      <c r="U223" s="12">
        <v>7040</v>
      </c>
      <c r="V223" s="13" t="s">
        <v>21</v>
      </c>
      <c r="W223" s="18" t="str">
        <f>TEXT(VLOOKUP(U223, News!A:C, 3, FALSE), "M/D/YYYY")</f>
        <v>4/8/2022</v>
      </c>
      <c r="X223" s="18">
        <f>DATE(YEAR(W223),MONTH(Metrics!$B$5), DAY(Metrics!$B$5))</f>
        <v>44805</v>
      </c>
      <c r="Y223" s="16">
        <f t="shared" si="3"/>
        <v>2022</v>
      </c>
    </row>
    <row r="224" spans="21:25" ht="16" x14ac:dyDescent="0.2">
      <c r="U224" s="12">
        <v>7357</v>
      </c>
      <c r="V224" s="13" t="s">
        <v>21</v>
      </c>
      <c r="W224" s="18" t="str">
        <f>TEXT(VLOOKUP(U224, News!A:C, 3, FALSE), "M/D/YYYY")</f>
        <v>9/1/2022</v>
      </c>
      <c r="X224" s="18">
        <f>DATE(YEAR(W224),MONTH(Metrics!$B$5), DAY(Metrics!$B$5))</f>
        <v>44805</v>
      </c>
      <c r="Y224" s="16">
        <f t="shared" si="3"/>
        <v>2023</v>
      </c>
    </row>
    <row r="225" spans="21:25" ht="16" x14ac:dyDescent="0.2">
      <c r="U225" s="12">
        <v>7358</v>
      </c>
      <c r="V225" s="13" t="s">
        <v>21</v>
      </c>
      <c r="W225" s="18" t="str">
        <f>TEXT(VLOOKUP(U225, News!A:C, 3, FALSE), "M/D/YYYY")</f>
        <v>9/12/2022</v>
      </c>
      <c r="X225" s="18">
        <f>DATE(YEAR(W225),MONTH(Metrics!$B$5), DAY(Metrics!$B$5))</f>
        <v>44805</v>
      </c>
      <c r="Y225" s="16">
        <f t="shared" si="3"/>
        <v>2023</v>
      </c>
    </row>
    <row r="226" spans="21:25" ht="16" x14ac:dyDescent="0.2">
      <c r="U226" s="12">
        <v>7355</v>
      </c>
      <c r="V226" s="13" t="s">
        <v>21</v>
      </c>
      <c r="W226" s="18" t="str">
        <f>TEXT(VLOOKUP(U226, News!A:C, 3, FALSE), "M/D/YYYY")</f>
        <v>9/16/2022</v>
      </c>
      <c r="X226" s="18">
        <f>DATE(YEAR(W226),MONTH(Metrics!$B$5), DAY(Metrics!$B$5))</f>
        <v>44805</v>
      </c>
      <c r="Y226" s="16">
        <f t="shared" si="3"/>
        <v>2023</v>
      </c>
    </row>
    <row r="227" spans="21:25" ht="16" x14ac:dyDescent="0.2">
      <c r="U227" s="12">
        <v>7881</v>
      </c>
      <c r="V227" s="13" t="s">
        <v>21</v>
      </c>
      <c r="W227" s="18" t="str">
        <f>TEXT(VLOOKUP(U227, News!A:C, 3, FALSE), "M/D/YYYY")</f>
        <v>1/10/2023</v>
      </c>
      <c r="X227" s="18">
        <f>DATE(YEAR(W227),MONTH(Metrics!$B$5), DAY(Metrics!$B$5))</f>
        <v>45170</v>
      </c>
      <c r="Y227" s="16">
        <f t="shared" si="3"/>
        <v>2023</v>
      </c>
    </row>
    <row r="228" spans="21:25" ht="16" x14ac:dyDescent="0.2">
      <c r="U228" s="12">
        <v>8204</v>
      </c>
      <c r="V228" s="13" t="s">
        <v>21</v>
      </c>
      <c r="W228" s="18" t="str">
        <f>TEXT(VLOOKUP(U228, News!A:C, 3, FALSE), "M/D/YYYY")</f>
        <v>4/18/2023</v>
      </c>
      <c r="X228" s="18">
        <f>DATE(YEAR(W228),MONTH(Metrics!$B$5), DAY(Metrics!$B$5))</f>
        <v>45170</v>
      </c>
      <c r="Y228" s="16">
        <f t="shared" si="3"/>
        <v>2023</v>
      </c>
    </row>
    <row r="229" spans="21:25" ht="16" x14ac:dyDescent="0.2">
      <c r="U229" s="12">
        <v>4816</v>
      </c>
      <c r="V229" s="13" t="s">
        <v>21</v>
      </c>
      <c r="W229" s="18" t="str">
        <f>TEXT(VLOOKUP(U229, News!A:C, 3, FALSE), "M/D/YYYY")</f>
        <v>1/10/2020</v>
      </c>
      <c r="X229" s="18">
        <f>DATE(YEAR(W229),MONTH(Metrics!$B$5), DAY(Metrics!$B$5))</f>
        <v>44075</v>
      </c>
      <c r="Y229" s="16">
        <f t="shared" si="3"/>
        <v>2020</v>
      </c>
    </row>
    <row r="230" spans="21:25" ht="16" x14ac:dyDescent="0.2">
      <c r="U230" s="12">
        <v>7954</v>
      </c>
      <c r="V230" s="13" t="s">
        <v>21</v>
      </c>
      <c r="W230" s="18" t="str">
        <f>TEXT(VLOOKUP(U230, News!A:C, 3, FALSE), "M/D/YYYY")</f>
        <v>1/23/2023</v>
      </c>
      <c r="X230" s="18">
        <f>DATE(YEAR(W230),MONTH(Metrics!$B$5), DAY(Metrics!$B$5))</f>
        <v>45170</v>
      </c>
      <c r="Y230" s="16">
        <f t="shared" si="3"/>
        <v>2023</v>
      </c>
    </row>
    <row r="231" spans="21:25" ht="16" x14ac:dyDescent="0.2">
      <c r="U231" s="12">
        <v>1353</v>
      </c>
      <c r="V231" s="13" t="s">
        <v>21</v>
      </c>
      <c r="W231" s="18" t="str">
        <f>TEXT(VLOOKUP(U231, News!A:C, 3, FALSE), "M/D/YYYY")</f>
        <v>5/9/2018</v>
      </c>
      <c r="X231" s="18">
        <f>DATE(YEAR(W231),MONTH(Metrics!$B$5), DAY(Metrics!$B$5))</f>
        <v>43344</v>
      </c>
      <c r="Y231" s="16">
        <f t="shared" si="3"/>
        <v>2018</v>
      </c>
    </row>
    <row r="232" spans="21:25" ht="16" x14ac:dyDescent="0.2">
      <c r="U232" s="12">
        <v>4912</v>
      </c>
      <c r="V232" s="13" t="s">
        <v>21</v>
      </c>
      <c r="W232" s="18" t="str">
        <f>TEXT(VLOOKUP(U232, News!A:C, 3, FALSE), "M/D/YYYY")</f>
        <v>3/24/2020</v>
      </c>
      <c r="X232" s="18">
        <f>DATE(YEAR(W232),MONTH(Metrics!$B$5), DAY(Metrics!$B$5))</f>
        <v>44075</v>
      </c>
      <c r="Y232" s="16">
        <f t="shared" si="3"/>
        <v>2020</v>
      </c>
    </row>
    <row r="233" spans="21:25" ht="16" x14ac:dyDescent="0.2">
      <c r="U233" s="12">
        <v>1391</v>
      </c>
      <c r="V233" s="13" t="s">
        <v>21</v>
      </c>
      <c r="W233" s="18" t="str">
        <f>TEXT(VLOOKUP(U233, News!A:C, 3, FALSE), "M/D/YYYY")</f>
        <v>4/10/2018</v>
      </c>
      <c r="X233" s="18">
        <f>DATE(YEAR(W233),MONTH(Metrics!$B$5), DAY(Metrics!$B$5))</f>
        <v>43344</v>
      </c>
      <c r="Y233" s="16">
        <f t="shared" si="3"/>
        <v>2018</v>
      </c>
    </row>
    <row r="234" spans="21:25" ht="16" x14ac:dyDescent="0.2">
      <c r="U234" s="12">
        <v>7196</v>
      </c>
      <c r="V234" s="13" t="s">
        <v>21</v>
      </c>
      <c r="W234" s="18" t="str">
        <f>TEXT(VLOOKUP(U234, News!A:C, 3, FALSE), "M/D/YYYY")</f>
        <v>6/21/2022</v>
      </c>
      <c r="X234" s="18">
        <f>DATE(YEAR(W234),MONTH(Metrics!$B$5), DAY(Metrics!$B$5))</f>
        <v>44805</v>
      </c>
      <c r="Y234" s="16">
        <f t="shared" si="3"/>
        <v>2022</v>
      </c>
    </row>
    <row r="235" spans="21:25" ht="16" x14ac:dyDescent="0.2">
      <c r="U235" s="12">
        <v>1312</v>
      </c>
      <c r="V235" s="13" t="s">
        <v>21</v>
      </c>
      <c r="W235" s="18" t="str">
        <f>TEXT(VLOOKUP(U235, News!A:C, 3, FALSE), "M/D/YYYY")</f>
        <v>5/30/2018</v>
      </c>
      <c r="X235" s="18">
        <f>DATE(YEAR(W235),MONTH(Metrics!$B$5), DAY(Metrics!$B$5))</f>
        <v>43344</v>
      </c>
      <c r="Y235" s="16">
        <f t="shared" si="3"/>
        <v>2018</v>
      </c>
    </row>
    <row r="236" spans="21:25" ht="16" x14ac:dyDescent="0.2">
      <c r="U236" s="12">
        <v>1318</v>
      </c>
      <c r="V236" s="13" t="s">
        <v>21</v>
      </c>
      <c r="W236" s="18" t="str">
        <f>TEXT(VLOOKUP(U236, News!A:C, 3, FALSE), "M/D/YYYY")</f>
        <v>5/17/2018</v>
      </c>
      <c r="X236" s="18">
        <f>DATE(YEAR(W236),MONTH(Metrics!$B$5), DAY(Metrics!$B$5))</f>
        <v>43344</v>
      </c>
      <c r="Y236" s="16">
        <f t="shared" si="3"/>
        <v>2018</v>
      </c>
    </row>
    <row r="237" spans="21:25" ht="16" x14ac:dyDescent="0.2">
      <c r="U237" s="12">
        <v>1361</v>
      </c>
      <c r="V237" s="13" t="s">
        <v>21</v>
      </c>
      <c r="W237" s="18" t="str">
        <f>TEXT(VLOOKUP(U237, News!A:C, 3, FALSE), "M/D/YYYY")</f>
        <v>10/16/2017</v>
      </c>
      <c r="X237" s="18">
        <f>DATE(YEAR(W237),MONTH(Metrics!$B$5), DAY(Metrics!$B$5))</f>
        <v>42979</v>
      </c>
      <c r="Y237" s="16">
        <f t="shared" si="3"/>
        <v>2018</v>
      </c>
    </row>
    <row r="238" spans="21:25" ht="16" x14ac:dyDescent="0.2">
      <c r="U238" s="12">
        <v>1468</v>
      </c>
      <c r="V238" s="13" t="s">
        <v>21</v>
      </c>
      <c r="W238" s="18" t="str">
        <f>TEXT(VLOOKUP(U238, News!A:C, 3, FALSE), "M/D/YYYY")</f>
        <v>11/28/2017</v>
      </c>
      <c r="X238" s="18">
        <f>DATE(YEAR(W238),MONTH(Metrics!$B$5), DAY(Metrics!$B$5))</f>
        <v>42979</v>
      </c>
      <c r="Y238" s="16">
        <f t="shared" si="3"/>
        <v>2018</v>
      </c>
    </row>
    <row r="239" spans="21:25" ht="16" x14ac:dyDescent="0.2">
      <c r="U239" s="12">
        <v>3336</v>
      </c>
      <c r="V239" s="13" t="s">
        <v>21</v>
      </c>
      <c r="W239" s="18" t="str">
        <f>TEXT(VLOOKUP(U239, News!A:C, 3, FALSE), "M/D/YYYY")</f>
        <v>6/29/2016</v>
      </c>
      <c r="X239" s="18">
        <f>DATE(YEAR(W239),MONTH(Metrics!$B$5), DAY(Metrics!$B$5))</f>
        <v>42614</v>
      </c>
      <c r="Y239" s="16">
        <f t="shared" si="3"/>
        <v>2016</v>
      </c>
    </row>
    <row r="240" spans="21:25" ht="16" x14ac:dyDescent="0.2">
      <c r="U240" s="12">
        <v>3856</v>
      </c>
      <c r="V240" s="13" t="s">
        <v>21</v>
      </c>
      <c r="W240" s="18" t="str">
        <f>TEXT(VLOOKUP(U240, News!A:C, 3, FALSE), "M/D/YYYY")</f>
        <v>3/28/2019</v>
      </c>
      <c r="X240" s="18">
        <f>DATE(YEAR(W240),MONTH(Metrics!$B$5), DAY(Metrics!$B$5))</f>
        <v>43709</v>
      </c>
      <c r="Y240" s="16">
        <f t="shared" si="3"/>
        <v>2019</v>
      </c>
    </row>
    <row r="241" spans="21:25" ht="16" x14ac:dyDescent="0.2">
      <c r="U241" s="12">
        <v>3934</v>
      </c>
      <c r="V241" s="13" t="s">
        <v>21</v>
      </c>
      <c r="W241" s="18" t="str">
        <f>TEXT(VLOOKUP(U241, News!A:C, 3, FALSE), "M/D/YYYY")</f>
        <v>4/15/2019</v>
      </c>
      <c r="X241" s="18">
        <f>DATE(YEAR(W241),MONTH(Metrics!$B$5), DAY(Metrics!$B$5))</f>
        <v>43709</v>
      </c>
      <c r="Y241" s="16">
        <f t="shared" si="3"/>
        <v>2019</v>
      </c>
    </row>
    <row r="242" spans="21:25" ht="16" x14ac:dyDescent="0.2">
      <c r="U242" s="12">
        <v>4336</v>
      </c>
      <c r="V242" s="13" t="s">
        <v>21</v>
      </c>
      <c r="W242" s="18" t="str">
        <f>TEXT(VLOOKUP(U242, News!A:C, 3, FALSE), "M/D/YYYY")</f>
        <v>8/19/2019</v>
      </c>
      <c r="X242" s="18">
        <f>DATE(YEAR(W242),MONTH(Metrics!$B$5), DAY(Metrics!$B$5))</f>
        <v>43709</v>
      </c>
      <c r="Y242" s="16">
        <f t="shared" si="3"/>
        <v>2019</v>
      </c>
    </row>
    <row r="243" spans="21:25" ht="16" x14ac:dyDescent="0.2">
      <c r="U243" s="12">
        <v>4387</v>
      </c>
      <c r="V243" s="13" t="s">
        <v>21</v>
      </c>
      <c r="W243" s="18" t="str">
        <f>TEXT(VLOOKUP(U243, News!A:C, 3, FALSE), "M/D/YYYY")</f>
        <v>9/9/2019</v>
      </c>
      <c r="X243" s="18">
        <f>DATE(YEAR(W243),MONTH(Metrics!$B$5), DAY(Metrics!$B$5))</f>
        <v>43709</v>
      </c>
      <c r="Y243" s="16">
        <f t="shared" si="3"/>
        <v>2020</v>
      </c>
    </row>
    <row r="244" spans="21:25" ht="16" x14ac:dyDescent="0.2">
      <c r="U244" s="12">
        <v>4910</v>
      </c>
      <c r="V244" s="13" t="s">
        <v>21</v>
      </c>
      <c r="W244" s="18" t="str">
        <f>TEXT(VLOOKUP(U244, News!A:C, 3, FALSE), "M/D/YYYY")</f>
        <v>4/1/2020</v>
      </c>
      <c r="X244" s="18">
        <f>DATE(YEAR(W244),MONTH(Metrics!$B$5), DAY(Metrics!$B$5))</f>
        <v>44075</v>
      </c>
      <c r="Y244" s="16">
        <f t="shared" si="3"/>
        <v>2020</v>
      </c>
    </row>
    <row r="245" spans="21:25" ht="16" x14ac:dyDescent="0.2">
      <c r="U245" s="12">
        <v>5038</v>
      </c>
      <c r="V245" s="13" t="s">
        <v>21</v>
      </c>
      <c r="W245" s="18" t="str">
        <f>TEXT(VLOOKUP(U245, News!A:C, 3, FALSE), "M/D/YYYY")</f>
        <v>9/1/2020</v>
      </c>
      <c r="X245" s="18">
        <f>DATE(YEAR(W245),MONTH(Metrics!$B$5), DAY(Metrics!$B$5))</f>
        <v>44075</v>
      </c>
      <c r="Y245" s="16">
        <f t="shared" si="3"/>
        <v>2021</v>
      </c>
    </row>
    <row r="246" spans="21:25" ht="16" x14ac:dyDescent="0.2">
      <c r="U246" s="12">
        <v>5070</v>
      </c>
      <c r="V246" s="13" t="s">
        <v>21</v>
      </c>
      <c r="W246" s="18" t="str">
        <f>TEXT(VLOOKUP(U246, News!A:C, 3, FALSE), "M/D/YYYY")</f>
        <v>9/2/2020</v>
      </c>
      <c r="X246" s="18">
        <f>DATE(YEAR(W246),MONTH(Metrics!$B$5), DAY(Metrics!$B$5))</f>
        <v>44075</v>
      </c>
      <c r="Y246" s="16">
        <f t="shared" si="3"/>
        <v>2021</v>
      </c>
    </row>
    <row r="247" spans="21:25" ht="16" x14ac:dyDescent="0.2">
      <c r="U247" s="12">
        <v>5578</v>
      </c>
      <c r="V247" s="13" t="s">
        <v>21</v>
      </c>
      <c r="W247" s="18" t="str">
        <f>TEXT(VLOOKUP(U247, News!A:C, 3, FALSE), "M/D/YYYY")</f>
        <v>11/12/2020</v>
      </c>
      <c r="X247" s="18">
        <f>DATE(YEAR(W247),MONTH(Metrics!$B$5), DAY(Metrics!$B$5))</f>
        <v>44075</v>
      </c>
      <c r="Y247" s="16">
        <f t="shared" si="3"/>
        <v>2021</v>
      </c>
    </row>
    <row r="248" spans="21:25" ht="16" x14ac:dyDescent="0.2">
      <c r="U248" s="12">
        <v>5795</v>
      </c>
      <c r="V248" s="13" t="s">
        <v>21</v>
      </c>
      <c r="W248" s="18" t="str">
        <f>TEXT(VLOOKUP(U248, News!A:C, 3, FALSE), "M/D/YYYY")</f>
        <v>1/28/2021</v>
      </c>
      <c r="X248" s="18">
        <f>DATE(YEAR(W248),MONTH(Metrics!$B$5), DAY(Metrics!$B$5))</f>
        <v>44440</v>
      </c>
      <c r="Y248" s="16">
        <f t="shared" si="3"/>
        <v>2021</v>
      </c>
    </row>
    <row r="249" spans="21:25" ht="16" x14ac:dyDescent="0.2">
      <c r="U249" s="12">
        <v>6180</v>
      </c>
      <c r="V249" s="13" t="s">
        <v>21</v>
      </c>
      <c r="W249" s="18" t="str">
        <f>TEXT(VLOOKUP(U249, News!A:C, 3, FALSE), "M/D/YYYY")</f>
        <v>6/29/2021</v>
      </c>
      <c r="X249" s="18">
        <f>DATE(YEAR(W249),MONTH(Metrics!$B$5), DAY(Metrics!$B$5))</f>
        <v>44440</v>
      </c>
      <c r="Y249" s="16">
        <f t="shared" si="3"/>
        <v>2021</v>
      </c>
    </row>
    <row r="250" spans="21:25" ht="16" x14ac:dyDescent="0.2">
      <c r="U250" s="12">
        <v>6358</v>
      </c>
      <c r="V250" s="13" t="s">
        <v>21</v>
      </c>
      <c r="W250" s="18" t="str">
        <f>TEXT(VLOOKUP(U250, News!A:C, 3, FALSE), "M/D/YYYY")</f>
        <v>9/8/2021</v>
      </c>
      <c r="X250" s="18">
        <f>DATE(YEAR(W250),MONTH(Metrics!$B$5), DAY(Metrics!$B$5))</f>
        <v>44440</v>
      </c>
      <c r="Y250" s="16">
        <f t="shared" si="3"/>
        <v>2022</v>
      </c>
    </row>
    <row r="251" spans="21:25" ht="16" x14ac:dyDescent="0.2">
      <c r="U251" s="12">
        <v>6556</v>
      </c>
      <c r="V251" s="13" t="s">
        <v>21</v>
      </c>
      <c r="W251" s="18" t="str">
        <f>TEXT(VLOOKUP(U251, News!A:C, 3, FALSE), "M/D/YYYY")</f>
        <v>10/20/2021</v>
      </c>
      <c r="X251" s="18">
        <f>DATE(YEAR(W251),MONTH(Metrics!$B$5), DAY(Metrics!$B$5))</f>
        <v>44440</v>
      </c>
      <c r="Y251" s="16">
        <f t="shared" si="3"/>
        <v>2022</v>
      </c>
    </row>
    <row r="252" spans="21:25" ht="16" x14ac:dyDescent="0.2">
      <c r="U252" s="12">
        <v>7162</v>
      </c>
      <c r="V252" s="13" t="s">
        <v>21</v>
      </c>
      <c r="W252" s="18" t="str">
        <f>TEXT(VLOOKUP(U252, News!A:C, 3, FALSE), "M/D/YYYY")</f>
        <v>6/1/2022</v>
      </c>
      <c r="X252" s="18">
        <f>DATE(YEAR(W252),MONTH(Metrics!$B$5), DAY(Metrics!$B$5))</f>
        <v>44805</v>
      </c>
      <c r="Y252" s="16">
        <f t="shared" si="3"/>
        <v>2022</v>
      </c>
    </row>
    <row r="253" spans="21:25" ht="16" x14ac:dyDescent="0.2">
      <c r="U253" s="12">
        <v>7376</v>
      </c>
      <c r="V253" s="13" t="s">
        <v>21</v>
      </c>
      <c r="W253" s="18" t="str">
        <f>TEXT(VLOOKUP(U253, News!A:C, 3, FALSE), "M/D/YYYY")</f>
        <v>8/31/2022</v>
      </c>
      <c r="X253" s="18">
        <f>DATE(YEAR(W253),MONTH(Metrics!$B$5), DAY(Metrics!$B$5))</f>
        <v>44805</v>
      </c>
      <c r="Y253" s="16">
        <f t="shared" si="3"/>
        <v>2022</v>
      </c>
    </row>
    <row r="254" spans="21:25" ht="16" x14ac:dyDescent="0.2">
      <c r="U254" s="12">
        <v>7735</v>
      </c>
      <c r="V254" s="13" t="s">
        <v>21</v>
      </c>
      <c r="W254" s="18" t="str">
        <f>TEXT(VLOOKUP(U254, News!A:C, 3, FALSE), "M/D/YYYY")</f>
        <v>11/21/2022</v>
      </c>
      <c r="X254" s="18">
        <f>DATE(YEAR(W254),MONTH(Metrics!$B$5), DAY(Metrics!$B$5))</f>
        <v>44805</v>
      </c>
      <c r="Y254" s="16">
        <f t="shared" si="3"/>
        <v>2023</v>
      </c>
    </row>
    <row r="255" spans="21:25" ht="16" x14ac:dyDescent="0.2">
      <c r="U255" s="12">
        <v>7914</v>
      </c>
      <c r="V255" s="13" t="s">
        <v>21</v>
      </c>
      <c r="W255" s="18" t="str">
        <f>TEXT(VLOOKUP(U255, News!A:C, 3, FALSE), "M/D/YYYY")</f>
        <v>1/13/2023</v>
      </c>
      <c r="X255" s="18">
        <f>DATE(YEAR(W255),MONTH(Metrics!$B$5), DAY(Metrics!$B$5))</f>
        <v>45170</v>
      </c>
      <c r="Y255" s="16">
        <f t="shared" si="3"/>
        <v>2023</v>
      </c>
    </row>
    <row r="256" spans="21:25" ht="16" x14ac:dyDescent="0.2">
      <c r="U256" s="12">
        <v>1315</v>
      </c>
      <c r="V256" s="13" t="s">
        <v>21</v>
      </c>
      <c r="W256" s="18" t="str">
        <f>TEXT(VLOOKUP(U256, News!A:C, 3, FALSE), "M/D/YYYY")</f>
        <v>9/1/2017</v>
      </c>
      <c r="X256" s="18">
        <f>DATE(YEAR(W256),MONTH(Metrics!$B$5), DAY(Metrics!$B$5))</f>
        <v>42979</v>
      </c>
      <c r="Y256" s="16">
        <f t="shared" si="3"/>
        <v>2018</v>
      </c>
    </row>
    <row r="257" spans="21:25" ht="16" x14ac:dyDescent="0.2">
      <c r="U257" s="12">
        <v>4291</v>
      </c>
      <c r="V257" s="13" t="s">
        <v>21</v>
      </c>
      <c r="W257" s="18" t="str">
        <f>TEXT(VLOOKUP(U257, News!A:C, 3, FALSE), "M/D/YYYY")</f>
        <v>7/25/2019</v>
      </c>
      <c r="X257" s="18">
        <f>DATE(YEAR(W257),MONTH(Metrics!$B$5), DAY(Metrics!$B$5))</f>
        <v>43709</v>
      </c>
      <c r="Y257" s="16">
        <f t="shared" si="3"/>
        <v>2019</v>
      </c>
    </row>
    <row r="258" spans="21:25" ht="16" x14ac:dyDescent="0.2">
      <c r="U258" s="12">
        <v>4368</v>
      </c>
      <c r="V258" s="13" t="s">
        <v>21</v>
      </c>
      <c r="W258" s="18" t="str">
        <f>TEXT(VLOOKUP(U258, News!A:C, 3, FALSE), "M/D/YYYY")</f>
        <v>9/5/2019</v>
      </c>
      <c r="X258" s="18">
        <f>DATE(YEAR(W258),MONTH(Metrics!$B$5), DAY(Metrics!$B$5))</f>
        <v>43709</v>
      </c>
      <c r="Y258" s="16">
        <f t="shared" si="3"/>
        <v>2020</v>
      </c>
    </row>
    <row r="259" spans="21:25" ht="16" x14ac:dyDescent="0.2">
      <c r="U259" s="12">
        <v>5112</v>
      </c>
      <c r="V259" s="13" t="s">
        <v>21</v>
      </c>
      <c r="W259" s="18" t="str">
        <f>TEXT(VLOOKUP(U259, News!A:C, 3, FALSE), "M/D/YYYY")</f>
        <v>9/17/2020</v>
      </c>
      <c r="X259" s="18">
        <f>DATE(YEAR(W259),MONTH(Metrics!$B$5), DAY(Metrics!$B$5))</f>
        <v>44075</v>
      </c>
      <c r="Y259" s="16">
        <f t="shared" ref="Y259:Y322" si="4">IF(MONTH(W259) &gt;= MONTH(X259), YEAR(W259)+1, YEAR(W259))</f>
        <v>2021</v>
      </c>
    </row>
    <row r="260" spans="21:25" ht="16" x14ac:dyDescent="0.2">
      <c r="U260" s="12">
        <v>5939</v>
      </c>
      <c r="V260" s="13" t="s">
        <v>21</v>
      </c>
      <c r="W260" s="18" t="str">
        <f>TEXT(VLOOKUP(U260, News!A:C, 3, FALSE), "M/D/YYYY")</f>
        <v>4/12/2021</v>
      </c>
      <c r="X260" s="18">
        <f>DATE(YEAR(W260),MONTH(Metrics!$B$5), DAY(Metrics!$B$5))</f>
        <v>44440</v>
      </c>
      <c r="Y260" s="16">
        <f t="shared" si="4"/>
        <v>2021</v>
      </c>
    </row>
    <row r="261" spans="21:25" ht="16" x14ac:dyDescent="0.2">
      <c r="U261" s="12">
        <v>7285</v>
      </c>
      <c r="V261" s="13" t="s">
        <v>21</v>
      </c>
      <c r="W261" s="18" t="str">
        <f>TEXT(VLOOKUP(U261, News!A:C, 3, FALSE), "M/D/YYYY")</f>
        <v>8/3/2022</v>
      </c>
      <c r="X261" s="18">
        <f>DATE(YEAR(W261),MONTH(Metrics!$B$5), DAY(Metrics!$B$5))</f>
        <v>44805</v>
      </c>
      <c r="Y261" s="16">
        <f t="shared" si="4"/>
        <v>2022</v>
      </c>
    </row>
    <row r="262" spans="21:25" ht="16" x14ac:dyDescent="0.2">
      <c r="U262" s="12">
        <v>7643</v>
      </c>
      <c r="V262" s="13" t="s">
        <v>21</v>
      </c>
      <c r="W262" s="18" t="str">
        <f>TEXT(VLOOKUP(U262, News!A:C, 3, FALSE), "M/D/YYYY")</f>
        <v>10/18/2022</v>
      </c>
      <c r="X262" s="18">
        <f>DATE(YEAR(W262),MONTH(Metrics!$B$5), DAY(Metrics!$B$5))</f>
        <v>44805</v>
      </c>
      <c r="Y262" s="16">
        <f t="shared" si="4"/>
        <v>2023</v>
      </c>
    </row>
    <row r="263" spans="21:25" ht="16" x14ac:dyDescent="0.2">
      <c r="U263" s="12">
        <v>1343</v>
      </c>
      <c r="V263" s="13" t="s">
        <v>21</v>
      </c>
      <c r="W263" s="18" t="str">
        <f>TEXT(VLOOKUP(U263, News!A:C, 3, FALSE), "M/D/YYYY")</f>
        <v>9/15/2017</v>
      </c>
      <c r="X263" s="18">
        <f>DATE(YEAR(W263),MONTH(Metrics!$B$5), DAY(Metrics!$B$5))</f>
        <v>42979</v>
      </c>
      <c r="Y263" s="16">
        <f t="shared" si="4"/>
        <v>2018</v>
      </c>
    </row>
    <row r="264" spans="21:25" ht="16" x14ac:dyDescent="0.2">
      <c r="U264" s="12">
        <v>2521</v>
      </c>
      <c r="V264" s="13" t="s">
        <v>21</v>
      </c>
      <c r="W264" s="18" t="str">
        <f>TEXT(VLOOKUP(U264, News!A:C, 3, FALSE), "M/D/YYYY")</f>
        <v>1/30/2017</v>
      </c>
      <c r="X264" s="18">
        <f>DATE(YEAR(W264),MONTH(Metrics!$B$5), DAY(Metrics!$B$5))</f>
        <v>42979</v>
      </c>
      <c r="Y264" s="16">
        <f t="shared" si="4"/>
        <v>2017</v>
      </c>
    </row>
    <row r="265" spans="21:25" ht="16" x14ac:dyDescent="0.2">
      <c r="U265" s="12">
        <v>3002</v>
      </c>
      <c r="V265" s="13" t="s">
        <v>21</v>
      </c>
      <c r="W265" s="18" t="str">
        <f>TEXT(VLOOKUP(U265, News!A:C, 3, FALSE), "M/D/YYYY")</f>
        <v>11/26/2016</v>
      </c>
      <c r="X265" s="18">
        <f>DATE(YEAR(W265),MONTH(Metrics!$B$5), DAY(Metrics!$B$5))</f>
        <v>42614</v>
      </c>
      <c r="Y265" s="16">
        <f t="shared" si="4"/>
        <v>2017</v>
      </c>
    </row>
    <row r="266" spans="21:25" ht="16" x14ac:dyDescent="0.2">
      <c r="U266" s="12">
        <v>6606</v>
      </c>
      <c r="V266" s="13" t="s">
        <v>21</v>
      </c>
      <c r="W266" s="18" t="str">
        <f>TEXT(VLOOKUP(U266, News!A:C, 3, FALSE), "M/D/YYYY")</f>
        <v>11/1/2021</v>
      </c>
      <c r="X266" s="18">
        <f>DATE(YEAR(W266),MONTH(Metrics!$B$5), DAY(Metrics!$B$5))</f>
        <v>44440</v>
      </c>
      <c r="Y266" s="16">
        <f t="shared" si="4"/>
        <v>2022</v>
      </c>
    </row>
    <row r="267" spans="21:25" ht="16" x14ac:dyDescent="0.2">
      <c r="U267" s="12">
        <v>6926</v>
      </c>
      <c r="V267" s="13" t="s">
        <v>21</v>
      </c>
      <c r="W267" s="18" t="str">
        <f>TEXT(VLOOKUP(U267, News!A:C, 3, FALSE), "M/D/YYYY")</f>
        <v>2/24/2022</v>
      </c>
      <c r="X267" s="18">
        <f>DATE(YEAR(W267),MONTH(Metrics!$B$5), DAY(Metrics!$B$5))</f>
        <v>44805</v>
      </c>
      <c r="Y267" s="16">
        <f t="shared" si="4"/>
        <v>2022</v>
      </c>
    </row>
    <row r="268" spans="21:25" ht="16" x14ac:dyDescent="0.2">
      <c r="U268" s="12">
        <v>1460</v>
      </c>
      <c r="V268" s="13" t="s">
        <v>21</v>
      </c>
      <c r="W268" s="18" t="str">
        <f>TEXT(VLOOKUP(U268, News!A:C, 3, FALSE), "M/D/YYYY")</f>
        <v>12/6/2017</v>
      </c>
      <c r="X268" s="18">
        <f>DATE(YEAR(W268),MONTH(Metrics!$B$5), DAY(Metrics!$B$5))</f>
        <v>42979</v>
      </c>
      <c r="Y268" s="16">
        <f t="shared" si="4"/>
        <v>2018</v>
      </c>
    </row>
    <row r="269" spans="21:25" ht="16" x14ac:dyDescent="0.2">
      <c r="U269" s="12">
        <v>4794</v>
      </c>
      <c r="V269" s="13" t="s">
        <v>21</v>
      </c>
      <c r="W269" s="18" t="str">
        <f>TEXT(VLOOKUP(U269, News!A:C, 3, FALSE), "M/D/YYYY")</f>
        <v>2/19/2020</v>
      </c>
      <c r="X269" s="18">
        <f>DATE(YEAR(W269),MONTH(Metrics!$B$5), DAY(Metrics!$B$5))</f>
        <v>44075</v>
      </c>
      <c r="Y269" s="16">
        <f t="shared" si="4"/>
        <v>2020</v>
      </c>
    </row>
    <row r="270" spans="21:25" ht="16" x14ac:dyDescent="0.2">
      <c r="U270" s="12">
        <v>437</v>
      </c>
      <c r="V270" s="13" t="s">
        <v>21</v>
      </c>
      <c r="W270" s="18" t="str">
        <f>TEXT(VLOOKUP(U270, News!A:C, 3, FALSE), "M/D/YYYY")</f>
        <v>7/13/2018</v>
      </c>
      <c r="X270" s="18">
        <f>DATE(YEAR(W270),MONTH(Metrics!$B$5), DAY(Metrics!$B$5))</f>
        <v>43344</v>
      </c>
      <c r="Y270" s="16">
        <f t="shared" si="4"/>
        <v>2018</v>
      </c>
    </row>
    <row r="271" spans="21:25" ht="16" x14ac:dyDescent="0.2">
      <c r="U271" s="12">
        <v>1286</v>
      </c>
      <c r="V271" s="13" t="s">
        <v>21</v>
      </c>
      <c r="W271" s="18" t="str">
        <f>TEXT(VLOOKUP(U271, News!A:C, 3, FALSE), "M/D/YYYY")</f>
        <v>7/8/2018</v>
      </c>
      <c r="X271" s="18">
        <f>DATE(YEAR(W271),MONTH(Metrics!$B$5), DAY(Metrics!$B$5))</f>
        <v>43344</v>
      </c>
      <c r="Y271" s="16">
        <f t="shared" si="4"/>
        <v>2018</v>
      </c>
    </row>
    <row r="272" spans="21:25" ht="16" x14ac:dyDescent="0.2">
      <c r="U272" s="12">
        <v>1317</v>
      </c>
      <c r="V272" s="13" t="s">
        <v>21</v>
      </c>
      <c r="W272" s="18" t="str">
        <f>TEXT(VLOOKUP(U272, News!A:C, 3, FALSE), "M/D/YYYY")</f>
        <v>9/15/2017</v>
      </c>
      <c r="X272" s="18">
        <f>DATE(YEAR(W272),MONTH(Metrics!$B$5), DAY(Metrics!$B$5))</f>
        <v>42979</v>
      </c>
      <c r="Y272" s="16">
        <f t="shared" si="4"/>
        <v>2018</v>
      </c>
    </row>
    <row r="273" spans="21:25" ht="16" x14ac:dyDescent="0.2">
      <c r="U273" s="12">
        <v>1324</v>
      </c>
      <c r="V273" s="13" t="s">
        <v>21</v>
      </c>
      <c r="W273" s="18" t="str">
        <f>TEXT(VLOOKUP(U273, News!A:C, 3, FALSE), "M/D/YYYY")</f>
        <v>9/1/2017</v>
      </c>
      <c r="X273" s="18">
        <f>DATE(YEAR(W273),MONTH(Metrics!$B$5), DAY(Metrics!$B$5))</f>
        <v>42979</v>
      </c>
      <c r="Y273" s="16">
        <f t="shared" si="4"/>
        <v>2018</v>
      </c>
    </row>
    <row r="274" spans="21:25" ht="16" x14ac:dyDescent="0.2">
      <c r="U274" s="12">
        <v>1352</v>
      </c>
      <c r="V274" s="13" t="s">
        <v>21</v>
      </c>
      <c r="W274" s="18" t="str">
        <f>TEXT(VLOOKUP(U274, News!A:C, 3, FALSE), "M/D/YYYY")</f>
        <v>9/27/2017</v>
      </c>
      <c r="X274" s="18">
        <f>DATE(YEAR(W274),MONTH(Metrics!$B$5), DAY(Metrics!$B$5))</f>
        <v>42979</v>
      </c>
      <c r="Y274" s="16">
        <f t="shared" si="4"/>
        <v>2018</v>
      </c>
    </row>
    <row r="275" spans="21:25" ht="16" x14ac:dyDescent="0.2">
      <c r="U275" s="12">
        <v>1355</v>
      </c>
      <c r="V275" s="13" t="s">
        <v>21</v>
      </c>
      <c r="W275" s="18" t="str">
        <f>TEXT(VLOOKUP(U275, News!A:C, 3, FALSE), "M/D/YYYY")</f>
        <v>10/3/2017</v>
      </c>
      <c r="X275" s="18">
        <f>DATE(YEAR(W275),MONTH(Metrics!$B$5), DAY(Metrics!$B$5))</f>
        <v>42979</v>
      </c>
      <c r="Y275" s="16">
        <f t="shared" si="4"/>
        <v>2018</v>
      </c>
    </row>
    <row r="276" spans="21:25" ht="16" x14ac:dyDescent="0.2">
      <c r="U276" s="12">
        <v>1370</v>
      </c>
      <c r="V276" s="13" t="s">
        <v>21</v>
      </c>
      <c r="W276" s="18" t="str">
        <f>TEXT(VLOOKUP(U276, News!A:C, 3, FALSE), "M/D/YYYY")</f>
        <v>10/15/2017</v>
      </c>
      <c r="X276" s="18">
        <f>DATE(YEAR(W276),MONTH(Metrics!$B$5), DAY(Metrics!$B$5))</f>
        <v>42979</v>
      </c>
      <c r="Y276" s="16">
        <f t="shared" si="4"/>
        <v>2018</v>
      </c>
    </row>
    <row r="277" spans="21:25" ht="16" x14ac:dyDescent="0.2">
      <c r="U277" s="12">
        <v>1413</v>
      </c>
      <c r="V277" s="13" t="s">
        <v>21</v>
      </c>
      <c r="W277" s="18" t="str">
        <f>TEXT(VLOOKUP(U277, News!A:C, 3, FALSE), "M/D/YYYY")</f>
        <v>11/10/2017</v>
      </c>
      <c r="X277" s="18">
        <f>DATE(YEAR(W277),MONTH(Metrics!$B$5), DAY(Metrics!$B$5))</f>
        <v>42979</v>
      </c>
      <c r="Y277" s="16">
        <f t="shared" si="4"/>
        <v>2018</v>
      </c>
    </row>
    <row r="278" spans="21:25" ht="16" x14ac:dyDescent="0.2">
      <c r="U278" s="12">
        <v>1698</v>
      </c>
      <c r="V278" s="13" t="s">
        <v>21</v>
      </c>
      <c r="W278" s="18" t="str">
        <f>TEXT(VLOOKUP(U278, News!A:C, 3, FALSE), "M/D/YYYY")</f>
        <v>9/20/2018</v>
      </c>
      <c r="X278" s="18">
        <f>DATE(YEAR(W278),MONTH(Metrics!$B$5), DAY(Metrics!$B$5))</f>
        <v>43344</v>
      </c>
      <c r="Y278" s="16">
        <f t="shared" si="4"/>
        <v>2019</v>
      </c>
    </row>
    <row r="279" spans="21:25" ht="16" x14ac:dyDescent="0.2">
      <c r="U279" s="12">
        <v>1950</v>
      </c>
      <c r="V279" s="13" t="s">
        <v>21</v>
      </c>
      <c r="W279" s="18" t="str">
        <f>TEXT(VLOOKUP(U279, News!A:C, 3, FALSE), "M/D/YYYY")</f>
        <v>8/31/2017</v>
      </c>
      <c r="X279" s="18">
        <f>DATE(YEAR(W279),MONTH(Metrics!$B$5), DAY(Metrics!$B$5))</f>
        <v>42979</v>
      </c>
      <c r="Y279" s="16">
        <f t="shared" si="4"/>
        <v>2017</v>
      </c>
    </row>
    <row r="280" spans="21:25" ht="16" x14ac:dyDescent="0.2">
      <c r="U280" s="12">
        <v>2209</v>
      </c>
      <c r="V280" s="13" t="s">
        <v>21</v>
      </c>
      <c r="W280" s="18" t="str">
        <f>TEXT(VLOOKUP(U280, News!A:C, 3, FALSE), "M/D/YYYY")</f>
        <v>6/2/2017</v>
      </c>
      <c r="X280" s="18">
        <f>DATE(YEAR(W280),MONTH(Metrics!$B$5), DAY(Metrics!$B$5))</f>
        <v>42979</v>
      </c>
      <c r="Y280" s="16">
        <f t="shared" si="4"/>
        <v>2017</v>
      </c>
    </row>
    <row r="281" spans="21:25" ht="16" x14ac:dyDescent="0.2">
      <c r="U281" s="12">
        <v>2323</v>
      </c>
      <c r="V281" s="13" t="s">
        <v>21</v>
      </c>
      <c r="W281" s="18" t="str">
        <f>TEXT(VLOOKUP(U281, News!A:C, 3, FALSE), "M/D/YYYY")</f>
        <v>5/3/2017</v>
      </c>
      <c r="X281" s="18">
        <f>DATE(YEAR(W281),MONTH(Metrics!$B$5), DAY(Metrics!$B$5))</f>
        <v>42979</v>
      </c>
      <c r="Y281" s="16">
        <f t="shared" si="4"/>
        <v>2017</v>
      </c>
    </row>
    <row r="282" spans="21:25" ht="16" x14ac:dyDescent="0.2">
      <c r="U282" s="12">
        <v>2337</v>
      </c>
      <c r="V282" s="13" t="s">
        <v>21</v>
      </c>
      <c r="W282" s="18" t="str">
        <f>TEXT(VLOOKUP(U282, News!A:C, 3, FALSE), "M/D/YYYY")</f>
        <v>5/1/2017</v>
      </c>
      <c r="X282" s="18">
        <f>DATE(YEAR(W282),MONTH(Metrics!$B$5), DAY(Metrics!$B$5))</f>
        <v>42979</v>
      </c>
      <c r="Y282" s="16">
        <f t="shared" si="4"/>
        <v>2017</v>
      </c>
    </row>
    <row r="283" spans="21:25" ht="16" x14ac:dyDescent="0.2">
      <c r="U283" s="12">
        <v>2437</v>
      </c>
      <c r="V283" s="13" t="s">
        <v>21</v>
      </c>
      <c r="W283" s="18" t="str">
        <f>TEXT(VLOOKUP(U283, News!A:C, 3, FALSE), "M/D/YYYY")</f>
        <v>3/15/2017</v>
      </c>
      <c r="X283" s="18">
        <f>DATE(YEAR(W283),MONTH(Metrics!$B$5), DAY(Metrics!$B$5))</f>
        <v>42979</v>
      </c>
      <c r="Y283" s="16">
        <f t="shared" si="4"/>
        <v>2017</v>
      </c>
    </row>
    <row r="284" spans="21:25" ht="16" x14ac:dyDescent="0.2">
      <c r="U284" s="12">
        <v>2747</v>
      </c>
      <c r="V284" s="13" t="s">
        <v>21</v>
      </c>
      <c r="W284" s="18" t="str">
        <f>TEXT(VLOOKUP(U284, News!A:C, 3, FALSE), "M/D/YYYY")</f>
        <v>11/26/2018</v>
      </c>
      <c r="X284" s="18">
        <f>DATE(YEAR(W284),MONTH(Metrics!$B$5), DAY(Metrics!$B$5))</f>
        <v>43344</v>
      </c>
      <c r="Y284" s="16">
        <f t="shared" si="4"/>
        <v>2019</v>
      </c>
    </row>
    <row r="285" spans="21:25" ht="16" x14ac:dyDescent="0.2">
      <c r="U285" s="12">
        <v>2819</v>
      </c>
      <c r="V285" s="13" t="s">
        <v>21</v>
      </c>
      <c r="W285" s="18" t="str">
        <f>TEXT(VLOOKUP(U285, News!A:C, 3, FALSE), "M/D/YYYY")</f>
        <v>12/30/2016</v>
      </c>
      <c r="X285" s="18">
        <f>DATE(YEAR(W285),MONTH(Metrics!$B$5), DAY(Metrics!$B$5))</f>
        <v>42614</v>
      </c>
      <c r="Y285" s="16">
        <f t="shared" si="4"/>
        <v>2017</v>
      </c>
    </row>
    <row r="286" spans="21:25" ht="16" x14ac:dyDescent="0.2">
      <c r="U286" s="12">
        <v>2828</v>
      </c>
      <c r="V286" s="13" t="s">
        <v>21</v>
      </c>
      <c r="W286" s="18" t="str">
        <f>TEXT(VLOOKUP(U286, News!A:C, 3, FALSE), "M/D/YYYY")</f>
        <v>12/28/2016</v>
      </c>
      <c r="X286" s="18">
        <f>DATE(YEAR(W286),MONTH(Metrics!$B$5), DAY(Metrics!$B$5))</f>
        <v>42614</v>
      </c>
      <c r="Y286" s="16">
        <f t="shared" si="4"/>
        <v>2017</v>
      </c>
    </row>
    <row r="287" spans="21:25" ht="16" x14ac:dyDescent="0.2">
      <c r="U287" s="12">
        <v>2977</v>
      </c>
      <c r="V287" s="13" t="s">
        <v>21</v>
      </c>
      <c r="W287" s="18" t="str">
        <f>TEXT(VLOOKUP(U287, News!A:C, 3, FALSE), "M/D/YYYY")</f>
        <v>12/3/2018</v>
      </c>
      <c r="X287" s="18">
        <f>DATE(YEAR(W287),MONTH(Metrics!$B$5), DAY(Metrics!$B$5))</f>
        <v>43344</v>
      </c>
      <c r="Y287" s="16">
        <f t="shared" si="4"/>
        <v>2019</v>
      </c>
    </row>
    <row r="288" spans="21:25" ht="16" x14ac:dyDescent="0.2">
      <c r="U288" s="12">
        <v>2989</v>
      </c>
      <c r="V288" s="13" t="s">
        <v>21</v>
      </c>
      <c r="W288" s="18" t="str">
        <f>TEXT(VLOOKUP(U288, News!A:C, 3, FALSE), "M/D/YYYY")</f>
        <v>12/1/2016</v>
      </c>
      <c r="X288" s="18">
        <f>DATE(YEAR(W288),MONTH(Metrics!$B$5), DAY(Metrics!$B$5))</f>
        <v>42614</v>
      </c>
      <c r="Y288" s="16">
        <f t="shared" si="4"/>
        <v>2017</v>
      </c>
    </row>
    <row r="289" spans="21:25" ht="16" x14ac:dyDescent="0.2">
      <c r="U289" s="12">
        <v>3059</v>
      </c>
      <c r="V289" s="13" t="s">
        <v>21</v>
      </c>
      <c r="W289" s="18" t="str">
        <f>TEXT(VLOOKUP(U289, News!A:C, 3, FALSE), "M/D/YYYY")</f>
        <v>10/14/2016</v>
      </c>
      <c r="X289" s="18">
        <f>DATE(YEAR(W289),MONTH(Metrics!$B$5), DAY(Metrics!$B$5))</f>
        <v>42614</v>
      </c>
      <c r="Y289" s="16">
        <f t="shared" si="4"/>
        <v>2017</v>
      </c>
    </row>
    <row r="290" spans="21:25" ht="16" x14ac:dyDescent="0.2">
      <c r="U290" s="12">
        <v>3208</v>
      </c>
      <c r="V290" s="13" t="s">
        <v>21</v>
      </c>
      <c r="W290" s="18" t="str">
        <f>TEXT(VLOOKUP(U290, News!A:C, 3, FALSE), "M/D/YYYY")</f>
        <v>9/27/2016</v>
      </c>
      <c r="X290" s="18">
        <f>DATE(YEAR(W290),MONTH(Metrics!$B$5), DAY(Metrics!$B$5))</f>
        <v>42614</v>
      </c>
      <c r="Y290" s="16">
        <f t="shared" si="4"/>
        <v>2017</v>
      </c>
    </row>
    <row r="291" spans="21:25" ht="16" x14ac:dyDescent="0.2">
      <c r="U291" s="12">
        <v>3316</v>
      </c>
      <c r="V291" s="13" t="s">
        <v>21</v>
      </c>
      <c r="W291" s="18" t="str">
        <f>TEXT(VLOOKUP(U291, News!A:C, 3, FALSE), "M/D/YYYY")</f>
        <v>7/29/2016</v>
      </c>
      <c r="X291" s="18">
        <f>DATE(YEAR(W291),MONTH(Metrics!$B$5), DAY(Metrics!$B$5))</f>
        <v>42614</v>
      </c>
      <c r="Y291" s="16">
        <f t="shared" si="4"/>
        <v>2016</v>
      </c>
    </row>
    <row r="292" spans="21:25" ht="16" x14ac:dyDescent="0.2">
      <c r="U292" s="12">
        <v>3334</v>
      </c>
      <c r="V292" s="13" t="s">
        <v>21</v>
      </c>
      <c r="W292" s="18" t="str">
        <f>TEXT(VLOOKUP(U292, News!A:C, 3, FALSE), "M/D/YYYY")</f>
        <v>6/30/2016</v>
      </c>
      <c r="X292" s="18">
        <f>DATE(YEAR(W292),MONTH(Metrics!$B$5), DAY(Metrics!$B$5))</f>
        <v>42614</v>
      </c>
      <c r="Y292" s="16">
        <f t="shared" si="4"/>
        <v>2016</v>
      </c>
    </row>
    <row r="293" spans="21:25" ht="16" x14ac:dyDescent="0.2">
      <c r="U293" s="12">
        <v>3460</v>
      </c>
      <c r="V293" s="13" t="s">
        <v>21</v>
      </c>
      <c r="W293" s="18" t="str">
        <f>TEXT(VLOOKUP(U293, News!A:C, 3, FALSE), "M/D/YYYY")</f>
        <v>5/1/2016</v>
      </c>
      <c r="X293" s="18">
        <f>DATE(YEAR(W293),MONTH(Metrics!$B$5), DAY(Metrics!$B$5))</f>
        <v>42614</v>
      </c>
      <c r="Y293" s="16">
        <f t="shared" si="4"/>
        <v>2016</v>
      </c>
    </row>
    <row r="294" spans="21:25" ht="16" x14ac:dyDescent="0.2">
      <c r="U294" s="12">
        <v>3537</v>
      </c>
      <c r="V294" s="13" t="s">
        <v>21</v>
      </c>
      <c r="W294" s="18" t="str">
        <f>TEXT(VLOOKUP(U294, News!A:C, 3, FALSE), "M/D/YYYY")</f>
        <v>4/25/2016</v>
      </c>
      <c r="X294" s="18">
        <f>DATE(YEAR(W294),MONTH(Metrics!$B$5), DAY(Metrics!$B$5))</f>
        <v>42614</v>
      </c>
      <c r="Y294" s="16">
        <f t="shared" si="4"/>
        <v>2016</v>
      </c>
    </row>
    <row r="295" spans="21:25" ht="16" x14ac:dyDescent="0.2">
      <c r="U295" s="12">
        <v>3551</v>
      </c>
      <c r="V295" s="13" t="s">
        <v>21</v>
      </c>
      <c r="W295" s="18" t="str">
        <f>TEXT(VLOOKUP(U295, News!A:C, 3, FALSE), "M/D/YYYY")</f>
        <v>3/29/2016</v>
      </c>
      <c r="X295" s="18">
        <f>DATE(YEAR(W295),MONTH(Metrics!$B$5), DAY(Metrics!$B$5))</f>
        <v>42614</v>
      </c>
      <c r="Y295" s="16">
        <f t="shared" si="4"/>
        <v>2016</v>
      </c>
    </row>
    <row r="296" spans="21:25" ht="16" x14ac:dyDescent="0.2">
      <c r="U296" s="12">
        <v>3558</v>
      </c>
      <c r="V296" s="13" t="s">
        <v>21</v>
      </c>
      <c r="W296" s="18" t="str">
        <f>TEXT(VLOOKUP(U296, News!A:C, 3, FALSE), "M/D/YYYY")</f>
        <v>2/20/2016</v>
      </c>
      <c r="X296" s="18">
        <f>DATE(YEAR(W296),MONTH(Metrics!$B$5), DAY(Metrics!$B$5))</f>
        <v>42614</v>
      </c>
      <c r="Y296" s="16">
        <f t="shared" si="4"/>
        <v>2016</v>
      </c>
    </row>
    <row r="297" spans="21:25" ht="16" x14ac:dyDescent="0.2">
      <c r="U297" s="12">
        <v>3562</v>
      </c>
      <c r="V297" s="13" t="s">
        <v>21</v>
      </c>
      <c r="W297" s="18" t="str">
        <f>TEXT(VLOOKUP(U297, News!A:C, 3, FALSE), "M/D/YYYY")</f>
        <v>2/15/2016</v>
      </c>
      <c r="X297" s="18">
        <f>DATE(YEAR(W297),MONTH(Metrics!$B$5), DAY(Metrics!$B$5))</f>
        <v>42614</v>
      </c>
      <c r="Y297" s="16">
        <f t="shared" si="4"/>
        <v>2016</v>
      </c>
    </row>
    <row r="298" spans="21:25" ht="16" x14ac:dyDescent="0.2">
      <c r="U298" s="12">
        <v>3634</v>
      </c>
      <c r="V298" s="13" t="s">
        <v>21</v>
      </c>
      <c r="W298" s="18" t="str">
        <f>TEXT(VLOOKUP(U298, News!A:C, 3, FALSE), "M/D/YYYY")</f>
        <v>2/20/2019</v>
      </c>
      <c r="X298" s="18">
        <f>DATE(YEAR(W298),MONTH(Metrics!$B$5), DAY(Metrics!$B$5))</f>
        <v>43709</v>
      </c>
      <c r="Y298" s="16">
        <f t="shared" si="4"/>
        <v>2019</v>
      </c>
    </row>
    <row r="299" spans="21:25" ht="16" x14ac:dyDescent="0.2">
      <c r="U299" s="12">
        <v>3639</v>
      </c>
      <c r="V299" s="13" t="s">
        <v>21</v>
      </c>
      <c r="W299" s="18" t="str">
        <f>TEXT(VLOOKUP(U299, News!A:C, 3, FALSE), "M/D/YYYY")</f>
        <v>11/25/2015</v>
      </c>
      <c r="X299" s="18">
        <f>DATE(YEAR(W299),MONTH(Metrics!$B$5), DAY(Metrics!$B$5))</f>
        <v>42248</v>
      </c>
      <c r="Y299" s="16">
        <f t="shared" si="4"/>
        <v>2016</v>
      </c>
    </row>
    <row r="300" spans="21:25" ht="16" x14ac:dyDescent="0.2">
      <c r="U300" s="12">
        <v>3642</v>
      </c>
      <c r="V300" s="13" t="s">
        <v>21</v>
      </c>
      <c r="W300" s="18" t="str">
        <f>TEXT(VLOOKUP(U300, News!A:C, 3, FALSE), "M/D/YYYY")</f>
        <v>11/22/2015</v>
      </c>
      <c r="X300" s="18">
        <f>DATE(YEAR(W300),MONTH(Metrics!$B$5), DAY(Metrics!$B$5))</f>
        <v>42248</v>
      </c>
      <c r="Y300" s="16">
        <f t="shared" si="4"/>
        <v>2016</v>
      </c>
    </row>
    <row r="301" spans="21:25" ht="16" x14ac:dyDescent="0.2">
      <c r="U301" s="12">
        <v>3654</v>
      </c>
      <c r="V301" s="13" t="s">
        <v>21</v>
      </c>
      <c r="W301" s="18" t="str">
        <f>TEXT(VLOOKUP(U301, News!A:C, 3, FALSE), "M/D/YYYY")</f>
        <v>11/13/2015</v>
      </c>
      <c r="X301" s="18">
        <f>DATE(YEAR(W301),MONTH(Metrics!$B$5), DAY(Metrics!$B$5))</f>
        <v>42248</v>
      </c>
      <c r="Y301" s="16">
        <f t="shared" si="4"/>
        <v>2016</v>
      </c>
    </row>
    <row r="302" spans="21:25" ht="16" x14ac:dyDescent="0.2">
      <c r="U302" s="12">
        <v>3724</v>
      </c>
      <c r="V302" s="13" t="s">
        <v>21</v>
      </c>
      <c r="W302" s="18" t="str">
        <f>TEXT(VLOOKUP(U302, News!A:C, 3, FALSE), "M/D/YYYY")</f>
        <v>2/25/2019</v>
      </c>
      <c r="X302" s="18">
        <f>DATE(YEAR(W302),MONTH(Metrics!$B$5), DAY(Metrics!$B$5))</f>
        <v>43709</v>
      </c>
      <c r="Y302" s="16">
        <f t="shared" si="4"/>
        <v>2019</v>
      </c>
    </row>
    <row r="303" spans="21:25" ht="16" x14ac:dyDescent="0.2">
      <c r="U303" s="12">
        <v>3739</v>
      </c>
      <c r="V303" s="13" t="s">
        <v>21</v>
      </c>
      <c r="W303" s="18" t="str">
        <f>TEXT(VLOOKUP(U303, News!A:C, 3, FALSE), "M/D/YYYY")</f>
        <v>10/20/2015</v>
      </c>
      <c r="X303" s="18">
        <f>DATE(YEAR(W303),MONTH(Metrics!$B$5), DAY(Metrics!$B$5))</f>
        <v>42248</v>
      </c>
      <c r="Y303" s="16">
        <f t="shared" si="4"/>
        <v>2016</v>
      </c>
    </row>
    <row r="304" spans="21:25" ht="16" x14ac:dyDescent="0.2">
      <c r="U304" s="12">
        <v>3743</v>
      </c>
      <c r="V304" s="13" t="s">
        <v>21</v>
      </c>
      <c r="W304" s="18" t="str">
        <f>TEXT(VLOOKUP(U304, News!A:C, 3, FALSE), "M/D/YYYY")</f>
        <v>10/5/2015</v>
      </c>
      <c r="X304" s="18">
        <f>DATE(YEAR(W304),MONTH(Metrics!$B$5), DAY(Metrics!$B$5))</f>
        <v>42248</v>
      </c>
      <c r="Y304" s="16">
        <f t="shared" si="4"/>
        <v>2016</v>
      </c>
    </row>
    <row r="305" spans="21:25" ht="16" x14ac:dyDescent="0.2">
      <c r="U305" s="12">
        <v>3868</v>
      </c>
      <c r="V305" s="13" t="s">
        <v>21</v>
      </c>
      <c r="W305" s="18" t="str">
        <f>TEXT(VLOOKUP(U305, News!A:C, 3, FALSE), "M/D/YYYY")</f>
        <v>4/1/2019</v>
      </c>
      <c r="X305" s="18">
        <f>DATE(YEAR(W305),MONTH(Metrics!$B$5), DAY(Metrics!$B$5))</f>
        <v>43709</v>
      </c>
      <c r="Y305" s="16">
        <f t="shared" si="4"/>
        <v>2019</v>
      </c>
    </row>
    <row r="306" spans="21:25" ht="16" x14ac:dyDescent="0.2">
      <c r="U306" s="12">
        <v>3872</v>
      </c>
      <c r="V306" s="13" t="s">
        <v>21</v>
      </c>
      <c r="W306" s="18" t="str">
        <f>TEXT(VLOOKUP(U306, News!A:C, 3, FALSE), "M/D/YYYY")</f>
        <v>4/3/2019</v>
      </c>
      <c r="X306" s="18">
        <f>DATE(YEAR(W306),MONTH(Metrics!$B$5), DAY(Metrics!$B$5))</f>
        <v>43709</v>
      </c>
      <c r="Y306" s="16">
        <f t="shared" si="4"/>
        <v>2019</v>
      </c>
    </row>
    <row r="307" spans="21:25" ht="16" x14ac:dyDescent="0.2">
      <c r="U307" s="12">
        <v>4010</v>
      </c>
      <c r="V307" s="13" t="s">
        <v>21</v>
      </c>
      <c r="W307" s="18" t="str">
        <f>TEXT(VLOOKUP(U307, News!A:C, 3, FALSE), "M/D/YYYY")</f>
        <v>2/10/2015</v>
      </c>
      <c r="X307" s="18">
        <f>DATE(YEAR(W307),MONTH(Metrics!$B$5), DAY(Metrics!$B$5))</f>
        <v>42248</v>
      </c>
      <c r="Y307" s="16">
        <f t="shared" si="4"/>
        <v>2015</v>
      </c>
    </row>
    <row r="308" spans="21:25" ht="16" x14ac:dyDescent="0.2">
      <c r="U308" s="12">
        <v>4085</v>
      </c>
      <c r="V308" s="13" t="s">
        <v>21</v>
      </c>
      <c r="W308" s="18" t="str">
        <f>TEXT(VLOOKUP(U308, News!A:C, 3, FALSE), "M/D/YYYY")</f>
        <v>8/31/2014</v>
      </c>
      <c r="X308" s="18">
        <f>DATE(YEAR(W308),MONTH(Metrics!$B$5), DAY(Metrics!$B$5))</f>
        <v>41883</v>
      </c>
      <c r="Y308" s="16">
        <f t="shared" si="4"/>
        <v>2014</v>
      </c>
    </row>
    <row r="309" spans="21:25" ht="16" x14ac:dyDescent="0.2">
      <c r="U309" s="12">
        <v>4096</v>
      </c>
      <c r="V309" s="13" t="s">
        <v>21</v>
      </c>
      <c r="W309" s="18" t="str">
        <f>TEXT(VLOOKUP(U309, News!A:C, 3, FALSE), "M/D/YYYY")</f>
        <v>5/6/2019</v>
      </c>
      <c r="X309" s="18">
        <f>DATE(YEAR(W309),MONTH(Metrics!$B$5), DAY(Metrics!$B$5))</f>
        <v>43709</v>
      </c>
      <c r="Y309" s="16">
        <f t="shared" si="4"/>
        <v>2019</v>
      </c>
    </row>
    <row r="310" spans="21:25" ht="16" x14ac:dyDescent="0.2">
      <c r="U310" s="12">
        <v>4100</v>
      </c>
      <c r="V310" s="13" t="s">
        <v>21</v>
      </c>
      <c r="W310" s="18" t="str">
        <f>TEXT(VLOOKUP(U310, News!A:C, 3, FALSE), "M/D/YYYY")</f>
        <v>5/2/2019</v>
      </c>
      <c r="X310" s="18">
        <f>DATE(YEAR(W310),MONTH(Metrics!$B$5), DAY(Metrics!$B$5))</f>
        <v>43709</v>
      </c>
      <c r="Y310" s="16">
        <f t="shared" si="4"/>
        <v>2019</v>
      </c>
    </row>
    <row r="311" spans="21:25" ht="16" x14ac:dyDescent="0.2">
      <c r="U311" s="12">
        <v>4151</v>
      </c>
      <c r="V311" s="13" t="s">
        <v>21</v>
      </c>
      <c r="W311" s="18" t="str">
        <f>TEXT(VLOOKUP(U311, News!A:C, 3, FALSE), "M/D/YYYY")</f>
        <v>6/15/2014</v>
      </c>
      <c r="X311" s="18">
        <f>DATE(YEAR(W311),MONTH(Metrics!$B$5), DAY(Metrics!$B$5))</f>
        <v>41883</v>
      </c>
      <c r="Y311" s="16">
        <f t="shared" si="4"/>
        <v>2014</v>
      </c>
    </row>
    <row r="312" spans="21:25" ht="16" x14ac:dyDescent="0.2">
      <c r="U312" s="12">
        <v>4172</v>
      </c>
      <c r="V312" s="13" t="s">
        <v>21</v>
      </c>
      <c r="W312" s="18" t="str">
        <f>TEXT(VLOOKUP(U312, News!A:C, 3, FALSE), "M/D/YYYY")</f>
        <v>6/4/2019</v>
      </c>
      <c r="X312" s="18">
        <f>DATE(YEAR(W312),MONTH(Metrics!$B$5), DAY(Metrics!$B$5))</f>
        <v>43709</v>
      </c>
      <c r="Y312" s="16">
        <f t="shared" si="4"/>
        <v>2019</v>
      </c>
    </row>
    <row r="313" spans="21:25" ht="16" x14ac:dyDescent="0.2">
      <c r="U313" s="12">
        <v>4174</v>
      </c>
      <c r="V313" s="13" t="s">
        <v>21</v>
      </c>
      <c r="W313" s="18" t="str">
        <f>TEXT(VLOOKUP(U313, News!A:C, 3, FALSE), "M/D/YYYY")</f>
        <v>3/15/2019</v>
      </c>
      <c r="X313" s="18">
        <f>DATE(YEAR(W313),MONTH(Metrics!$B$5), DAY(Metrics!$B$5))</f>
        <v>43709</v>
      </c>
      <c r="Y313" s="16">
        <f t="shared" si="4"/>
        <v>2019</v>
      </c>
    </row>
    <row r="314" spans="21:25" ht="16" x14ac:dyDescent="0.2">
      <c r="U314" s="12">
        <v>4225</v>
      </c>
      <c r="V314" s="13" t="s">
        <v>21</v>
      </c>
      <c r="W314" s="18" t="str">
        <f>TEXT(VLOOKUP(U314, News!A:C, 3, FALSE), "M/D/YYYY")</f>
        <v>6/19/2019</v>
      </c>
      <c r="X314" s="18">
        <f>DATE(YEAR(W314),MONTH(Metrics!$B$5), DAY(Metrics!$B$5))</f>
        <v>43709</v>
      </c>
      <c r="Y314" s="16">
        <f t="shared" si="4"/>
        <v>2019</v>
      </c>
    </row>
    <row r="315" spans="21:25" ht="16" x14ac:dyDescent="0.2">
      <c r="U315" s="12">
        <v>4280</v>
      </c>
      <c r="V315" s="13" t="s">
        <v>21</v>
      </c>
      <c r="W315" s="18" t="str">
        <f>TEXT(VLOOKUP(U315, News!A:C, 3, FALSE), "M/D/YYYY")</f>
        <v>7/10/2019</v>
      </c>
      <c r="X315" s="18">
        <f>DATE(YEAR(W315),MONTH(Metrics!$B$5), DAY(Metrics!$B$5))</f>
        <v>43709</v>
      </c>
      <c r="Y315" s="16">
        <f t="shared" si="4"/>
        <v>2019</v>
      </c>
    </row>
    <row r="316" spans="21:25" ht="16" x14ac:dyDescent="0.2">
      <c r="U316" s="12">
        <v>4283</v>
      </c>
      <c r="V316" s="13" t="s">
        <v>21</v>
      </c>
      <c r="W316" s="18" t="str">
        <f>TEXT(VLOOKUP(U316, News!A:C, 3, FALSE), "M/D/YYYY")</f>
        <v>7/17/2019</v>
      </c>
      <c r="X316" s="18">
        <f>DATE(YEAR(W316),MONTH(Metrics!$B$5), DAY(Metrics!$B$5))</f>
        <v>43709</v>
      </c>
      <c r="Y316" s="16">
        <f t="shared" si="4"/>
        <v>2019</v>
      </c>
    </row>
    <row r="317" spans="21:25" ht="16" x14ac:dyDescent="0.2">
      <c r="U317" s="12">
        <v>4328</v>
      </c>
      <c r="V317" s="13" t="s">
        <v>21</v>
      </c>
      <c r="W317" s="18" t="str">
        <f>TEXT(VLOOKUP(U317, News!A:C, 3, FALSE), "M/D/YYYY")</f>
        <v>8/15/2019</v>
      </c>
      <c r="X317" s="18">
        <f>DATE(YEAR(W317),MONTH(Metrics!$B$5), DAY(Metrics!$B$5))</f>
        <v>43709</v>
      </c>
      <c r="Y317" s="16">
        <f t="shared" si="4"/>
        <v>2019</v>
      </c>
    </row>
    <row r="318" spans="21:25" ht="16" x14ac:dyDescent="0.2">
      <c r="U318" s="12">
        <v>4466</v>
      </c>
      <c r="V318" s="13" t="s">
        <v>21</v>
      </c>
      <c r="W318" s="18" t="str">
        <f>TEXT(VLOOKUP(U318, News!A:C, 3, FALSE), "M/D/YYYY")</f>
        <v>5/5/2014</v>
      </c>
      <c r="X318" s="18">
        <f>DATE(YEAR(W318),MONTH(Metrics!$B$5), DAY(Metrics!$B$5))</f>
        <v>41883</v>
      </c>
      <c r="Y318" s="16">
        <f t="shared" si="4"/>
        <v>2014</v>
      </c>
    </row>
    <row r="319" spans="21:25" ht="16" x14ac:dyDescent="0.2">
      <c r="U319" s="12">
        <v>4476</v>
      </c>
      <c r="V319" s="13" t="s">
        <v>21</v>
      </c>
      <c r="W319" s="18" t="str">
        <f>TEXT(VLOOKUP(U319, News!A:C, 3, FALSE), "M/D/YYYY")</f>
        <v>4/25/2014</v>
      </c>
      <c r="X319" s="18">
        <f>DATE(YEAR(W319),MONTH(Metrics!$B$5), DAY(Metrics!$B$5))</f>
        <v>41883</v>
      </c>
      <c r="Y319" s="16">
        <f t="shared" si="4"/>
        <v>2014</v>
      </c>
    </row>
    <row r="320" spans="21:25" ht="16" x14ac:dyDescent="0.2">
      <c r="U320" s="12">
        <v>4650</v>
      </c>
      <c r="V320" s="13" t="s">
        <v>21</v>
      </c>
      <c r="W320" s="18" t="str">
        <f>TEXT(VLOOKUP(U320, News!A:C, 3, FALSE), "M/D/YYYY")</f>
        <v>12/9/2019</v>
      </c>
      <c r="X320" s="18">
        <f>DATE(YEAR(W320),MONTH(Metrics!$B$5), DAY(Metrics!$B$5))</f>
        <v>43709</v>
      </c>
      <c r="Y320" s="16">
        <f t="shared" si="4"/>
        <v>2020</v>
      </c>
    </row>
    <row r="321" spans="21:25" ht="16" x14ac:dyDescent="0.2">
      <c r="U321" s="12">
        <v>4763</v>
      </c>
      <c r="V321" s="13" t="s">
        <v>21</v>
      </c>
      <c r="W321" s="18" t="str">
        <f>TEXT(VLOOKUP(U321, News!A:C, 3, FALSE), "M/D/YYYY")</f>
        <v>12/9/2019</v>
      </c>
      <c r="X321" s="18">
        <f>DATE(YEAR(W321),MONTH(Metrics!$B$5), DAY(Metrics!$B$5))</f>
        <v>43709</v>
      </c>
      <c r="Y321" s="16">
        <f t="shared" si="4"/>
        <v>2020</v>
      </c>
    </row>
    <row r="322" spans="21:25" ht="16" x14ac:dyDescent="0.2">
      <c r="U322" s="12">
        <v>4899</v>
      </c>
      <c r="V322" s="13" t="s">
        <v>21</v>
      </c>
      <c r="W322" s="18" t="str">
        <f>TEXT(VLOOKUP(U322, News!A:C, 3, FALSE), "M/D/YYYY")</f>
        <v>4/20/2020</v>
      </c>
      <c r="X322" s="18">
        <f>DATE(YEAR(W322),MONTH(Metrics!$B$5), DAY(Metrics!$B$5))</f>
        <v>44075</v>
      </c>
      <c r="Y322" s="16">
        <f t="shared" si="4"/>
        <v>2020</v>
      </c>
    </row>
    <row r="323" spans="21:25" ht="16" x14ac:dyDescent="0.2">
      <c r="U323" s="12">
        <v>4921</v>
      </c>
      <c r="V323" s="13" t="s">
        <v>21</v>
      </c>
      <c r="W323" s="18" t="str">
        <f>TEXT(VLOOKUP(U323, News!A:C, 3, FALSE), "M/D/YYYY")</f>
        <v>5/19/2020</v>
      </c>
      <c r="X323" s="18">
        <f>DATE(YEAR(W323),MONTH(Metrics!$B$5), DAY(Metrics!$B$5))</f>
        <v>44075</v>
      </c>
      <c r="Y323" s="16">
        <f t="shared" ref="Y323:Y386" si="5">IF(MONTH(W323) &gt;= MONTH(X323), YEAR(W323)+1, YEAR(W323))</f>
        <v>2020</v>
      </c>
    </row>
    <row r="324" spans="21:25" ht="16" x14ac:dyDescent="0.2">
      <c r="U324" s="12">
        <v>4964</v>
      </c>
      <c r="V324" s="13" t="s">
        <v>21</v>
      </c>
      <c r="W324" s="18" t="str">
        <f>TEXT(VLOOKUP(U324, News!A:C, 3, FALSE), "M/D/YYYY")</f>
        <v>6/23/2020</v>
      </c>
      <c r="X324" s="18">
        <f>DATE(YEAR(W324),MONTH(Metrics!$B$5), DAY(Metrics!$B$5))</f>
        <v>44075</v>
      </c>
      <c r="Y324" s="16">
        <f t="shared" si="5"/>
        <v>2020</v>
      </c>
    </row>
    <row r="325" spans="21:25" ht="16" x14ac:dyDescent="0.2">
      <c r="U325" s="12">
        <v>5523</v>
      </c>
      <c r="V325" s="13" t="s">
        <v>21</v>
      </c>
      <c r="W325" s="18" t="str">
        <f>TEXT(VLOOKUP(U325, News!A:C, 3, FALSE), "M/D/YYYY")</f>
        <v>10/29/2020</v>
      </c>
      <c r="X325" s="18">
        <f>DATE(YEAR(W325),MONTH(Metrics!$B$5), DAY(Metrics!$B$5))</f>
        <v>44075</v>
      </c>
      <c r="Y325" s="16">
        <f t="shared" si="5"/>
        <v>2021</v>
      </c>
    </row>
    <row r="326" spans="21:25" ht="16" x14ac:dyDescent="0.2">
      <c r="U326" s="12">
        <v>5759</v>
      </c>
      <c r="V326" s="13" t="s">
        <v>21</v>
      </c>
      <c r="W326" s="18" t="str">
        <f>TEXT(VLOOKUP(U326, News!A:C, 3, FALSE), "M/D/YYYY")</f>
        <v>10/25/2020</v>
      </c>
      <c r="X326" s="18">
        <f>DATE(YEAR(W326),MONTH(Metrics!$B$5), DAY(Metrics!$B$5))</f>
        <v>44075</v>
      </c>
      <c r="Y326" s="16">
        <f t="shared" si="5"/>
        <v>2021</v>
      </c>
    </row>
    <row r="327" spans="21:25" ht="16" x14ac:dyDescent="0.2">
      <c r="U327" s="12">
        <v>5842</v>
      </c>
      <c r="V327" s="13" t="s">
        <v>21</v>
      </c>
      <c r="W327" s="18" t="str">
        <f>TEXT(VLOOKUP(U327, News!A:C, 3, FALSE), "M/D/YYYY")</f>
        <v>2/18/2021</v>
      </c>
      <c r="X327" s="18">
        <f>DATE(YEAR(W327),MONTH(Metrics!$B$5), DAY(Metrics!$B$5))</f>
        <v>44440</v>
      </c>
      <c r="Y327" s="16">
        <f t="shared" si="5"/>
        <v>2021</v>
      </c>
    </row>
    <row r="328" spans="21:25" ht="16" x14ac:dyDescent="0.2">
      <c r="U328" s="12">
        <v>5863</v>
      </c>
      <c r="V328" s="13" t="s">
        <v>21</v>
      </c>
      <c r="W328" s="18" t="str">
        <f>TEXT(VLOOKUP(U328, News!A:C, 3, FALSE), "M/D/YYYY")</f>
        <v>3/15/2021</v>
      </c>
      <c r="X328" s="18">
        <f>DATE(YEAR(W328),MONTH(Metrics!$B$5), DAY(Metrics!$B$5))</f>
        <v>44440</v>
      </c>
      <c r="Y328" s="16">
        <f t="shared" si="5"/>
        <v>2021</v>
      </c>
    </row>
    <row r="329" spans="21:25" ht="16" x14ac:dyDescent="0.2">
      <c r="U329" s="12">
        <v>5906</v>
      </c>
      <c r="V329" s="13" t="s">
        <v>21</v>
      </c>
      <c r="W329" s="18" t="str">
        <f>TEXT(VLOOKUP(U329, News!A:C, 3, FALSE), "M/D/YYYY")</f>
        <v>3/25/2021</v>
      </c>
      <c r="X329" s="18">
        <f>DATE(YEAR(W329),MONTH(Metrics!$B$5), DAY(Metrics!$B$5))</f>
        <v>44440</v>
      </c>
      <c r="Y329" s="16">
        <f t="shared" si="5"/>
        <v>2021</v>
      </c>
    </row>
    <row r="330" spans="21:25" ht="16" x14ac:dyDescent="0.2">
      <c r="U330" s="12">
        <v>5979</v>
      </c>
      <c r="V330" s="13" t="s">
        <v>21</v>
      </c>
      <c r="W330" s="18" t="str">
        <f>TEXT(VLOOKUP(U330, News!A:C, 3, FALSE), "M/D/YYYY")</f>
        <v>4/23/2021</v>
      </c>
      <c r="X330" s="18">
        <f>DATE(YEAR(W330),MONTH(Metrics!$B$5), DAY(Metrics!$B$5))</f>
        <v>44440</v>
      </c>
      <c r="Y330" s="16">
        <f t="shared" si="5"/>
        <v>2021</v>
      </c>
    </row>
    <row r="331" spans="21:25" ht="16" x14ac:dyDescent="0.2">
      <c r="U331" s="12">
        <v>6642</v>
      </c>
      <c r="V331" s="13" t="s">
        <v>21</v>
      </c>
      <c r="W331" s="18" t="str">
        <f>TEXT(VLOOKUP(U331, News!A:C, 3, FALSE), "M/D/YYYY")</f>
        <v>11/8/2021</v>
      </c>
      <c r="X331" s="18">
        <f>DATE(YEAR(W331),MONTH(Metrics!$B$5), DAY(Metrics!$B$5))</f>
        <v>44440</v>
      </c>
      <c r="Y331" s="16">
        <f t="shared" si="5"/>
        <v>2022</v>
      </c>
    </row>
    <row r="332" spans="21:25" ht="16" x14ac:dyDescent="0.2">
      <c r="U332" s="12">
        <v>6999</v>
      </c>
      <c r="V332" s="13" t="s">
        <v>21</v>
      </c>
      <c r="W332" s="18" t="str">
        <f>TEXT(VLOOKUP(U332, News!A:C, 3, FALSE), "M/D/YYYY")</f>
        <v>3/16/2022</v>
      </c>
      <c r="X332" s="18">
        <f>DATE(YEAR(W332),MONTH(Metrics!$B$5), DAY(Metrics!$B$5))</f>
        <v>44805</v>
      </c>
      <c r="Y332" s="16">
        <f t="shared" si="5"/>
        <v>2022</v>
      </c>
    </row>
    <row r="333" spans="21:25" ht="16" x14ac:dyDescent="0.2">
      <c r="U333" s="12">
        <v>7306</v>
      </c>
      <c r="V333" s="13" t="s">
        <v>21</v>
      </c>
      <c r="W333" s="18" t="str">
        <f>TEXT(VLOOKUP(U333, News!A:C, 3, FALSE), "M/D/YYYY")</f>
        <v>8/11/2022</v>
      </c>
      <c r="X333" s="18">
        <f>DATE(YEAR(W333),MONTH(Metrics!$B$5), DAY(Metrics!$B$5))</f>
        <v>44805</v>
      </c>
      <c r="Y333" s="16">
        <f t="shared" si="5"/>
        <v>2022</v>
      </c>
    </row>
    <row r="334" spans="21:25" ht="16" x14ac:dyDescent="0.2">
      <c r="U334" s="12">
        <v>8131</v>
      </c>
      <c r="V334" s="13" t="s">
        <v>21</v>
      </c>
      <c r="W334" s="18" t="str">
        <f>TEXT(VLOOKUP(U334, News!A:C, 3, FALSE), "M/D/YYYY")</f>
        <v>3/8/2023</v>
      </c>
      <c r="X334" s="18">
        <f>DATE(YEAR(W334),MONTH(Metrics!$B$5), DAY(Metrics!$B$5))</f>
        <v>45170</v>
      </c>
      <c r="Y334" s="16">
        <f t="shared" si="5"/>
        <v>2023</v>
      </c>
    </row>
    <row r="335" spans="21:25" ht="16" x14ac:dyDescent="0.2">
      <c r="U335" s="12">
        <v>8271</v>
      </c>
      <c r="V335" s="13" t="s">
        <v>21</v>
      </c>
      <c r="W335" s="18" t="str">
        <f>TEXT(VLOOKUP(U335, News!A:C, 3, FALSE), "M/D/YYYY")</f>
        <v>4/28/2023</v>
      </c>
      <c r="X335" s="18">
        <f>DATE(YEAR(W335),MONTH(Metrics!$B$5), DAY(Metrics!$B$5))</f>
        <v>45170</v>
      </c>
      <c r="Y335" s="16">
        <f t="shared" si="5"/>
        <v>2023</v>
      </c>
    </row>
    <row r="336" spans="21:25" ht="16" x14ac:dyDescent="0.2">
      <c r="U336" s="12">
        <v>8226</v>
      </c>
      <c r="V336" s="13" t="s">
        <v>21</v>
      </c>
      <c r="W336" s="18" t="str">
        <f>TEXT(VLOOKUP(U336, News!A:C, 3, FALSE), "M/D/YYYY")</f>
        <v>4/20/2023</v>
      </c>
      <c r="X336" s="18">
        <f>DATE(YEAR(W336),MONTH(Metrics!$B$5), DAY(Metrics!$B$5))</f>
        <v>45170</v>
      </c>
      <c r="Y336" s="16">
        <f t="shared" si="5"/>
        <v>2023</v>
      </c>
    </row>
    <row r="337" spans="21:25" ht="16" x14ac:dyDescent="0.2">
      <c r="U337" s="12">
        <v>8173</v>
      </c>
      <c r="V337" s="13" t="s">
        <v>21</v>
      </c>
      <c r="W337" s="18" t="str">
        <f>TEXT(VLOOKUP(U337, News!A:C, 3, FALSE), "M/D/YYYY")</f>
        <v>4/17/2023</v>
      </c>
      <c r="X337" s="18">
        <f>DATE(YEAR(W337),MONTH(Metrics!$B$5), DAY(Metrics!$B$5))</f>
        <v>45170</v>
      </c>
      <c r="Y337" s="16">
        <f t="shared" si="5"/>
        <v>2023</v>
      </c>
    </row>
    <row r="338" spans="21:25" ht="16" x14ac:dyDescent="0.2">
      <c r="U338" s="12">
        <v>8166</v>
      </c>
      <c r="V338" s="13" t="s">
        <v>21</v>
      </c>
      <c r="W338" s="18" t="str">
        <f>TEXT(VLOOKUP(U338, News!A:C, 3, FALSE), "M/D/YYYY")</f>
        <v>4/14/2023</v>
      </c>
      <c r="X338" s="18">
        <f>DATE(YEAR(W338),MONTH(Metrics!$B$5), DAY(Metrics!$B$5))</f>
        <v>45170</v>
      </c>
      <c r="Y338" s="16">
        <f t="shared" si="5"/>
        <v>2023</v>
      </c>
    </row>
    <row r="339" spans="21:25" ht="16" x14ac:dyDescent="0.2">
      <c r="U339" s="12">
        <v>2344</v>
      </c>
      <c r="V339" s="13" t="s">
        <v>21</v>
      </c>
      <c r="W339" s="18" t="str">
        <f>TEXT(VLOOKUP(U339, News!A:C, 3, FALSE), "M/D/YYYY")</f>
        <v>3/17/2017</v>
      </c>
      <c r="X339" s="18">
        <f>DATE(YEAR(W339),MONTH(Metrics!$B$5), DAY(Metrics!$B$5))</f>
        <v>42979</v>
      </c>
      <c r="Y339" s="16">
        <f t="shared" si="5"/>
        <v>2017</v>
      </c>
    </row>
    <row r="340" spans="21:25" ht="16" x14ac:dyDescent="0.2">
      <c r="U340" s="12">
        <v>4915</v>
      </c>
      <c r="V340" s="13" t="s">
        <v>21</v>
      </c>
      <c r="W340" s="18" t="str">
        <f>TEXT(VLOOKUP(U340, News!A:C, 3, FALSE), "M/D/YYYY")</f>
        <v>5/9/2020</v>
      </c>
      <c r="X340" s="18">
        <f>DATE(YEAR(W340),MONTH(Metrics!$B$5), DAY(Metrics!$B$5))</f>
        <v>44075</v>
      </c>
      <c r="Y340" s="16">
        <f t="shared" si="5"/>
        <v>2020</v>
      </c>
    </row>
    <row r="341" spans="21:25" ht="16" x14ac:dyDescent="0.2">
      <c r="U341" s="12">
        <v>6944</v>
      </c>
      <c r="V341" s="13" t="s">
        <v>21</v>
      </c>
      <c r="W341" s="18" t="str">
        <f>TEXT(VLOOKUP(U341, News!A:C, 3, FALSE), "M/D/YYYY")</f>
        <v>2/28/2022</v>
      </c>
      <c r="X341" s="18">
        <f>DATE(YEAR(W341),MONTH(Metrics!$B$5), DAY(Metrics!$B$5))</f>
        <v>44805</v>
      </c>
      <c r="Y341" s="16">
        <f t="shared" si="5"/>
        <v>2022</v>
      </c>
    </row>
    <row r="342" spans="21:25" ht="16" x14ac:dyDescent="0.2">
      <c r="U342" s="12">
        <v>7744</v>
      </c>
      <c r="V342" s="13" t="s">
        <v>21</v>
      </c>
      <c r="W342" s="18" t="str">
        <f>TEXT(VLOOKUP(U342, News!A:C, 3, FALSE), "M/D/YYYY")</f>
        <v>11/28/2022</v>
      </c>
      <c r="X342" s="18">
        <f>DATE(YEAR(W342),MONTH(Metrics!$B$5), DAY(Metrics!$B$5))</f>
        <v>44805</v>
      </c>
      <c r="Y342" s="16">
        <f t="shared" si="5"/>
        <v>2023</v>
      </c>
    </row>
    <row r="343" spans="21:25" ht="16" x14ac:dyDescent="0.2">
      <c r="U343" s="12">
        <v>7768</v>
      </c>
      <c r="V343" s="13" t="s">
        <v>21</v>
      </c>
      <c r="W343" s="18" t="str">
        <f>TEXT(VLOOKUP(U343, News!A:C, 3, FALSE), "M/D/YYYY")</f>
        <v>12/7/2022</v>
      </c>
      <c r="X343" s="18">
        <f>DATE(YEAR(W343),MONTH(Metrics!$B$5), DAY(Metrics!$B$5))</f>
        <v>44805</v>
      </c>
      <c r="Y343" s="16">
        <f t="shared" si="5"/>
        <v>2023</v>
      </c>
    </row>
    <row r="344" spans="21:25" ht="16" x14ac:dyDescent="0.2">
      <c r="U344" s="12">
        <v>7845</v>
      </c>
      <c r="V344" s="13" t="s">
        <v>21</v>
      </c>
      <c r="W344" s="18" t="str">
        <f>TEXT(VLOOKUP(U344, News!A:C, 3, FALSE), "M/D/YYYY")</f>
        <v>1/5/2023</v>
      </c>
      <c r="X344" s="18">
        <f>DATE(YEAR(W344),MONTH(Metrics!$B$5), DAY(Metrics!$B$5))</f>
        <v>45170</v>
      </c>
      <c r="Y344" s="16">
        <f t="shared" si="5"/>
        <v>2023</v>
      </c>
    </row>
    <row r="345" spans="21:25" ht="16" x14ac:dyDescent="0.2">
      <c r="U345" s="12">
        <v>1346</v>
      </c>
      <c r="V345" s="13" t="s">
        <v>21</v>
      </c>
      <c r="W345" s="18" t="str">
        <f>TEXT(VLOOKUP(U345, News!A:C, 3, FALSE), "M/D/YYYY")</f>
        <v>5/11/2018</v>
      </c>
      <c r="X345" s="18">
        <f>DATE(YEAR(W345),MONTH(Metrics!$B$5), DAY(Metrics!$B$5))</f>
        <v>43344</v>
      </c>
      <c r="Y345" s="16">
        <f t="shared" si="5"/>
        <v>2018</v>
      </c>
    </row>
    <row r="346" spans="21:25" ht="16" x14ac:dyDescent="0.2">
      <c r="U346" s="12">
        <v>4242</v>
      </c>
      <c r="V346" s="13" t="s">
        <v>21</v>
      </c>
      <c r="W346" s="18" t="str">
        <f>TEXT(VLOOKUP(U346, News!A:C, 3, FALSE), "M/D/YYYY")</f>
        <v>6/21/2019</v>
      </c>
      <c r="X346" s="18">
        <f>DATE(YEAR(W346),MONTH(Metrics!$B$5), DAY(Metrics!$B$5))</f>
        <v>43709</v>
      </c>
      <c r="Y346" s="16">
        <f t="shared" si="5"/>
        <v>2019</v>
      </c>
    </row>
    <row r="347" spans="21:25" ht="16" x14ac:dyDescent="0.2">
      <c r="U347" s="12">
        <v>7657</v>
      </c>
      <c r="V347" s="13" t="s">
        <v>21</v>
      </c>
      <c r="W347" s="18" t="str">
        <f>TEXT(VLOOKUP(U347, News!A:C, 3, FALSE), "M/D/YYYY")</f>
        <v>10/20/2022</v>
      </c>
      <c r="X347" s="18">
        <f>DATE(YEAR(W347),MONTH(Metrics!$B$5), DAY(Metrics!$B$5))</f>
        <v>44805</v>
      </c>
      <c r="Y347" s="16">
        <f t="shared" si="5"/>
        <v>2023</v>
      </c>
    </row>
    <row r="348" spans="21:25" ht="16" x14ac:dyDescent="0.2">
      <c r="U348" s="12">
        <v>2525</v>
      </c>
      <c r="V348" s="13" t="s">
        <v>51</v>
      </c>
      <c r="W348" s="18" t="str">
        <f>TEXT(VLOOKUP(U348, News!A:C, 3, FALSE), "M/D/YYYY")</f>
        <v>1/28/2017</v>
      </c>
      <c r="X348" s="18">
        <f>DATE(YEAR(W348),MONTH(Metrics!$B$5), DAY(Metrics!$B$5))</f>
        <v>42979</v>
      </c>
      <c r="Y348" s="16">
        <f t="shared" si="5"/>
        <v>2017</v>
      </c>
    </row>
    <row r="349" spans="21:25" ht="16" x14ac:dyDescent="0.2">
      <c r="U349" s="12">
        <v>5535</v>
      </c>
      <c r="V349" s="13" t="s">
        <v>51</v>
      </c>
      <c r="W349" s="18" t="str">
        <f>TEXT(VLOOKUP(U349, News!A:C, 3, FALSE), "M/D/YYYY")</f>
        <v>10/30/2020</v>
      </c>
      <c r="X349" s="18">
        <f>DATE(YEAR(W349),MONTH(Metrics!$B$5), DAY(Metrics!$B$5))</f>
        <v>44075</v>
      </c>
      <c r="Y349" s="16">
        <f t="shared" si="5"/>
        <v>2021</v>
      </c>
    </row>
    <row r="350" spans="21:25" ht="16" x14ac:dyDescent="0.2">
      <c r="U350" s="12">
        <v>5883</v>
      </c>
      <c r="V350" s="13" t="s">
        <v>51</v>
      </c>
      <c r="W350" s="18" t="str">
        <f>TEXT(VLOOKUP(U350, News!A:C, 3, FALSE), "M/D/YYYY")</f>
        <v>3/18/2021</v>
      </c>
      <c r="X350" s="18">
        <f>DATE(YEAR(W350),MONTH(Metrics!$B$5), DAY(Metrics!$B$5))</f>
        <v>44440</v>
      </c>
      <c r="Y350" s="16">
        <f t="shared" si="5"/>
        <v>2021</v>
      </c>
    </row>
    <row r="351" spans="21:25" ht="16" x14ac:dyDescent="0.2">
      <c r="U351" s="12">
        <v>7040</v>
      </c>
      <c r="V351" s="13" t="s">
        <v>51</v>
      </c>
      <c r="W351" s="18" t="str">
        <f>TEXT(VLOOKUP(U351, News!A:C, 3, FALSE), "M/D/YYYY")</f>
        <v>4/8/2022</v>
      </c>
      <c r="X351" s="18">
        <f>DATE(YEAR(W351),MONTH(Metrics!$B$5), DAY(Metrics!$B$5))</f>
        <v>44805</v>
      </c>
      <c r="Y351" s="16">
        <f t="shared" si="5"/>
        <v>2022</v>
      </c>
    </row>
    <row r="352" spans="21:25" ht="16" x14ac:dyDescent="0.2">
      <c r="U352" s="12">
        <v>7357</v>
      </c>
      <c r="V352" s="13" t="s">
        <v>51</v>
      </c>
      <c r="W352" s="18" t="str">
        <f>TEXT(VLOOKUP(U352, News!A:C, 3, FALSE), "M/D/YYYY")</f>
        <v>9/1/2022</v>
      </c>
      <c r="X352" s="18">
        <f>DATE(YEAR(W352),MONTH(Metrics!$B$5), DAY(Metrics!$B$5))</f>
        <v>44805</v>
      </c>
      <c r="Y352" s="16">
        <f t="shared" si="5"/>
        <v>2023</v>
      </c>
    </row>
    <row r="353" spans="21:25" ht="16" x14ac:dyDescent="0.2">
      <c r="U353" s="12">
        <v>7358</v>
      </c>
      <c r="V353" s="13" t="s">
        <v>51</v>
      </c>
      <c r="W353" s="18" t="str">
        <f>TEXT(VLOOKUP(U353, News!A:C, 3, FALSE), "M/D/YYYY")</f>
        <v>9/12/2022</v>
      </c>
      <c r="X353" s="18">
        <f>DATE(YEAR(W353),MONTH(Metrics!$B$5), DAY(Metrics!$B$5))</f>
        <v>44805</v>
      </c>
      <c r="Y353" s="16">
        <f t="shared" si="5"/>
        <v>2023</v>
      </c>
    </row>
    <row r="354" spans="21:25" ht="16" x14ac:dyDescent="0.2">
      <c r="U354" s="12">
        <v>7355</v>
      </c>
      <c r="V354" s="13" t="s">
        <v>51</v>
      </c>
      <c r="W354" s="18" t="str">
        <f>TEXT(VLOOKUP(U354, News!A:C, 3, FALSE), "M/D/YYYY")</f>
        <v>9/16/2022</v>
      </c>
      <c r="X354" s="18">
        <f>DATE(YEAR(W354),MONTH(Metrics!$B$5), DAY(Metrics!$B$5))</f>
        <v>44805</v>
      </c>
      <c r="Y354" s="16">
        <f t="shared" si="5"/>
        <v>2023</v>
      </c>
    </row>
    <row r="355" spans="21:25" ht="16" x14ac:dyDescent="0.2">
      <c r="U355" s="12">
        <v>7881</v>
      </c>
      <c r="V355" s="13" t="s">
        <v>51</v>
      </c>
      <c r="W355" s="18" t="str">
        <f>TEXT(VLOOKUP(U355, News!A:C, 3, FALSE), "M/D/YYYY")</f>
        <v>1/10/2023</v>
      </c>
      <c r="X355" s="18">
        <f>DATE(YEAR(W355),MONTH(Metrics!$B$5), DAY(Metrics!$B$5))</f>
        <v>45170</v>
      </c>
      <c r="Y355" s="16">
        <f t="shared" si="5"/>
        <v>2023</v>
      </c>
    </row>
    <row r="356" spans="21:25" ht="16" x14ac:dyDescent="0.2">
      <c r="U356" s="12">
        <v>8204</v>
      </c>
      <c r="V356" s="13" t="s">
        <v>51</v>
      </c>
      <c r="W356" s="18" t="str">
        <f>TEXT(VLOOKUP(U356, News!A:C, 3, FALSE), "M/D/YYYY")</f>
        <v>4/18/2023</v>
      </c>
      <c r="X356" s="18">
        <f>DATE(YEAR(W356),MONTH(Metrics!$B$5), DAY(Metrics!$B$5))</f>
        <v>45170</v>
      </c>
      <c r="Y356" s="16">
        <f t="shared" si="5"/>
        <v>2023</v>
      </c>
    </row>
    <row r="357" spans="21:25" ht="16" x14ac:dyDescent="0.2">
      <c r="U357" s="12">
        <v>2341</v>
      </c>
      <c r="V357" s="13" t="s">
        <v>51</v>
      </c>
      <c r="W357" s="18" t="str">
        <f>TEXT(VLOOKUP(U357, News!A:C, 3, FALSE), "M/D/YYYY")</f>
        <v>4/28/2017</v>
      </c>
      <c r="X357" s="18">
        <f>DATE(YEAR(W357),MONTH(Metrics!$B$5), DAY(Metrics!$B$5))</f>
        <v>42979</v>
      </c>
      <c r="Y357" s="16">
        <f t="shared" si="5"/>
        <v>2017</v>
      </c>
    </row>
    <row r="358" spans="21:25" ht="16" x14ac:dyDescent="0.2">
      <c r="U358" s="12">
        <v>1353</v>
      </c>
      <c r="V358" s="13" t="s">
        <v>51</v>
      </c>
      <c r="W358" s="18" t="str">
        <f>TEXT(VLOOKUP(U358, News!A:C, 3, FALSE), "M/D/YYYY")</f>
        <v>5/9/2018</v>
      </c>
      <c r="X358" s="18">
        <f>DATE(YEAR(W358),MONTH(Metrics!$B$5), DAY(Metrics!$B$5))</f>
        <v>43344</v>
      </c>
      <c r="Y358" s="16">
        <f t="shared" si="5"/>
        <v>2018</v>
      </c>
    </row>
    <row r="359" spans="21:25" ht="16" x14ac:dyDescent="0.2">
      <c r="U359" s="12">
        <v>5806</v>
      </c>
      <c r="V359" s="13" t="s">
        <v>51</v>
      </c>
      <c r="W359" s="18" t="str">
        <f>TEXT(VLOOKUP(U359, News!A:C, 3, FALSE), "M/D/YYYY")</f>
        <v>2/1/2021</v>
      </c>
      <c r="X359" s="18">
        <f>DATE(YEAR(W359),MONTH(Metrics!$B$5), DAY(Metrics!$B$5))</f>
        <v>44440</v>
      </c>
      <c r="Y359" s="16">
        <f t="shared" si="5"/>
        <v>2021</v>
      </c>
    </row>
    <row r="360" spans="21:25" ht="16" x14ac:dyDescent="0.2">
      <c r="U360" s="12">
        <v>4912</v>
      </c>
      <c r="V360" s="13" t="s">
        <v>51</v>
      </c>
      <c r="W360" s="18" t="str">
        <f>TEXT(VLOOKUP(U360, News!A:C, 3, FALSE), "M/D/YYYY")</f>
        <v>3/24/2020</v>
      </c>
      <c r="X360" s="18">
        <f>DATE(YEAR(W360),MONTH(Metrics!$B$5), DAY(Metrics!$B$5))</f>
        <v>44075</v>
      </c>
      <c r="Y360" s="16">
        <f t="shared" si="5"/>
        <v>2020</v>
      </c>
    </row>
    <row r="361" spans="21:25" ht="16" x14ac:dyDescent="0.2">
      <c r="U361" s="12">
        <v>1391</v>
      </c>
      <c r="V361" s="13" t="s">
        <v>51</v>
      </c>
      <c r="W361" s="18" t="str">
        <f>TEXT(VLOOKUP(U361, News!A:C, 3, FALSE), "M/D/YYYY")</f>
        <v>4/10/2018</v>
      </c>
      <c r="X361" s="18">
        <f>DATE(YEAR(W361),MONTH(Metrics!$B$5), DAY(Metrics!$B$5))</f>
        <v>43344</v>
      </c>
      <c r="Y361" s="16">
        <f t="shared" si="5"/>
        <v>2018</v>
      </c>
    </row>
    <row r="362" spans="21:25" ht="16" x14ac:dyDescent="0.2">
      <c r="U362" s="12">
        <v>7196</v>
      </c>
      <c r="V362" s="13" t="s">
        <v>51</v>
      </c>
      <c r="W362" s="18" t="str">
        <f>TEXT(VLOOKUP(U362, News!A:C, 3, FALSE), "M/D/YYYY")</f>
        <v>6/21/2022</v>
      </c>
      <c r="X362" s="18">
        <f>DATE(YEAR(W362),MONTH(Metrics!$B$5), DAY(Metrics!$B$5))</f>
        <v>44805</v>
      </c>
      <c r="Y362" s="16">
        <f t="shared" si="5"/>
        <v>2022</v>
      </c>
    </row>
    <row r="363" spans="21:25" ht="16" x14ac:dyDescent="0.2">
      <c r="U363" s="12">
        <v>1315</v>
      </c>
      <c r="V363" s="13" t="s">
        <v>51</v>
      </c>
      <c r="W363" s="18" t="str">
        <f>TEXT(VLOOKUP(U363, News!A:C, 3, FALSE), "M/D/YYYY")</f>
        <v>9/1/2017</v>
      </c>
      <c r="X363" s="18">
        <f>DATE(YEAR(W363),MONTH(Metrics!$B$5), DAY(Metrics!$B$5))</f>
        <v>42979</v>
      </c>
      <c r="Y363" s="16">
        <f t="shared" si="5"/>
        <v>2018</v>
      </c>
    </row>
    <row r="364" spans="21:25" ht="16" x14ac:dyDescent="0.2">
      <c r="U364" s="12">
        <v>4291</v>
      </c>
      <c r="V364" s="13" t="s">
        <v>51</v>
      </c>
      <c r="W364" s="18" t="str">
        <f>TEXT(VLOOKUP(U364, News!A:C, 3, FALSE), "M/D/YYYY")</f>
        <v>7/25/2019</v>
      </c>
      <c r="X364" s="18">
        <f>DATE(YEAR(W364),MONTH(Metrics!$B$5), DAY(Metrics!$B$5))</f>
        <v>43709</v>
      </c>
      <c r="Y364" s="16">
        <f t="shared" si="5"/>
        <v>2019</v>
      </c>
    </row>
    <row r="365" spans="21:25" ht="16" x14ac:dyDescent="0.2">
      <c r="U365" s="12">
        <v>4368</v>
      </c>
      <c r="V365" s="13" t="s">
        <v>51</v>
      </c>
      <c r="W365" s="18" t="str">
        <f>TEXT(VLOOKUP(U365, News!A:C, 3, FALSE), "M/D/YYYY")</f>
        <v>9/5/2019</v>
      </c>
      <c r="X365" s="18">
        <f>DATE(YEAR(W365),MONTH(Metrics!$B$5), DAY(Metrics!$B$5))</f>
        <v>43709</v>
      </c>
      <c r="Y365" s="16">
        <f t="shared" si="5"/>
        <v>2020</v>
      </c>
    </row>
    <row r="366" spans="21:25" ht="16" x14ac:dyDescent="0.2">
      <c r="U366" s="12">
        <v>5112</v>
      </c>
      <c r="V366" s="13" t="s">
        <v>51</v>
      </c>
      <c r="W366" s="18" t="str">
        <f>TEXT(VLOOKUP(U366, News!A:C, 3, FALSE), "M/D/YYYY")</f>
        <v>9/17/2020</v>
      </c>
      <c r="X366" s="18">
        <f>DATE(YEAR(W366),MONTH(Metrics!$B$5), DAY(Metrics!$B$5))</f>
        <v>44075</v>
      </c>
      <c r="Y366" s="16">
        <f t="shared" si="5"/>
        <v>2021</v>
      </c>
    </row>
    <row r="367" spans="21:25" ht="16" x14ac:dyDescent="0.2">
      <c r="U367" s="12">
        <v>5939</v>
      </c>
      <c r="V367" s="13" t="s">
        <v>51</v>
      </c>
      <c r="W367" s="18" t="str">
        <f>TEXT(VLOOKUP(U367, News!A:C, 3, FALSE), "M/D/YYYY")</f>
        <v>4/12/2021</v>
      </c>
      <c r="X367" s="18">
        <f>DATE(YEAR(W367),MONTH(Metrics!$B$5), DAY(Metrics!$B$5))</f>
        <v>44440</v>
      </c>
      <c r="Y367" s="16">
        <f t="shared" si="5"/>
        <v>2021</v>
      </c>
    </row>
    <row r="368" spans="21:25" ht="16" x14ac:dyDescent="0.2">
      <c r="U368" s="12">
        <v>7285</v>
      </c>
      <c r="V368" s="13" t="s">
        <v>51</v>
      </c>
      <c r="W368" s="18" t="str">
        <f>TEXT(VLOOKUP(U368, News!A:C, 3, FALSE), "M/D/YYYY")</f>
        <v>8/3/2022</v>
      </c>
      <c r="X368" s="18">
        <f>DATE(YEAR(W368),MONTH(Metrics!$B$5), DAY(Metrics!$B$5))</f>
        <v>44805</v>
      </c>
      <c r="Y368" s="16">
        <f t="shared" si="5"/>
        <v>2022</v>
      </c>
    </row>
    <row r="369" spans="21:25" ht="16" x14ac:dyDescent="0.2">
      <c r="U369" s="12">
        <v>7643</v>
      </c>
      <c r="V369" s="13" t="s">
        <v>51</v>
      </c>
      <c r="W369" s="18" t="str">
        <f>TEXT(VLOOKUP(U369, News!A:C, 3, FALSE), "M/D/YYYY")</f>
        <v>10/18/2022</v>
      </c>
      <c r="X369" s="18">
        <f>DATE(YEAR(W369),MONTH(Metrics!$B$5), DAY(Metrics!$B$5))</f>
        <v>44805</v>
      </c>
      <c r="Y369" s="16">
        <f t="shared" si="5"/>
        <v>2023</v>
      </c>
    </row>
    <row r="370" spans="21:25" ht="16" x14ac:dyDescent="0.2">
      <c r="U370" s="12">
        <v>1465</v>
      </c>
      <c r="V370" s="13" t="s">
        <v>51</v>
      </c>
      <c r="W370" s="18" t="str">
        <f>TEXT(VLOOKUP(U370, News!A:C, 3, FALSE), "M/D/YYYY")</f>
        <v>12/1/2017</v>
      </c>
      <c r="X370" s="18">
        <f>DATE(YEAR(W370),MONTH(Metrics!$B$5), DAY(Metrics!$B$5))</f>
        <v>42979</v>
      </c>
      <c r="Y370" s="16">
        <f t="shared" si="5"/>
        <v>2018</v>
      </c>
    </row>
    <row r="371" spans="21:25" ht="16" x14ac:dyDescent="0.2">
      <c r="U371" s="12">
        <v>3274</v>
      </c>
      <c r="V371" s="13" t="s">
        <v>51</v>
      </c>
      <c r="W371" s="18" t="str">
        <f>TEXT(VLOOKUP(U371, News!A:C, 3, FALSE), "M/D/YYYY")</f>
        <v>1/10/2019</v>
      </c>
      <c r="X371" s="18">
        <f>DATE(YEAR(W371),MONTH(Metrics!$B$5), DAY(Metrics!$B$5))</f>
        <v>43709</v>
      </c>
      <c r="Y371" s="16">
        <f t="shared" si="5"/>
        <v>2019</v>
      </c>
    </row>
    <row r="372" spans="21:25" ht="16" x14ac:dyDescent="0.2">
      <c r="U372" s="12">
        <v>5864</v>
      </c>
      <c r="V372" s="13" t="s">
        <v>51</v>
      </c>
      <c r="W372" s="18" t="str">
        <f>TEXT(VLOOKUP(U372, News!A:C, 3, FALSE), "M/D/YYYY")</f>
        <v>3/12/2021</v>
      </c>
      <c r="X372" s="18">
        <f>DATE(YEAR(W372),MONTH(Metrics!$B$5), DAY(Metrics!$B$5))</f>
        <v>44440</v>
      </c>
      <c r="Y372" s="16">
        <f t="shared" si="5"/>
        <v>2021</v>
      </c>
    </row>
    <row r="373" spans="21:25" ht="16" x14ac:dyDescent="0.2">
      <c r="U373" s="12">
        <v>7325</v>
      </c>
      <c r="V373" s="13" t="s">
        <v>51</v>
      </c>
      <c r="W373" s="18" t="str">
        <f>TEXT(VLOOKUP(U373, News!A:C, 3, FALSE), "M/D/YYYY")</f>
        <v>8/11/2022</v>
      </c>
      <c r="X373" s="18">
        <f>DATE(YEAR(W373),MONTH(Metrics!$B$5), DAY(Metrics!$B$5))</f>
        <v>44805</v>
      </c>
      <c r="Y373" s="16">
        <f t="shared" si="5"/>
        <v>2022</v>
      </c>
    </row>
    <row r="374" spans="21:25" ht="16" x14ac:dyDescent="0.2">
      <c r="U374" s="12">
        <v>7449</v>
      </c>
      <c r="V374" s="13" t="s">
        <v>51</v>
      </c>
      <c r="W374" s="18" t="str">
        <f>TEXT(VLOOKUP(U374, News!A:C, 3, FALSE), "M/D/YYYY")</f>
        <v>8/29/2022</v>
      </c>
      <c r="X374" s="18">
        <f>DATE(YEAR(W374),MONTH(Metrics!$B$5), DAY(Metrics!$B$5))</f>
        <v>44805</v>
      </c>
      <c r="Y374" s="16">
        <f t="shared" si="5"/>
        <v>2022</v>
      </c>
    </row>
    <row r="375" spans="21:25" ht="16" x14ac:dyDescent="0.2">
      <c r="U375" s="12">
        <v>7765</v>
      </c>
      <c r="V375" s="13" t="s">
        <v>51</v>
      </c>
      <c r="W375" s="18" t="str">
        <f>TEXT(VLOOKUP(U375, News!A:C, 3, FALSE), "M/D/YYYY")</f>
        <v>12/16/2022</v>
      </c>
      <c r="X375" s="18">
        <f>DATE(YEAR(W375),MONTH(Metrics!$B$5), DAY(Metrics!$B$5))</f>
        <v>44805</v>
      </c>
      <c r="Y375" s="16">
        <f t="shared" si="5"/>
        <v>2023</v>
      </c>
    </row>
    <row r="376" spans="21:25" ht="16" x14ac:dyDescent="0.2">
      <c r="U376" s="12">
        <v>2551</v>
      </c>
      <c r="V376" s="13" t="s">
        <v>51</v>
      </c>
      <c r="W376" s="18" t="str">
        <f>TEXT(VLOOKUP(U376, News!A:C, 3, FALSE), "M/D/YYYY")</f>
        <v>1/1/2017</v>
      </c>
      <c r="X376" s="18">
        <f>DATE(YEAR(W376),MONTH(Metrics!$B$5), DAY(Metrics!$B$5))</f>
        <v>42979</v>
      </c>
      <c r="Y376" s="16">
        <f t="shared" si="5"/>
        <v>2017</v>
      </c>
    </row>
    <row r="377" spans="21:25" ht="16" x14ac:dyDescent="0.2">
      <c r="U377" s="12">
        <v>3000</v>
      </c>
      <c r="V377" s="13" t="s">
        <v>51</v>
      </c>
      <c r="W377" s="18" t="str">
        <f>TEXT(VLOOKUP(U377, News!A:C, 3, FALSE), "M/D/YYYY")</f>
        <v>11/27/2016</v>
      </c>
      <c r="X377" s="18">
        <f>DATE(YEAR(W377),MONTH(Metrics!$B$5), DAY(Metrics!$B$5))</f>
        <v>42614</v>
      </c>
      <c r="Y377" s="16">
        <f t="shared" si="5"/>
        <v>2017</v>
      </c>
    </row>
    <row r="378" spans="21:25" ht="16" x14ac:dyDescent="0.2">
      <c r="U378" s="12">
        <v>3345</v>
      </c>
      <c r="V378" s="13" t="s">
        <v>51</v>
      </c>
      <c r="W378" s="18" t="str">
        <f>TEXT(VLOOKUP(U378, News!A:C, 3, FALSE), "M/D/YYYY")</f>
        <v>5/29/2016</v>
      </c>
      <c r="X378" s="18">
        <f>DATE(YEAR(W378),MONTH(Metrics!$B$5), DAY(Metrics!$B$5))</f>
        <v>42614</v>
      </c>
      <c r="Y378" s="16">
        <f t="shared" si="5"/>
        <v>2016</v>
      </c>
    </row>
    <row r="379" spans="21:25" ht="16" x14ac:dyDescent="0.2">
      <c r="U379" s="12">
        <v>3717</v>
      </c>
      <c r="V379" s="13" t="s">
        <v>51</v>
      </c>
      <c r="W379" s="18" t="str">
        <f>TEXT(VLOOKUP(U379, News!A:C, 3, FALSE), "M/D/YYYY")</f>
        <v>2/22/2019</v>
      </c>
      <c r="X379" s="18">
        <f>DATE(YEAR(W379),MONTH(Metrics!$B$5), DAY(Metrics!$B$5))</f>
        <v>43709</v>
      </c>
      <c r="Y379" s="16">
        <f t="shared" si="5"/>
        <v>2019</v>
      </c>
    </row>
    <row r="380" spans="21:25" ht="16" x14ac:dyDescent="0.2">
      <c r="U380" s="12">
        <v>4794</v>
      </c>
      <c r="V380" s="13" t="s">
        <v>51</v>
      </c>
      <c r="W380" s="18" t="str">
        <f>TEXT(VLOOKUP(U380, News!A:C, 3, FALSE), "M/D/YYYY")</f>
        <v>2/19/2020</v>
      </c>
      <c r="X380" s="18">
        <f>DATE(YEAR(W380),MONTH(Metrics!$B$5), DAY(Metrics!$B$5))</f>
        <v>44075</v>
      </c>
      <c r="Y380" s="16">
        <f t="shared" si="5"/>
        <v>2020</v>
      </c>
    </row>
    <row r="381" spans="21:25" ht="16" x14ac:dyDescent="0.2">
      <c r="U381" s="12">
        <v>4073</v>
      </c>
      <c r="V381" s="13" t="s">
        <v>51</v>
      </c>
      <c r="W381" s="18" t="str">
        <f>TEXT(VLOOKUP(U381, News!A:C, 3, FALSE), "M/D/YYYY")</f>
        <v>9/30/2014</v>
      </c>
      <c r="X381" s="18">
        <f>DATE(YEAR(W381),MONTH(Metrics!$B$5), DAY(Metrics!$B$5))</f>
        <v>41883</v>
      </c>
      <c r="Y381" s="16">
        <f t="shared" si="5"/>
        <v>2015</v>
      </c>
    </row>
    <row r="382" spans="21:25" ht="16" x14ac:dyDescent="0.2">
      <c r="U382" s="12">
        <v>4800</v>
      </c>
      <c r="V382" s="13" t="s">
        <v>51</v>
      </c>
      <c r="W382" s="18" t="str">
        <f>TEXT(VLOOKUP(U382, News!A:C, 3, FALSE), "M/D/YYYY")</f>
        <v>12/18/2019</v>
      </c>
      <c r="X382" s="18">
        <f>DATE(YEAR(W382),MONTH(Metrics!$B$5), DAY(Metrics!$B$5))</f>
        <v>43709</v>
      </c>
      <c r="Y382" s="16">
        <f t="shared" si="5"/>
        <v>2020</v>
      </c>
    </row>
    <row r="383" spans="21:25" ht="16" x14ac:dyDescent="0.2">
      <c r="U383" s="12">
        <v>6078</v>
      </c>
      <c r="V383" s="13" t="s">
        <v>51</v>
      </c>
      <c r="W383" s="18" t="str">
        <f>TEXT(VLOOKUP(U383, News!A:C, 3, FALSE), "M/D/YYYY")</f>
        <v>5/17/2021</v>
      </c>
      <c r="X383" s="18">
        <f>DATE(YEAR(W383),MONTH(Metrics!$B$5), DAY(Metrics!$B$5))</f>
        <v>44440</v>
      </c>
      <c r="Y383" s="16">
        <f t="shared" si="5"/>
        <v>2021</v>
      </c>
    </row>
    <row r="384" spans="21:25" ht="16" x14ac:dyDescent="0.2">
      <c r="U384" s="12">
        <v>6553</v>
      </c>
      <c r="V384" s="13" t="s">
        <v>51</v>
      </c>
      <c r="W384" s="18" t="str">
        <f>TEXT(VLOOKUP(U384, News!A:C, 3, FALSE), "M/D/YYYY")</f>
        <v>10/14/2021</v>
      </c>
      <c r="X384" s="18">
        <f>DATE(YEAR(W384),MONTH(Metrics!$B$5), DAY(Metrics!$B$5))</f>
        <v>44440</v>
      </c>
      <c r="Y384" s="16">
        <f t="shared" si="5"/>
        <v>2022</v>
      </c>
    </row>
    <row r="385" spans="21:25" ht="16" x14ac:dyDescent="0.2">
      <c r="U385" s="12">
        <v>7265</v>
      </c>
      <c r="V385" s="13" t="s">
        <v>51</v>
      </c>
      <c r="W385" s="18" t="str">
        <f>TEXT(VLOOKUP(U385, News!A:C, 3, FALSE), "M/D/YYYY")</f>
        <v>7/12/2022</v>
      </c>
      <c r="X385" s="18">
        <f>DATE(YEAR(W385),MONTH(Metrics!$B$5), DAY(Metrics!$B$5))</f>
        <v>44805</v>
      </c>
      <c r="Y385" s="16">
        <f t="shared" si="5"/>
        <v>2022</v>
      </c>
    </row>
    <row r="386" spans="21:25" ht="16" x14ac:dyDescent="0.2">
      <c r="U386" s="12">
        <v>5606</v>
      </c>
      <c r="V386" s="13" t="s">
        <v>51</v>
      </c>
      <c r="W386" s="18" t="str">
        <f>TEXT(VLOOKUP(U386, News!A:C, 3, FALSE), "M/D/YYYY")</f>
        <v>11/23/2020</v>
      </c>
      <c r="X386" s="18">
        <f>DATE(YEAR(W386),MONTH(Metrics!$B$5), DAY(Metrics!$B$5))</f>
        <v>44075</v>
      </c>
      <c r="Y386" s="16">
        <f t="shared" si="5"/>
        <v>2021</v>
      </c>
    </row>
    <row r="387" spans="21:25" ht="16" x14ac:dyDescent="0.2">
      <c r="U387" s="12">
        <v>2344</v>
      </c>
      <c r="V387" s="13" t="s">
        <v>51</v>
      </c>
      <c r="W387" s="18" t="str">
        <f>TEXT(VLOOKUP(U387, News!A:C, 3, FALSE), "M/D/YYYY")</f>
        <v>3/17/2017</v>
      </c>
      <c r="X387" s="18">
        <f>DATE(YEAR(W387),MONTH(Metrics!$B$5), DAY(Metrics!$B$5))</f>
        <v>42979</v>
      </c>
      <c r="Y387" s="16">
        <f t="shared" ref="Y387:Y450" si="6">IF(MONTH(W387) &gt;= MONTH(X387), YEAR(W387)+1, YEAR(W387))</f>
        <v>2017</v>
      </c>
    </row>
    <row r="388" spans="21:25" ht="16" x14ac:dyDescent="0.2">
      <c r="U388" s="12">
        <v>4915</v>
      </c>
      <c r="V388" s="13" t="s">
        <v>51</v>
      </c>
      <c r="W388" s="18" t="str">
        <f>TEXT(VLOOKUP(U388, News!A:C, 3, FALSE), "M/D/YYYY")</f>
        <v>5/9/2020</v>
      </c>
      <c r="X388" s="18">
        <f>DATE(YEAR(W388),MONTH(Metrics!$B$5), DAY(Metrics!$B$5))</f>
        <v>44075</v>
      </c>
      <c r="Y388" s="16">
        <f t="shared" si="6"/>
        <v>2020</v>
      </c>
    </row>
    <row r="389" spans="21:25" ht="16" x14ac:dyDescent="0.2">
      <c r="U389" s="12">
        <v>6944</v>
      </c>
      <c r="V389" s="13" t="s">
        <v>51</v>
      </c>
      <c r="W389" s="18" t="str">
        <f>TEXT(VLOOKUP(U389, News!A:C, 3, FALSE), "M/D/YYYY")</f>
        <v>2/28/2022</v>
      </c>
      <c r="X389" s="18">
        <f>DATE(YEAR(W389),MONTH(Metrics!$B$5), DAY(Metrics!$B$5))</f>
        <v>44805</v>
      </c>
      <c r="Y389" s="16">
        <f t="shared" si="6"/>
        <v>2022</v>
      </c>
    </row>
    <row r="390" spans="21:25" ht="16" x14ac:dyDescent="0.2">
      <c r="U390" s="12">
        <v>7744</v>
      </c>
      <c r="V390" s="13" t="s">
        <v>51</v>
      </c>
      <c r="W390" s="18" t="str">
        <f>TEXT(VLOOKUP(U390, News!A:C, 3, FALSE), "M/D/YYYY")</f>
        <v>11/28/2022</v>
      </c>
      <c r="X390" s="18">
        <f>DATE(YEAR(W390),MONTH(Metrics!$B$5), DAY(Metrics!$B$5))</f>
        <v>44805</v>
      </c>
      <c r="Y390" s="16">
        <f t="shared" si="6"/>
        <v>2023</v>
      </c>
    </row>
    <row r="391" spans="21:25" ht="16" x14ac:dyDescent="0.2">
      <c r="U391" s="12">
        <v>7768</v>
      </c>
      <c r="V391" s="13" t="s">
        <v>51</v>
      </c>
      <c r="W391" s="18" t="str">
        <f>TEXT(VLOOKUP(U391, News!A:C, 3, FALSE), "M/D/YYYY")</f>
        <v>12/7/2022</v>
      </c>
      <c r="X391" s="18">
        <f>DATE(YEAR(W391),MONTH(Metrics!$B$5), DAY(Metrics!$B$5))</f>
        <v>44805</v>
      </c>
      <c r="Y391" s="16">
        <f t="shared" si="6"/>
        <v>2023</v>
      </c>
    </row>
    <row r="392" spans="21:25" ht="16" x14ac:dyDescent="0.2">
      <c r="U392" s="12">
        <v>7845</v>
      </c>
      <c r="V392" s="13" t="s">
        <v>51</v>
      </c>
      <c r="W392" s="18" t="str">
        <f>TEXT(VLOOKUP(U392, News!A:C, 3, FALSE), "M/D/YYYY")</f>
        <v>1/5/2023</v>
      </c>
      <c r="X392" s="18">
        <f>DATE(YEAR(W392),MONTH(Metrics!$B$5), DAY(Metrics!$B$5))</f>
        <v>45170</v>
      </c>
      <c r="Y392" s="16">
        <f t="shared" si="6"/>
        <v>2023</v>
      </c>
    </row>
    <row r="393" spans="21:25" ht="16" x14ac:dyDescent="0.2">
      <c r="U393" s="12">
        <v>433</v>
      </c>
      <c r="V393" s="13" t="s">
        <v>51</v>
      </c>
      <c r="W393" s="18" t="str">
        <f>TEXT(VLOOKUP(U393, News!A:C, 3, FALSE), "M/D/YYYY")</f>
        <v>7/26/2018</v>
      </c>
      <c r="X393" s="18">
        <f>DATE(YEAR(W393),MONTH(Metrics!$B$5), DAY(Metrics!$B$5))</f>
        <v>43344</v>
      </c>
      <c r="Y393" s="16">
        <f t="shared" si="6"/>
        <v>2018</v>
      </c>
    </row>
    <row r="394" spans="21:25" ht="16" x14ac:dyDescent="0.2">
      <c r="U394" s="12">
        <v>1347</v>
      </c>
      <c r="V394" s="13" t="s">
        <v>51</v>
      </c>
      <c r="W394" s="18" t="str">
        <f>TEXT(VLOOKUP(U394, News!A:C, 3, FALSE), "M/D/YYYY")</f>
        <v>9/18/2017</v>
      </c>
      <c r="X394" s="18">
        <f>DATE(YEAR(W394),MONTH(Metrics!$B$5), DAY(Metrics!$B$5))</f>
        <v>42979</v>
      </c>
      <c r="Y394" s="16">
        <f t="shared" si="6"/>
        <v>2018</v>
      </c>
    </row>
    <row r="395" spans="21:25" ht="16" x14ac:dyDescent="0.2">
      <c r="U395" s="12">
        <v>1456</v>
      </c>
      <c r="V395" s="13" t="s">
        <v>51</v>
      </c>
      <c r="W395" s="18" t="str">
        <f>TEXT(VLOOKUP(U395, News!A:C, 3, FALSE), "M/D/YYYY")</f>
        <v>1/9/2018</v>
      </c>
      <c r="X395" s="18">
        <f>DATE(YEAR(W395),MONTH(Metrics!$B$5), DAY(Metrics!$B$5))</f>
        <v>43344</v>
      </c>
      <c r="Y395" s="16">
        <f t="shared" si="6"/>
        <v>2018</v>
      </c>
    </row>
    <row r="396" spans="21:25" ht="16" x14ac:dyDescent="0.2">
      <c r="U396" s="12">
        <v>1668</v>
      </c>
      <c r="V396" s="13" t="s">
        <v>51</v>
      </c>
      <c r="W396" s="18" t="str">
        <f>TEXT(VLOOKUP(U396, News!A:C, 3, FALSE), "M/D/YYYY")</f>
        <v>9/20/2018</v>
      </c>
      <c r="X396" s="18">
        <f>DATE(YEAR(W396),MONTH(Metrics!$B$5), DAY(Metrics!$B$5))</f>
        <v>43344</v>
      </c>
      <c r="Y396" s="16">
        <f t="shared" si="6"/>
        <v>2019</v>
      </c>
    </row>
    <row r="397" spans="21:25" ht="16" x14ac:dyDescent="0.2">
      <c r="U397" s="12">
        <v>2084</v>
      </c>
      <c r="V397" s="13" t="s">
        <v>51</v>
      </c>
      <c r="W397" s="18" t="str">
        <f>TEXT(VLOOKUP(U397, News!A:C, 3, FALSE), "M/D/YYYY")</f>
        <v>7/31/2017</v>
      </c>
      <c r="X397" s="18">
        <f>DATE(YEAR(W397),MONTH(Metrics!$B$5), DAY(Metrics!$B$5))</f>
        <v>42979</v>
      </c>
      <c r="Y397" s="16">
        <f t="shared" si="6"/>
        <v>2017</v>
      </c>
    </row>
    <row r="398" spans="21:25" ht="16" x14ac:dyDescent="0.2">
      <c r="U398" s="12">
        <v>2111</v>
      </c>
      <c r="V398" s="13" t="s">
        <v>51</v>
      </c>
      <c r="W398" s="18" t="str">
        <f>TEXT(VLOOKUP(U398, News!A:C, 3, FALSE), "M/D/YYYY")</f>
        <v>11/2/2018</v>
      </c>
      <c r="X398" s="18">
        <f>DATE(YEAR(W398),MONTH(Metrics!$B$5), DAY(Metrics!$B$5))</f>
        <v>43344</v>
      </c>
      <c r="Y398" s="16">
        <f t="shared" si="6"/>
        <v>2019</v>
      </c>
    </row>
    <row r="399" spans="21:25" ht="16" x14ac:dyDescent="0.2">
      <c r="U399" s="12">
        <v>2203</v>
      </c>
      <c r="V399" s="13" t="s">
        <v>51</v>
      </c>
      <c r="W399" s="18" t="str">
        <f>TEXT(VLOOKUP(U399, News!A:C, 3, FALSE), "M/D/YYYY")</f>
        <v>6/3/2017</v>
      </c>
      <c r="X399" s="18">
        <f>DATE(YEAR(W399),MONTH(Metrics!$B$5), DAY(Metrics!$B$5))</f>
        <v>42979</v>
      </c>
      <c r="Y399" s="16">
        <f t="shared" si="6"/>
        <v>2017</v>
      </c>
    </row>
    <row r="400" spans="21:25" ht="16" x14ac:dyDescent="0.2">
      <c r="U400" s="12">
        <v>2519</v>
      </c>
      <c r="V400" s="13" t="s">
        <v>51</v>
      </c>
      <c r="W400" s="18" t="str">
        <f>TEXT(VLOOKUP(U400, News!A:C, 3, FALSE), "M/D/YYYY")</f>
        <v>1/31/2017</v>
      </c>
      <c r="X400" s="18">
        <f>DATE(YEAR(W400),MONTH(Metrics!$B$5), DAY(Metrics!$B$5))</f>
        <v>42979</v>
      </c>
      <c r="Y400" s="16">
        <f t="shared" si="6"/>
        <v>2017</v>
      </c>
    </row>
    <row r="401" spans="21:25" ht="16" x14ac:dyDescent="0.2">
      <c r="U401" s="12">
        <v>2523</v>
      </c>
      <c r="V401" s="13" t="s">
        <v>51</v>
      </c>
      <c r="W401" s="18" t="str">
        <f>TEXT(VLOOKUP(U401, News!A:C, 3, FALSE), "M/D/YYYY")</f>
        <v>1/29/2017</v>
      </c>
      <c r="X401" s="18">
        <f>DATE(YEAR(W401),MONTH(Metrics!$B$5), DAY(Metrics!$B$5))</f>
        <v>42979</v>
      </c>
      <c r="Y401" s="16">
        <f t="shared" si="6"/>
        <v>2017</v>
      </c>
    </row>
    <row r="402" spans="21:25" ht="16" x14ac:dyDescent="0.2">
      <c r="U402" s="12">
        <v>2996</v>
      </c>
      <c r="V402" s="13" t="s">
        <v>51</v>
      </c>
      <c r="W402" s="18" t="str">
        <f>TEXT(VLOOKUP(U402, News!A:C, 3, FALSE), "M/D/YYYY")</f>
        <v>11/29/2016</v>
      </c>
      <c r="X402" s="18">
        <f>DATE(YEAR(W402),MONTH(Metrics!$B$5), DAY(Metrics!$B$5))</f>
        <v>42614</v>
      </c>
      <c r="Y402" s="16">
        <f t="shared" si="6"/>
        <v>2017</v>
      </c>
    </row>
    <row r="403" spans="21:25" ht="16" x14ac:dyDescent="0.2">
      <c r="U403" s="12">
        <v>3250</v>
      </c>
      <c r="V403" s="13" t="s">
        <v>51</v>
      </c>
      <c r="W403" s="18" t="str">
        <f>TEXT(VLOOKUP(U403, News!A:C, 3, FALSE), "M/D/YYYY")</f>
        <v>9/1/2016</v>
      </c>
      <c r="X403" s="18">
        <f>DATE(YEAR(W403),MONTH(Metrics!$B$5), DAY(Metrics!$B$5))</f>
        <v>42614</v>
      </c>
      <c r="Y403" s="16">
        <f t="shared" si="6"/>
        <v>2017</v>
      </c>
    </row>
    <row r="404" spans="21:25" ht="16" x14ac:dyDescent="0.2">
      <c r="U404" s="12">
        <v>3507</v>
      </c>
      <c r="V404" s="13" t="s">
        <v>51</v>
      </c>
      <c r="W404" s="18" t="str">
        <f>TEXT(VLOOKUP(U404, News!A:C, 3, FALSE), "M/D/YYYY")</f>
        <v>2/7/2019</v>
      </c>
      <c r="X404" s="18">
        <f>DATE(YEAR(W404),MONTH(Metrics!$B$5), DAY(Metrics!$B$5))</f>
        <v>43709</v>
      </c>
      <c r="Y404" s="16">
        <f t="shared" si="6"/>
        <v>2019</v>
      </c>
    </row>
    <row r="405" spans="21:25" ht="16" x14ac:dyDescent="0.2">
      <c r="U405" s="12">
        <v>3931</v>
      </c>
      <c r="V405" s="13" t="s">
        <v>51</v>
      </c>
      <c r="W405" s="18" t="str">
        <f>TEXT(VLOOKUP(U405, News!A:C, 3, FALSE), "M/D/YYYY")</f>
        <v>4/29/2015</v>
      </c>
      <c r="X405" s="18">
        <f>DATE(YEAR(W405),MONTH(Metrics!$B$5), DAY(Metrics!$B$5))</f>
        <v>42248</v>
      </c>
      <c r="Y405" s="16">
        <f t="shared" si="6"/>
        <v>2015</v>
      </c>
    </row>
    <row r="406" spans="21:25" ht="16" x14ac:dyDescent="0.2">
      <c r="U406" s="12">
        <v>3943</v>
      </c>
      <c r="V406" s="13" t="s">
        <v>51</v>
      </c>
      <c r="W406" s="18" t="str">
        <f>TEXT(VLOOKUP(U406, News!A:C, 3, FALSE), "M/D/YYYY")</f>
        <v>4/24/2015</v>
      </c>
      <c r="X406" s="18">
        <f>DATE(YEAR(W406),MONTH(Metrics!$B$5), DAY(Metrics!$B$5))</f>
        <v>42248</v>
      </c>
      <c r="Y406" s="16">
        <f t="shared" si="6"/>
        <v>2015</v>
      </c>
    </row>
    <row r="407" spans="21:25" ht="16" x14ac:dyDescent="0.2">
      <c r="U407" s="12">
        <v>4531</v>
      </c>
      <c r="V407" s="13" t="s">
        <v>51</v>
      </c>
      <c r="W407" s="18" t="str">
        <f>TEXT(VLOOKUP(U407, News!A:C, 3, FALSE), "M/D/YYYY")</f>
        <v>10/31/2019</v>
      </c>
      <c r="X407" s="18">
        <f>DATE(YEAR(W407),MONTH(Metrics!$B$5), DAY(Metrics!$B$5))</f>
        <v>43709</v>
      </c>
      <c r="Y407" s="16">
        <f t="shared" si="6"/>
        <v>2020</v>
      </c>
    </row>
    <row r="408" spans="21:25" ht="16" x14ac:dyDescent="0.2">
      <c r="U408" s="12">
        <v>4656</v>
      </c>
      <c r="V408" s="13" t="s">
        <v>51</v>
      </c>
      <c r="W408" s="18" t="str">
        <f>TEXT(VLOOKUP(U408, News!A:C, 3, FALSE), "M/D/YYYY")</f>
        <v>12/8/2019</v>
      </c>
      <c r="X408" s="18">
        <f>DATE(YEAR(W408),MONTH(Metrics!$B$5), DAY(Metrics!$B$5))</f>
        <v>43709</v>
      </c>
      <c r="Y408" s="16">
        <f t="shared" si="6"/>
        <v>2020</v>
      </c>
    </row>
    <row r="409" spans="21:25" ht="16" x14ac:dyDescent="0.2">
      <c r="U409" s="12">
        <v>4889</v>
      </c>
      <c r="V409" s="13" t="s">
        <v>51</v>
      </c>
      <c r="W409" s="18" t="str">
        <f>TEXT(VLOOKUP(U409, News!A:C, 3, FALSE), "M/D/YYYY")</f>
        <v>4/13/2020</v>
      </c>
      <c r="X409" s="18">
        <f>DATE(YEAR(W409),MONTH(Metrics!$B$5), DAY(Metrics!$B$5))</f>
        <v>44075</v>
      </c>
      <c r="Y409" s="16">
        <f t="shared" si="6"/>
        <v>2020</v>
      </c>
    </row>
    <row r="410" spans="21:25" ht="16" x14ac:dyDescent="0.2">
      <c r="U410" s="12">
        <v>4924</v>
      </c>
      <c r="V410" s="13" t="s">
        <v>51</v>
      </c>
      <c r="W410" s="18" t="str">
        <f>TEXT(VLOOKUP(U410, News!A:C, 3, FALSE), "M/D/YYYY")</f>
        <v>5/26/2020</v>
      </c>
      <c r="X410" s="18">
        <f>DATE(YEAR(W410),MONTH(Metrics!$B$5), DAY(Metrics!$B$5))</f>
        <v>44075</v>
      </c>
      <c r="Y410" s="16">
        <f t="shared" si="6"/>
        <v>2020</v>
      </c>
    </row>
    <row r="411" spans="21:25" ht="16" x14ac:dyDescent="0.2">
      <c r="U411" s="12">
        <v>4998</v>
      </c>
      <c r="V411" s="13" t="s">
        <v>51</v>
      </c>
      <c r="W411" s="18" t="str">
        <f>TEXT(VLOOKUP(U411, News!A:C, 3, FALSE), "M/D/YYYY")</f>
        <v>7/14/2020</v>
      </c>
      <c r="X411" s="18">
        <f>DATE(YEAR(W411),MONTH(Metrics!$B$5), DAY(Metrics!$B$5))</f>
        <v>44075</v>
      </c>
      <c r="Y411" s="16">
        <f t="shared" si="6"/>
        <v>2020</v>
      </c>
    </row>
    <row r="412" spans="21:25" ht="16" x14ac:dyDescent="0.2">
      <c r="U412" s="12">
        <v>5003</v>
      </c>
      <c r="V412" s="13" t="s">
        <v>51</v>
      </c>
      <c r="W412" s="18" t="str">
        <f>TEXT(VLOOKUP(U412, News!A:C, 3, FALSE), "M/D/YYYY")</f>
        <v>7/23/2020</v>
      </c>
      <c r="X412" s="18">
        <f>DATE(YEAR(W412),MONTH(Metrics!$B$5), DAY(Metrics!$B$5))</f>
        <v>44075</v>
      </c>
      <c r="Y412" s="16">
        <f t="shared" si="6"/>
        <v>2020</v>
      </c>
    </row>
    <row r="413" spans="21:25" ht="16" x14ac:dyDescent="0.2">
      <c r="U413" s="12">
        <v>5016</v>
      </c>
      <c r="V413" s="13" t="s">
        <v>51</v>
      </c>
      <c r="W413" s="18" t="str">
        <f>TEXT(VLOOKUP(U413, News!A:C, 3, FALSE), "M/D/YYYY")</f>
        <v>8/5/2020</v>
      </c>
      <c r="X413" s="18">
        <f>DATE(YEAR(W413),MONTH(Metrics!$B$5), DAY(Metrics!$B$5))</f>
        <v>44075</v>
      </c>
      <c r="Y413" s="16">
        <f t="shared" si="6"/>
        <v>2020</v>
      </c>
    </row>
    <row r="414" spans="21:25" ht="16" x14ac:dyDescent="0.2">
      <c r="U414" s="12">
        <v>5025</v>
      </c>
      <c r="V414" s="13" t="s">
        <v>51</v>
      </c>
      <c r="W414" s="18" t="str">
        <f>TEXT(VLOOKUP(U414, News!A:C, 3, FALSE), "M/D/YYYY")</f>
        <v>8/6/2020</v>
      </c>
      <c r="X414" s="18">
        <f>DATE(YEAR(W414),MONTH(Metrics!$B$5), DAY(Metrics!$B$5))</f>
        <v>44075</v>
      </c>
      <c r="Y414" s="16">
        <f t="shared" si="6"/>
        <v>2020</v>
      </c>
    </row>
    <row r="415" spans="21:25" ht="16" x14ac:dyDescent="0.2">
      <c r="U415" s="12">
        <v>5904</v>
      </c>
      <c r="V415" s="13" t="s">
        <v>51</v>
      </c>
      <c r="W415" s="18" t="str">
        <f>TEXT(VLOOKUP(U415, News!A:C, 3, FALSE), "M/D/YYYY")</f>
        <v>3/24/2021</v>
      </c>
      <c r="X415" s="18">
        <f>DATE(YEAR(W415),MONTH(Metrics!$B$5), DAY(Metrics!$B$5))</f>
        <v>44440</v>
      </c>
      <c r="Y415" s="16">
        <f t="shared" si="6"/>
        <v>2021</v>
      </c>
    </row>
    <row r="416" spans="21:25" ht="16" x14ac:dyDescent="0.2">
      <c r="U416" s="12">
        <v>6008</v>
      </c>
      <c r="V416" s="13" t="s">
        <v>51</v>
      </c>
      <c r="W416" s="18" t="str">
        <f>TEXT(VLOOKUP(U416, News!A:C, 3, FALSE), "M/D/YYYY")</f>
        <v>4/28/2021</v>
      </c>
      <c r="X416" s="18">
        <f>DATE(YEAR(W416),MONTH(Metrics!$B$5), DAY(Metrics!$B$5))</f>
        <v>44440</v>
      </c>
      <c r="Y416" s="16">
        <f t="shared" si="6"/>
        <v>2021</v>
      </c>
    </row>
    <row r="417" spans="21:25" ht="16" x14ac:dyDescent="0.2">
      <c r="U417" s="12">
        <v>6033</v>
      </c>
      <c r="V417" s="13" t="s">
        <v>51</v>
      </c>
      <c r="W417" s="18" t="str">
        <f>TEXT(VLOOKUP(U417, News!A:C, 3, FALSE), "M/D/YYYY")</f>
        <v>5/5/2021</v>
      </c>
      <c r="X417" s="18">
        <f>DATE(YEAR(W417),MONTH(Metrics!$B$5), DAY(Metrics!$B$5))</f>
        <v>44440</v>
      </c>
      <c r="Y417" s="16">
        <f t="shared" si="6"/>
        <v>2021</v>
      </c>
    </row>
    <row r="418" spans="21:25" ht="16" x14ac:dyDescent="0.2">
      <c r="U418" s="12">
        <v>6094</v>
      </c>
      <c r="V418" s="13" t="s">
        <v>51</v>
      </c>
      <c r="W418" s="18" t="str">
        <f>TEXT(VLOOKUP(U418, News!A:C, 3, FALSE), "M/D/YYYY")</f>
        <v>5/20/2021</v>
      </c>
      <c r="X418" s="18">
        <f>DATE(YEAR(W418),MONTH(Metrics!$B$5), DAY(Metrics!$B$5))</f>
        <v>44440</v>
      </c>
      <c r="Y418" s="16">
        <f t="shared" si="6"/>
        <v>2021</v>
      </c>
    </row>
    <row r="419" spans="21:25" ht="16" x14ac:dyDescent="0.2">
      <c r="U419" s="12">
        <v>6662</v>
      </c>
      <c r="V419" s="13" t="s">
        <v>51</v>
      </c>
      <c r="W419" s="18" t="str">
        <f>TEXT(VLOOKUP(U419, News!A:C, 3, FALSE), "M/D/YYYY")</f>
        <v>9/1/2021</v>
      </c>
      <c r="X419" s="18">
        <f>DATE(YEAR(W419),MONTH(Metrics!$B$5), DAY(Metrics!$B$5))</f>
        <v>44440</v>
      </c>
      <c r="Y419" s="16">
        <f t="shared" si="6"/>
        <v>2022</v>
      </c>
    </row>
    <row r="420" spans="21:25" ht="16" x14ac:dyDescent="0.2">
      <c r="U420" s="12">
        <v>6776</v>
      </c>
      <c r="V420" s="13" t="s">
        <v>51</v>
      </c>
      <c r="W420" s="18" t="str">
        <f>TEXT(VLOOKUP(U420, News!A:C, 3, FALSE), "M/D/YYYY")</f>
        <v>1/6/2022</v>
      </c>
      <c r="X420" s="18">
        <f>DATE(YEAR(W420),MONTH(Metrics!$B$5), DAY(Metrics!$B$5))</f>
        <v>44805</v>
      </c>
      <c r="Y420" s="16">
        <f t="shared" si="6"/>
        <v>2022</v>
      </c>
    </row>
    <row r="421" spans="21:25" ht="16" x14ac:dyDescent="0.2">
      <c r="U421" s="12">
        <v>6871</v>
      </c>
      <c r="V421" s="13" t="s">
        <v>51</v>
      </c>
      <c r="W421" s="18" t="str">
        <f>TEXT(VLOOKUP(U421, News!A:C, 3, FALSE), "M/D/YYYY")</f>
        <v>2/9/2022</v>
      </c>
      <c r="X421" s="18">
        <f>DATE(YEAR(W421),MONTH(Metrics!$B$5), DAY(Metrics!$B$5))</f>
        <v>44805</v>
      </c>
      <c r="Y421" s="16">
        <f t="shared" si="6"/>
        <v>2022</v>
      </c>
    </row>
    <row r="422" spans="21:25" ht="16" x14ac:dyDescent="0.2">
      <c r="U422" s="12">
        <v>6885</v>
      </c>
      <c r="V422" s="13" t="s">
        <v>51</v>
      </c>
      <c r="W422" s="18" t="str">
        <f>TEXT(VLOOKUP(U422, News!A:C, 3, FALSE), "M/D/YYYY")</f>
        <v>2/15/2022</v>
      </c>
      <c r="X422" s="18">
        <f>DATE(YEAR(W422),MONTH(Metrics!$B$5), DAY(Metrics!$B$5))</f>
        <v>44805</v>
      </c>
      <c r="Y422" s="16">
        <f t="shared" si="6"/>
        <v>2022</v>
      </c>
    </row>
    <row r="423" spans="21:25" ht="16" x14ac:dyDescent="0.2">
      <c r="U423" s="12">
        <v>6919</v>
      </c>
      <c r="V423" s="13" t="s">
        <v>51</v>
      </c>
      <c r="W423" s="18" t="str">
        <f>TEXT(VLOOKUP(U423, News!A:C, 3, FALSE), "M/D/YYYY")</f>
        <v>2/23/2022</v>
      </c>
      <c r="X423" s="18">
        <f>DATE(YEAR(W423),MONTH(Metrics!$B$5), DAY(Metrics!$B$5))</f>
        <v>44805</v>
      </c>
      <c r="Y423" s="16">
        <f t="shared" si="6"/>
        <v>2022</v>
      </c>
    </row>
    <row r="424" spans="21:25" ht="16" x14ac:dyDescent="0.2">
      <c r="U424" s="12">
        <v>7033</v>
      </c>
      <c r="V424" s="13" t="s">
        <v>51</v>
      </c>
      <c r="W424" s="18" t="str">
        <f>TEXT(VLOOKUP(U424, News!A:C, 3, FALSE), "M/D/YYYY")</f>
        <v>4/6/2022</v>
      </c>
      <c r="X424" s="18">
        <f>DATE(YEAR(W424),MONTH(Metrics!$B$5), DAY(Metrics!$B$5))</f>
        <v>44805</v>
      </c>
      <c r="Y424" s="16">
        <f t="shared" si="6"/>
        <v>2022</v>
      </c>
    </row>
    <row r="425" spans="21:25" ht="16" x14ac:dyDescent="0.2">
      <c r="U425" s="12">
        <v>7066</v>
      </c>
      <c r="V425" s="13" t="s">
        <v>51</v>
      </c>
      <c r="W425" s="18" t="str">
        <f>TEXT(VLOOKUP(U425, News!A:C, 3, FALSE), "M/D/YYYY")</f>
        <v>4/20/2022</v>
      </c>
      <c r="X425" s="18">
        <f>DATE(YEAR(W425),MONTH(Metrics!$B$5), DAY(Metrics!$B$5))</f>
        <v>44805</v>
      </c>
      <c r="Y425" s="16">
        <f t="shared" si="6"/>
        <v>2022</v>
      </c>
    </row>
    <row r="426" spans="21:25" ht="16" x14ac:dyDescent="0.2">
      <c r="U426" s="12">
        <v>7084</v>
      </c>
      <c r="V426" s="13" t="s">
        <v>51</v>
      </c>
      <c r="W426" s="18" t="str">
        <f>TEXT(VLOOKUP(U426, News!A:C, 3, FALSE), "M/D/YYYY")</f>
        <v>4/29/2022</v>
      </c>
      <c r="X426" s="18">
        <f>DATE(YEAR(W426),MONTH(Metrics!$B$5), DAY(Metrics!$B$5))</f>
        <v>44805</v>
      </c>
      <c r="Y426" s="16">
        <f t="shared" si="6"/>
        <v>2022</v>
      </c>
    </row>
    <row r="427" spans="21:25" ht="16" x14ac:dyDescent="0.2">
      <c r="U427" s="12">
        <v>7104</v>
      </c>
      <c r="V427" s="13" t="s">
        <v>51</v>
      </c>
      <c r="W427" s="18" t="str">
        <f>TEXT(VLOOKUP(U427, News!A:C, 3, FALSE), "M/D/YYYY")</f>
        <v>5/3/2022</v>
      </c>
      <c r="X427" s="18">
        <f>DATE(YEAR(W427),MONTH(Metrics!$B$5), DAY(Metrics!$B$5))</f>
        <v>44805</v>
      </c>
      <c r="Y427" s="16">
        <f t="shared" si="6"/>
        <v>2022</v>
      </c>
    </row>
    <row r="428" spans="21:25" ht="16" x14ac:dyDescent="0.2">
      <c r="U428" s="12">
        <v>7146</v>
      </c>
      <c r="V428" s="13" t="s">
        <v>51</v>
      </c>
      <c r="W428" s="18" t="str">
        <f>TEXT(VLOOKUP(U428, News!A:C, 3, FALSE), "M/D/YYYY")</f>
        <v>5/20/2022</v>
      </c>
      <c r="X428" s="18">
        <f>DATE(YEAR(W428),MONTH(Metrics!$B$5), DAY(Metrics!$B$5))</f>
        <v>44805</v>
      </c>
      <c r="Y428" s="16">
        <f t="shared" si="6"/>
        <v>2022</v>
      </c>
    </row>
    <row r="429" spans="21:25" ht="16" x14ac:dyDescent="0.2">
      <c r="U429" s="12">
        <v>7177</v>
      </c>
      <c r="V429" s="13" t="s">
        <v>51</v>
      </c>
      <c r="W429" s="18" t="str">
        <f>TEXT(VLOOKUP(U429, News!A:C, 3, FALSE), "M/D/YYYY")</f>
        <v>6/13/2022</v>
      </c>
      <c r="X429" s="18">
        <f>DATE(YEAR(W429),MONTH(Metrics!$B$5), DAY(Metrics!$B$5))</f>
        <v>44805</v>
      </c>
      <c r="Y429" s="16">
        <f t="shared" si="6"/>
        <v>2022</v>
      </c>
    </row>
    <row r="430" spans="21:25" ht="16" x14ac:dyDescent="0.2">
      <c r="U430" s="12">
        <v>7243</v>
      </c>
      <c r="V430" s="13" t="s">
        <v>51</v>
      </c>
      <c r="W430" s="18" t="str">
        <f>TEXT(VLOOKUP(U430, News!A:C, 3, FALSE), "M/D/YYYY")</f>
        <v>7/8/2022</v>
      </c>
      <c r="X430" s="18">
        <f>DATE(YEAR(W430),MONTH(Metrics!$B$5), DAY(Metrics!$B$5))</f>
        <v>44805</v>
      </c>
      <c r="Y430" s="16">
        <f t="shared" si="6"/>
        <v>2022</v>
      </c>
    </row>
    <row r="431" spans="21:25" ht="16" x14ac:dyDescent="0.2">
      <c r="U431" s="12">
        <v>7296</v>
      </c>
      <c r="V431" s="13" t="s">
        <v>51</v>
      </c>
      <c r="W431" s="18" t="str">
        <f>TEXT(VLOOKUP(U431, News!A:C, 3, FALSE), "M/D/YYYY")</f>
        <v>8/8/2022</v>
      </c>
      <c r="X431" s="18">
        <f>DATE(YEAR(W431),MONTH(Metrics!$B$5), DAY(Metrics!$B$5))</f>
        <v>44805</v>
      </c>
      <c r="Y431" s="16">
        <f t="shared" si="6"/>
        <v>2022</v>
      </c>
    </row>
    <row r="432" spans="21:25" ht="16" x14ac:dyDescent="0.2">
      <c r="U432" s="12">
        <v>7698</v>
      </c>
      <c r="V432" s="13" t="s">
        <v>51</v>
      </c>
      <c r="W432" s="18" t="str">
        <f>TEXT(VLOOKUP(U432, News!A:C, 3, FALSE), "M/D/YYYY")</f>
        <v>11/4/2022</v>
      </c>
      <c r="X432" s="18">
        <f>DATE(YEAR(W432),MONTH(Metrics!$B$5), DAY(Metrics!$B$5))</f>
        <v>44805</v>
      </c>
      <c r="Y432" s="16">
        <f t="shared" si="6"/>
        <v>2023</v>
      </c>
    </row>
    <row r="433" spans="21:25" ht="16" x14ac:dyDescent="0.2">
      <c r="U433" s="12">
        <v>7918</v>
      </c>
      <c r="V433" s="13" t="s">
        <v>51</v>
      </c>
      <c r="W433" s="18" t="str">
        <f>TEXT(VLOOKUP(U433, News!A:C, 3, FALSE), "M/D/YYYY")</f>
        <v>1/17/2023</v>
      </c>
      <c r="X433" s="18">
        <f>DATE(YEAR(W433),MONTH(Metrics!$B$5), DAY(Metrics!$B$5))</f>
        <v>45170</v>
      </c>
      <c r="Y433" s="16">
        <f t="shared" si="6"/>
        <v>2023</v>
      </c>
    </row>
    <row r="434" spans="21:25" ht="16" x14ac:dyDescent="0.2">
      <c r="U434" s="12">
        <v>3539</v>
      </c>
      <c r="V434" s="13" t="s">
        <v>51</v>
      </c>
      <c r="W434" s="18" t="str">
        <f>TEXT(VLOOKUP(U434, News!A:C, 3, FALSE), "M/D/YYYY")</f>
        <v>4/22/2016</v>
      </c>
      <c r="X434" s="18">
        <f>DATE(YEAR(W434),MONTH(Metrics!$B$5), DAY(Metrics!$B$5))</f>
        <v>42614</v>
      </c>
      <c r="Y434" s="16">
        <f t="shared" si="6"/>
        <v>2016</v>
      </c>
    </row>
    <row r="435" spans="21:25" ht="16" x14ac:dyDescent="0.2">
      <c r="U435" s="12">
        <v>7797</v>
      </c>
      <c r="V435" s="13" t="s">
        <v>51</v>
      </c>
      <c r="W435" s="18" t="str">
        <f>TEXT(VLOOKUP(U435, News!A:C, 3, FALSE), "M/D/YYYY")</f>
        <v>1/6/2023</v>
      </c>
      <c r="X435" s="18">
        <f>DATE(YEAR(W435),MONTH(Metrics!$B$5), DAY(Metrics!$B$5))</f>
        <v>45170</v>
      </c>
      <c r="Y435" s="16">
        <f t="shared" si="6"/>
        <v>2023</v>
      </c>
    </row>
    <row r="436" spans="21:25" ht="16" x14ac:dyDescent="0.2">
      <c r="U436" s="12">
        <v>5535</v>
      </c>
      <c r="V436" s="13" t="s">
        <v>17</v>
      </c>
      <c r="W436" s="18" t="str">
        <f>TEXT(VLOOKUP(U436, News!A:C, 3, FALSE), "M/D/YYYY")</f>
        <v>10/30/2020</v>
      </c>
      <c r="X436" s="18">
        <f>DATE(YEAR(W436),MONTH(Metrics!$B$5), DAY(Metrics!$B$5))</f>
        <v>44075</v>
      </c>
      <c r="Y436" s="16">
        <f t="shared" si="6"/>
        <v>2021</v>
      </c>
    </row>
    <row r="437" spans="21:25" ht="16" x14ac:dyDescent="0.2">
      <c r="U437" s="12">
        <v>5883</v>
      </c>
      <c r="V437" s="13" t="s">
        <v>17</v>
      </c>
      <c r="W437" s="18" t="str">
        <f>TEXT(VLOOKUP(U437, News!A:C, 3, FALSE), "M/D/YYYY")</f>
        <v>3/18/2021</v>
      </c>
      <c r="X437" s="18">
        <f>DATE(YEAR(W437),MONTH(Metrics!$B$5), DAY(Metrics!$B$5))</f>
        <v>44440</v>
      </c>
      <c r="Y437" s="16">
        <f t="shared" si="6"/>
        <v>2021</v>
      </c>
    </row>
    <row r="438" spans="21:25" ht="16" x14ac:dyDescent="0.2">
      <c r="U438" s="12">
        <v>7040</v>
      </c>
      <c r="V438" s="13" t="s">
        <v>17</v>
      </c>
      <c r="W438" s="18" t="str">
        <f>TEXT(VLOOKUP(U438, News!A:C, 3, FALSE), "M/D/YYYY")</f>
        <v>4/8/2022</v>
      </c>
      <c r="X438" s="18">
        <f>DATE(YEAR(W438),MONTH(Metrics!$B$5), DAY(Metrics!$B$5))</f>
        <v>44805</v>
      </c>
      <c r="Y438" s="16">
        <f t="shared" si="6"/>
        <v>2022</v>
      </c>
    </row>
    <row r="439" spans="21:25" ht="16" x14ac:dyDescent="0.2">
      <c r="U439" s="12">
        <v>7357</v>
      </c>
      <c r="V439" s="13" t="s">
        <v>17</v>
      </c>
      <c r="W439" s="18" t="str">
        <f>TEXT(VLOOKUP(U439, News!A:C, 3, FALSE), "M/D/YYYY")</f>
        <v>9/1/2022</v>
      </c>
      <c r="X439" s="18">
        <f>DATE(YEAR(W439),MONTH(Metrics!$B$5), DAY(Metrics!$B$5))</f>
        <v>44805</v>
      </c>
      <c r="Y439" s="16">
        <f t="shared" si="6"/>
        <v>2023</v>
      </c>
    </row>
    <row r="440" spans="21:25" ht="16" x14ac:dyDescent="0.2">
      <c r="U440" s="12">
        <v>7358</v>
      </c>
      <c r="V440" s="13" t="s">
        <v>17</v>
      </c>
      <c r="W440" s="18" t="str">
        <f>TEXT(VLOOKUP(U440, News!A:C, 3, FALSE), "M/D/YYYY")</f>
        <v>9/12/2022</v>
      </c>
      <c r="X440" s="18">
        <f>DATE(YEAR(W440),MONTH(Metrics!$B$5), DAY(Metrics!$B$5))</f>
        <v>44805</v>
      </c>
      <c r="Y440" s="16">
        <f t="shared" si="6"/>
        <v>2023</v>
      </c>
    </row>
    <row r="441" spans="21:25" ht="16" x14ac:dyDescent="0.2">
      <c r="U441" s="12">
        <v>7355</v>
      </c>
      <c r="V441" s="13" t="s">
        <v>17</v>
      </c>
      <c r="W441" s="18" t="str">
        <f>TEXT(VLOOKUP(U441, News!A:C, 3, FALSE), "M/D/YYYY")</f>
        <v>9/16/2022</v>
      </c>
      <c r="X441" s="18">
        <f>DATE(YEAR(W441),MONTH(Metrics!$B$5), DAY(Metrics!$B$5))</f>
        <v>44805</v>
      </c>
      <c r="Y441" s="16">
        <f t="shared" si="6"/>
        <v>2023</v>
      </c>
    </row>
    <row r="442" spans="21:25" ht="16" x14ac:dyDescent="0.2">
      <c r="U442" s="12">
        <v>7881</v>
      </c>
      <c r="V442" s="13" t="s">
        <v>17</v>
      </c>
      <c r="W442" s="18" t="str">
        <f>TEXT(VLOOKUP(U442, News!A:C, 3, FALSE), "M/D/YYYY")</f>
        <v>1/10/2023</v>
      </c>
      <c r="X442" s="18">
        <f>DATE(YEAR(W442),MONTH(Metrics!$B$5), DAY(Metrics!$B$5))</f>
        <v>45170</v>
      </c>
      <c r="Y442" s="16">
        <f t="shared" si="6"/>
        <v>2023</v>
      </c>
    </row>
    <row r="443" spans="21:25" ht="16" x14ac:dyDescent="0.2">
      <c r="U443" s="12">
        <v>8204</v>
      </c>
      <c r="V443" s="13" t="s">
        <v>17</v>
      </c>
      <c r="W443" s="18" t="str">
        <f>TEXT(VLOOKUP(U443, News!A:C, 3, FALSE), "M/D/YYYY")</f>
        <v>4/18/2023</v>
      </c>
      <c r="X443" s="18">
        <f>DATE(YEAR(W443),MONTH(Metrics!$B$5), DAY(Metrics!$B$5))</f>
        <v>45170</v>
      </c>
      <c r="Y443" s="16">
        <f t="shared" si="6"/>
        <v>2023</v>
      </c>
    </row>
    <row r="444" spans="21:25" ht="16" x14ac:dyDescent="0.2">
      <c r="U444" s="12">
        <v>4816</v>
      </c>
      <c r="V444" s="13" t="s">
        <v>17</v>
      </c>
      <c r="W444" s="18" t="str">
        <f>TEXT(VLOOKUP(U444, News!A:C, 3, FALSE), "M/D/YYYY")</f>
        <v>1/10/2020</v>
      </c>
      <c r="X444" s="18">
        <f>DATE(YEAR(W444),MONTH(Metrics!$B$5), DAY(Metrics!$B$5))</f>
        <v>44075</v>
      </c>
      <c r="Y444" s="16">
        <f t="shared" si="6"/>
        <v>2020</v>
      </c>
    </row>
    <row r="445" spans="21:25" ht="16" x14ac:dyDescent="0.2">
      <c r="U445" s="12">
        <v>7954</v>
      </c>
      <c r="V445" s="13" t="s">
        <v>17</v>
      </c>
      <c r="W445" s="18" t="str">
        <f>TEXT(VLOOKUP(U445, News!A:C, 3, FALSE), "M/D/YYYY")</f>
        <v>1/23/2023</v>
      </c>
      <c r="X445" s="18">
        <f>DATE(YEAR(W445),MONTH(Metrics!$B$5), DAY(Metrics!$B$5))</f>
        <v>45170</v>
      </c>
      <c r="Y445" s="16">
        <f t="shared" si="6"/>
        <v>2023</v>
      </c>
    </row>
    <row r="446" spans="21:25" ht="16" x14ac:dyDescent="0.2">
      <c r="U446" s="12">
        <v>2341</v>
      </c>
      <c r="V446" s="13" t="s">
        <v>17</v>
      </c>
      <c r="W446" s="18" t="str">
        <f>TEXT(VLOOKUP(U446, News!A:C, 3, FALSE), "M/D/YYYY")</f>
        <v>4/28/2017</v>
      </c>
      <c r="X446" s="18">
        <f>DATE(YEAR(W446),MONTH(Metrics!$B$5), DAY(Metrics!$B$5))</f>
        <v>42979</v>
      </c>
      <c r="Y446" s="16">
        <f t="shared" si="6"/>
        <v>2017</v>
      </c>
    </row>
    <row r="447" spans="21:25" ht="16" x14ac:dyDescent="0.2">
      <c r="U447" s="12">
        <v>3301</v>
      </c>
      <c r="V447" s="13" t="s">
        <v>17</v>
      </c>
      <c r="W447" s="18" t="str">
        <f>TEXT(VLOOKUP(U447, News!A:C, 3, FALSE), "M/D/YYYY")</f>
        <v>8/29/2016</v>
      </c>
      <c r="X447" s="18">
        <f>DATE(YEAR(W447),MONTH(Metrics!$B$5), DAY(Metrics!$B$5))</f>
        <v>42614</v>
      </c>
      <c r="Y447" s="16">
        <f t="shared" si="6"/>
        <v>2016</v>
      </c>
    </row>
    <row r="448" spans="21:25" ht="16" x14ac:dyDescent="0.2">
      <c r="U448" s="12">
        <v>1353</v>
      </c>
      <c r="V448" s="13" t="s">
        <v>17</v>
      </c>
      <c r="W448" s="18" t="str">
        <f>TEXT(VLOOKUP(U448, News!A:C, 3, FALSE), "M/D/YYYY")</f>
        <v>5/9/2018</v>
      </c>
      <c r="X448" s="18">
        <f>DATE(YEAR(W448),MONTH(Metrics!$B$5), DAY(Metrics!$B$5))</f>
        <v>43344</v>
      </c>
      <c r="Y448" s="16">
        <f t="shared" si="6"/>
        <v>2018</v>
      </c>
    </row>
    <row r="449" spans="21:25" ht="16" x14ac:dyDescent="0.2">
      <c r="U449" s="12">
        <v>2201</v>
      </c>
      <c r="V449" s="13" t="s">
        <v>17</v>
      </c>
      <c r="W449" s="18" t="str">
        <f>TEXT(VLOOKUP(U449, News!A:C, 3, FALSE), "M/D/YYYY")</f>
        <v>6/10/2017</v>
      </c>
      <c r="X449" s="18">
        <f>DATE(YEAR(W449),MONTH(Metrics!$B$5), DAY(Metrics!$B$5))</f>
        <v>42979</v>
      </c>
      <c r="Y449" s="16">
        <f t="shared" si="6"/>
        <v>2017</v>
      </c>
    </row>
    <row r="450" spans="21:25" ht="16" x14ac:dyDescent="0.2">
      <c r="U450" s="12">
        <v>1391</v>
      </c>
      <c r="V450" s="13" t="s">
        <v>17</v>
      </c>
      <c r="W450" s="18" t="str">
        <f>TEXT(VLOOKUP(U450, News!A:C, 3, FALSE), "M/D/YYYY")</f>
        <v>4/10/2018</v>
      </c>
      <c r="X450" s="18">
        <f>DATE(YEAR(W450),MONTH(Metrics!$B$5), DAY(Metrics!$B$5))</f>
        <v>43344</v>
      </c>
      <c r="Y450" s="16">
        <f t="shared" si="6"/>
        <v>2018</v>
      </c>
    </row>
    <row r="451" spans="21:25" ht="16" x14ac:dyDescent="0.2">
      <c r="U451" s="12">
        <v>7196</v>
      </c>
      <c r="V451" s="13" t="s">
        <v>17</v>
      </c>
      <c r="W451" s="18" t="str">
        <f>TEXT(VLOOKUP(U451, News!A:C, 3, FALSE), "M/D/YYYY")</f>
        <v>6/21/2022</v>
      </c>
      <c r="X451" s="18">
        <f>DATE(YEAR(W451),MONTH(Metrics!$B$5), DAY(Metrics!$B$5))</f>
        <v>44805</v>
      </c>
      <c r="Y451" s="16">
        <f t="shared" ref="Y451:Y481" si="7">IF(MONTH(W451) &gt;= MONTH(X451), YEAR(W451)+1, YEAR(W451))</f>
        <v>2022</v>
      </c>
    </row>
    <row r="452" spans="21:25" ht="16" x14ac:dyDescent="0.2">
      <c r="U452" s="12">
        <v>4978</v>
      </c>
      <c r="V452" s="13" t="s">
        <v>17</v>
      </c>
      <c r="W452" s="18" t="str">
        <f>TEXT(VLOOKUP(U452, News!A:C, 3, FALSE), "M/D/YYYY")</f>
        <v>5/29/2020</v>
      </c>
      <c r="X452" s="18">
        <f>DATE(YEAR(W452),MONTH(Metrics!$B$5), DAY(Metrics!$B$5))</f>
        <v>44075</v>
      </c>
      <c r="Y452" s="16">
        <f t="shared" si="7"/>
        <v>2020</v>
      </c>
    </row>
    <row r="453" spans="21:25" ht="16" x14ac:dyDescent="0.2">
      <c r="U453" s="12">
        <v>1343</v>
      </c>
      <c r="V453" s="13" t="s">
        <v>17</v>
      </c>
      <c r="W453" s="18" t="str">
        <f>TEXT(VLOOKUP(U453, News!A:C, 3, FALSE), "M/D/YYYY")</f>
        <v>9/15/2017</v>
      </c>
      <c r="X453" s="18">
        <f>DATE(YEAR(W453),MONTH(Metrics!$B$5), DAY(Metrics!$B$5))</f>
        <v>42979</v>
      </c>
      <c r="Y453" s="16">
        <f t="shared" si="7"/>
        <v>2018</v>
      </c>
    </row>
    <row r="454" spans="21:25" ht="16" x14ac:dyDescent="0.2">
      <c r="U454" s="12">
        <v>2521</v>
      </c>
      <c r="V454" s="13" t="s">
        <v>17</v>
      </c>
      <c r="W454" s="18" t="str">
        <f>TEXT(VLOOKUP(U454, News!A:C, 3, FALSE), "M/D/YYYY")</f>
        <v>1/30/2017</v>
      </c>
      <c r="X454" s="18">
        <f>DATE(YEAR(W454),MONTH(Metrics!$B$5), DAY(Metrics!$B$5))</f>
        <v>42979</v>
      </c>
      <c r="Y454" s="16">
        <f t="shared" si="7"/>
        <v>2017</v>
      </c>
    </row>
    <row r="455" spans="21:25" ht="16" x14ac:dyDescent="0.2">
      <c r="U455" s="12">
        <v>3002</v>
      </c>
      <c r="V455" s="13" t="s">
        <v>17</v>
      </c>
      <c r="W455" s="18" t="str">
        <f>TEXT(VLOOKUP(U455, News!A:C, 3, FALSE), "M/D/YYYY")</f>
        <v>11/26/2016</v>
      </c>
      <c r="X455" s="18">
        <f>DATE(YEAR(W455),MONTH(Metrics!$B$5), DAY(Metrics!$B$5))</f>
        <v>42614</v>
      </c>
      <c r="Y455" s="16">
        <f t="shared" si="7"/>
        <v>2017</v>
      </c>
    </row>
    <row r="456" spans="21:25" ht="16" x14ac:dyDescent="0.2">
      <c r="U456" s="12">
        <v>6606</v>
      </c>
      <c r="V456" s="13" t="s">
        <v>17</v>
      </c>
      <c r="W456" s="18" t="str">
        <f>TEXT(VLOOKUP(U456, News!A:C, 3, FALSE), "M/D/YYYY")</f>
        <v>11/1/2021</v>
      </c>
      <c r="X456" s="18">
        <f>DATE(YEAR(W456),MONTH(Metrics!$B$5), DAY(Metrics!$B$5))</f>
        <v>44440</v>
      </c>
      <c r="Y456" s="16">
        <f t="shared" si="7"/>
        <v>2022</v>
      </c>
    </row>
    <row r="457" spans="21:25" ht="16" x14ac:dyDescent="0.2">
      <c r="U457" s="12">
        <v>6926</v>
      </c>
      <c r="V457" s="13" t="s">
        <v>17</v>
      </c>
      <c r="W457" s="18" t="str">
        <f>TEXT(VLOOKUP(U457, News!A:C, 3, FALSE), "M/D/YYYY")</f>
        <v>2/24/2022</v>
      </c>
      <c r="X457" s="18">
        <f>DATE(YEAR(W457),MONTH(Metrics!$B$5), DAY(Metrics!$B$5))</f>
        <v>44805</v>
      </c>
      <c r="Y457" s="16">
        <f t="shared" si="7"/>
        <v>2022</v>
      </c>
    </row>
    <row r="458" spans="21:25" ht="16" x14ac:dyDescent="0.2">
      <c r="U458" s="12">
        <v>769</v>
      </c>
      <c r="V458" s="13" t="s">
        <v>17</v>
      </c>
      <c r="W458" s="18" t="str">
        <f>TEXT(VLOOKUP(U458, News!A:C, 3, FALSE), "M/D/YYYY")</f>
        <v>3/21/2018</v>
      </c>
      <c r="X458" s="18">
        <f>DATE(YEAR(W458),MONTH(Metrics!$B$5), DAY(Metrics!$B$5))</f>
        <v>43344</v>
      </c>
      <c r="Y458" s="16">
        <f t="shared" si="7"/>
        <v>2018</v>
      </c>
    </row>
    <row r="459" spans="21:25" ht="16" x14ac:dyDescent="0.2">
      <c r="U459" s="12">
        <v>1368</v>
      </c>
      <c r="V459" s="13" t="s">
        <v>17</v>
      </c>
      <c r="W459" s="18" t="str">
        <f>TEXT(VLOOKUP(U459, News!A:C, 3, FALSE), "M/D/YYYY")</f>
        <v>10/14/2017</v>
      </c>
      <c r="X459" s="18">
        <f>DATE(YEAR(W459),MONTH(Metrics!$B$5), DAY(Metrics!$B$5))</f>
        <v>42979</v>
      </c>
      <c r="Y459" s="16">
        <f t="shared" si="7"/>
        <v>2018</v>
      </c>
    </row>
    <row r="460" spans="21:25" ht="16" x14ac:dyDescent="0.2">
      <c r="U460" s="12">
        <v>1381</v>
      </c>
      <c r="V460" s="13" t="s">
        <v>17</v>
      </c>
      <c r="W460" s="18" t="str">
        <f>TEXT(VLOOKUP(U460, News!A:C, 3, FALSE), "M/D/YYYY")</f>
        <v>11/2/2017</v>
      </c>
      <c r="X460" s="18">
        <f>DATE(YEAR(W460),MONTH(Metrics!$B$5), DAY(Metrics!$B$5))</f>
        <v>42979</v>
      </c>
      <c r="Y460" s="16">
        <f t="shared" si="7"/>
        <v>2018</v>
      </c>
    </row>
    <row r="461" spans="21:25" ht="16" x14ac:dyDescent="0.2">
      <c r="U461" s="12">
        <v>4641</v>
      </c>
      <c r="V461" s="13" t="s">
        <v>17</v>
      </c>
      <c r="W461" s="18" t="str">
        <f>TEXT(VLOOKUP(U461, News!A:C, 3, FALSE), "M/D/YYYY")</f>
        <v>12/2/2019</v>
      </c>
      <c r="X461" s="18">
        <f>DATE(YEAR(W461),MONTH(Metrics!$B$5), DAY(Metrics!$B$5))</f>
        <v>43709</v>
      </c>
      <c r="Y461" s="16">
        <f t="shared" si="7"/>
        <v>2020</v>
      </c>
    </row>
    <row r="462" spans="21:25" ht="16" x14ac:dyDescent="0.2">
      <c r="U462" s="12">
        <v>7024</v>
      </c>
      <c r="V462" s="13" t="s">
        <v>17</v>
      </c>
      <c r="W462" s="18" t="str">
        <f>TEXT(VLOOKUP(U462, News!A:C, 3, FALSE), "M/D/YYYY")</f>
        <v>4/1/2022</v>
      </c>
      <c r="X462" s="18">
        <f>DATE(YEAR(W462),MONTH(Metrics!$B$5), DAY(Metrics!$B$5))</f>
        <v>44805</v>
      </c>
      <c r="Y462" s="16">
        <f t="shared" si="7"/>
        <v>2022</v>
      </c>
    </row>
    <row r="463" spans="21:25" ht="16" x14ac:dyDescent="0.2">
      <c r="U463" s="12">
        <v>5606</v>
      </c>
      <c r="V463" s="13" t="s">
        <v>17</v>
      </c>
      <c r="W463" s="18" t="str">
        <f>TEXT(VLOOKUP(U463, News!A:C, 3, FALSE), "M/D/YYYY")</f>
        <v>11/23/2020</v>
      </c>
      <c r="X463" s="18">
        <f>DATE(YEAR(W463),MONTH(Metrics!$B$5), DAY(Metrics!$B$5))</f>
        <v>44075</v>
      </c>
      <c r="Y463" s="16">
        <f t="shared" si="7"/>
        <v>2021</v>
      </c>
    </row>
    <row r="464" spans="21:25" ht="16" x14ac:dyDescent="0.2">
      <c r="U464" s="12">
        <v>4164</v>
      </c>
      <c r="V464" s="13" t="s">
        <v>17</v>
      </c>
      <c r="W464" s="18" t="str">
        <f>TEXT(VLOOKUP(U464, News!A:C, 3, FALSE), "M/D/YYYY")</f>
        <v>6/4/2019</v>
      </c>
      <c r="X464" s="18">
        <f>DATE(YEAR(W464),MONTH(Metrics!$B$5), DAY(Metrics!$B$5))</f>
        <v>43709</v>
      </c>
      <c r="Y464" s="16">
        <f t="shared" si="7"/>
        <v>2019</v>
      </c>
    </row>
    <row r="465" spans="21:25" ht="16" x14ac:dyDescent="0.2">
      <c r="U465" s="12">
        <v>4167</v>
      </c>
      <c r="V465" s="13" t="s">
        <v>17</v>
      </c>
      <c r="W465" s="18" t="str">
        <f>TEXT(VLOOKUP(U465, News!A:C, 3, FALSE), "M/D/YYYY")</f>
        <v>6/4/2019</v>
      </c>
      <c r="X465" s="18">
        <f>DATE(YEAR(W465),MONTH(Metrics!$B$5), DAY(Metrics!$B$5))</f>
        <v>43709</v>
      </c>
      <c r="Y465" s="16">
        <f t="shared" si="7"/>
        <v>2019</v>
      </c>
    </row>
    <row r="466" spans="21:25" ht="16" x14ac:dyDescent="0.2">
      <c r="U466" s="12">
        <v>6083</v>
      </c>
      <c r="V466" s="13" t="s">
        <v>17</v>
      </c>
      <c r="W466" s="18" t="str">
        <f>TEXT(VLOOKUP(U466, News!A:C, 3, FALSE), "M/D/YYYY")</f>
        <v>5/18/2021</v>
      </c>
      <c r="X466" s="18">
        <f>DATE(YEAR(W466),MONTH(Metrics!$B$5), DAY(Metrics!$B$5))</f>
        <v>44440</v>
      </c>
      <c r="Y466" s="16">
        <f t="shared" si="7"/>
        <v>2021</v>
      </c>
    </row>
    <row r="467" spans="21:25" ht="16" x14ac:dyDescent="0.2">
      <c r="U467" s="12">
        <v>1346</v>
      </c>
      <c r="V467" s="13" t="s">
        <v>17</v>
      </c>
      <c r="W467" s="18" t="str">
        <f>TEXT(VLOOKUP(U467, News!A:C, 3, FALSE), "M/D/YYYY")</f>
        <v>5/11/2018</v>
      </c>
      <c r="X467" s="18">
        <f>DATE(YEAR(W467),MONTH(Metrics!$B$5), DAY(Metrics!$B$5))</f>
        <v>43344</v>
      </c>
      <c r="Y467" s="16">
        <f t="shared" si="7"/>
        <v>2018</v>
      </c>
    </row>
    <row r="468" spans="21:25" ht="16" x14ac:dyDescent="0.2">
      <c r="U468" s="12">
        <v>4242</v>
      </c>
      <c r="V468" s="13" t="s">
        <v>17</v>
      </c>
      <c r="W468" s="18" t="str">
        <f>TEXT(VLOOKUP(U468, News!A:C, 3, FALSE), "M/D/YYYY")</f>
        <v>6/21/2019</v>
      </c>
      <c r="X468" s="18">
        <f>DATE(YEAR(W468),MONTH(Metrics!$B$5), DAY(Metrics!$B$5))</f>
        <v>43709</v>
      </c>
      <c r="Y468" s="16">
        <f t="shared" si="7"/>
        <v>2019</v>
      </c>
    </row>
    <row r="469" spans="21:25" ht="16" x14ac:dyDescent="0.2">
      <c r="U469" s="12">
        <v>7657</v>
      </c>
      <c r="V469" s="13" t="s">
        <v>17</v>
      </c>
      <c r="W469" s="18" t="str">
        <f>TEXT(VLOOKUP(U469, News!A:C, 3, FALSE), "M/D/YYYY")</f>
        <v>10/20/2022</v>
      </c>
      <c r="X469" s="18">
        <f>DATE(YEAR(W469),MONTH(Metrics!$B$5), DAY(Metrics!$B$5))</f>
        <v>44805</v>
      </c>
      <c r="Y469" s="16">
        <f t="shared" si="7"/>
        <v>2023</v>
      </c>
    </row>
    <row r="470" spans="21:25" ht="16" x14ac:dyDescent="0.2">
      <c r="U470" s="12">
        <v>3539</v>
      </c>
      <c r="V470" s="13" t="s">
        <v>17</v>
      </c>
      <c r="W470" s="18" t="str">
        <f>TEXT(VLOOKUP(U470, News!A:C, 3, FALSE), "M/D/YYYY")</f>
        <v>4/22/2016</v>
      </c>
      <c r="X470" s="18">
        <f>DATE(YEAR(W470),MONTH(Metrics!$B$5), DAY(Metrics!$B$5))</f>
        <v>42614</v>
      </c>
      <c r="Y470" s="16">
        <f t="shared" si="7"/>
        <v>2016</v>
      </c>
    </row>
    <row r="471" spans="21:25" ht="16" x14ac:dyDescent="0.2">
      <c r="U471" s="12">
        <v>7797</v>
      </c>
      <c r="V471" s="13" t="s">
        <v>17</v>
      </c>
      <c r="W471" s="18" t="str">
        <f>TEXT(VLOOKUP(U471, News!A:C, 3, FALSE), "M/D/YYYY")</f>
        <v>1/6/2023</v>
      </c>
      <c r="X471" s="18">
        <f>DATE(YEAR(W471),MONTH(Metrics!$B$5), DAY(Metrics!$B$5))</f>
        <v>45170</v>
      </c>
      <c r="Y471" s="16">
        <f t="shared" si="7"/>
        <v>2023</v>
      </c>
    </row>
    <row r="472" spans="21:25" ht="16" x14ac:dyDescent="0.2">
      <c r="U472" s="12">
        <v>1288</v>
      </c>
      <c r="V472" s="13" t="s">
        <v>17</v>
      </c>
      <c r="W472" s="18" t="str">
        <f>TEXT(VLOOKUP(U472, News!A:C, 3, FALSE), "M/D/YYYY")</f>
        <v>6/29/2018</v>
      </c>
      <c r="X472" s="18">
        <f>DATE(YEAR(W472),MONTH(Metrics!$B$5), DAY(Metrics!$B$5))</f>
        <v>43344</v>
      </c>
      <c r="Y472" s="16">
        <f t="shared" si="7"/>
        <v>2018</v>
      </c>
    </row>
    <row r="473" spans="21:25" ht="16" x14ac:dyDescent="0.2">
      <c r="U473" s="12">
        <v>3329</v>
      </c>
      <c r="V473" s="13" t="s">
        <v>17</v>
      </c>
      <c r="W473" s="18" t="str">
        <f>TEXT(VLOOKUP(U473, News!A:C, 3, FALSE), "M/D/YYYY")</f>
        <v>7/13/2016</v>
      </c>
      <c r="X473" s="18">
        <f>DATE(YEAR(W473),MONTH(Metrics!$B$5), DAY(Metrics!$B$5))</f>
        <v>42614</v>
      </c>
      <c r="Y473" s="16">
        <f t="shared" si="7"/>
        <v>2016</v>
      </c>
    </row>
    <row r="474" spans="21:25" ht="16" x14ac:dyDescent="0.2">
      <c r="U474" s="12">
        <v>3376</v>
      </c>
      <c r="V474" s="13" t="s">
        <v>17</v>
      </c>
      <c r="W474" s="18" t="str">
        <f>TEXT(VLOOKUP(U474, News!A:C, 3, FALSE), "M/D/YYYY")</f>
        <v>1/28/2019</v>
      </c>
      <c r="X474" s="18">
        <f>DATE(YEAR(W474),MONTH(Metrics!$B$5), DAY(Metrics!$B$5))</f>
        <v>43709</v>
      </c>
      <c r="Y474" s="16">
        <f t="shared" si="7"/>
        <v>2019</v>
      </c>
    </row>
    <row r="475" spans="21:25" ht="16" x14ac:dyDescent="0.2">
      <c r="U475" s="12">
        <v>3612</v>
      </c>
      <c r="V475" s="13" t="s">
        <v>17</v>
      </c>
      <c r="W475" s="18" t="str">
        <f>TEXT(VLOOKUP(U475, News!A:C, 3, FALSE), "M/D/YYYY")</f>
        <v>1/29/2016</v>
      </c>
      <c r="X475" s="18">
        <f>DATE(YEAR(W475),MONTH(Metrics!$B$5), DAY(Metrics!$B$5))</f>
        <v>42614</v>
      </c>
      <c r="Y475" s="16">
        <f t="shared" si="7"/>
        <v>2016</v>
      </c>
    </row>
    <row r="476" spans="21:25" ht="16" x14ac:dyDescent="0.2">
      <c r="U476" s="12">
        <v>3757</v>
      </c>
      <c r="V476" s="13" t="s">
        <v>17</v>
      </c>
      <c r="W476" s="18" t="str">
        <f>TEXT(VLOOKUP(U476, News!A:C, 3, FALSE), "M/D/YYYY")</f>
        <v>11/22/2015</v>
      </c>
      <c r="X476" s="18">
        <f>DATE(YEAR(W476),MONTH(Metrics!$B$5), DAY(Metrics!$B$5))</f>
        <v>42248</v>
      </c>
      <c r="Y476" s="16">
        <f t="shared" si="7"/>
        <v>2016</v>
      </c>
    </row>
    <row r="477" spans="21:25" ht="16" x14ac:dyDescent="0.2">
      <c r="U477" s="12">
        <v>3859</v>
      </c>
      <c r="V477" s="13" t="s">
        <v>17</v>
      </c>
      <c r="W477" s="18" t="str">
        <f>TEXT(VLOOKUP(U477, News!A:C, 3, FALSE), "M/D/YYYY")</f>
        <v>3/29/2019</v>
      </c>
      <c r="X477" s="18">
        <f>DATE(YEAR(W477),MONTH(Metrics!$B$5), DAY(Metrics!$B$5))</f>
        <v>43709</v>
      </c>
      <c r="Y477" s="16">
        <f t="shared" si="7"/>
        <v>2019</v>
      </c>
    </row>
    <row r="478" spans="21:25" ht="16" x14ac:dyDescent="0.2">
      <c r="U478" s="12">
        <v>4937</v>
      </c>
      <c r="V478" s="13" t="s">
        <v>17</v>
      </c>
      <c r="W478" s="18" t="str">
        <f>TEXT(VLOOKUP(U478, News!A:C, 3, FALSE), "M/D/YYYY")</f>
        <v>5/7/2020</v>
      </c>
      <c r="X478" s="18">
        <f>DATE(YEAR(W478),MONTH(Metrics!$B$5), DAY(Metrics!$B$5))</f>
        <v>44075</v>
      </c>
      <c r="Y478" s="16">
        <f t="shared" si="7"/>
        <v>2020</v>
      </c>
    </row>
    <row r="479" spans="21:25" ht="16" x14ac:dyDescent="0.2">
      <c r="U479" s="12">
        <v>5761</v>
      </c>
      <c r="V479" s="13" t="s">
        <v>17</v>
      </c>
      <c r="W479" s="18" t="str">
        <f>TEXT(VLOOKUP(U479, News!A:C, 3, FALSE), "M/D/YYYY")</f>
        <v>1/15/2021</v>
      </c>
      <c r="X479" s="18">
        <f>DATE(YEAR(W479),MONTH(Metrics!$B$5), DAY(Metrics!$B$5))</f>
        <v>44440</v>
      </c>
      <c r="Y479" s="16">
        <f t="shared" si="7"/>
        <v>2021</v>
      </c>
    </row>
    <row r="480" spans="21:25" ht="16" x14ac:dyDescent="0.2">
      <c r="U480" s="12">
        <v>5920</v>
      </c>
      <c r="V480" s="13" t="s">
        <v>17</v>
      </c>
      <c r="W480" s="18" t="str">
        <f>TEXT(VLOOKUP(U480, News!A:C, 3, FALSE), "M/D/YYYY")</f>
        <v>4/2/2021</v>
      </c>
      <c r="X480" s="18">
        <f>DATE(YEAR(W480),MONTH(Metrics!$B$5), DAY(Metrics!$B$5))</f>
        <v>44440</v>
      </c>
      <c r="Y480" s="16">
        <f t="shared" si="7"/>
        <v>2021</v>
      </c>
    </row>
    <row r="481" spans="21:25" ht="16" x14ac:dyDescent="0.2">
      <c r="U481" s="12">
        <v>8125</v>
      </c>
      <c r="V481" s="13" t="s">
        <v>17</v>
      </c>
      <c r="W481" s="18" t="str">
        <f>TEXT(VLOOKUP(U481, News!A:C, 3, FALSE), "M/D/YYYY")</f>
        <v>3/28/2023</v>
      </c>
      <c r="X481" s="18">
        <f>DATE(YEAR(W481),MONTH(Metrics!$B$5), DAY(Metrics!$B$5))</f>
        <v>45170</v>
      </c>
      <c r="Y481" s="16">
        <f t="shared" si="7"/>
        <v>2023</v>
      </c>
    </row>
    <row r="482" spans="21:25" ht="16" x14ac:dyDescent="0.2">
      <c r="U482" s="12"/>
      <c r="V482" s="13"/>
      <c r="W482" s="16"/>
    </row>
    <row r="483" spans="21:25" ht="16" x14ac:dyDescent="0.2">
      <c r="U483" s="12"/>
      <c r="V483" s="13"/>
      <c r="W483" s="16"/>
    </row>
    <row r="484" spans="21:25" ht="16" x14ac:dyDescent="0.2">
      <c r="U484" s="12"/>
      <c r="V484" s="13"/>
      <c r="W484" s="16"/>
    </row>
    <row r="485" spans="21:25" ht="16" x14ac:dyDescent="0.2">
      <c r="U485" s="12"/>
      <c r="V485" s="13"/>
      <c r="W485" s="16"/>
    </row>
    <row r="486" spans="21:25" ht="16" x14ac:dyDescent="0.2">
      <c r="U486" s="12"/>
      <c r="V486" s="13"/>
      <c r="W486" s="16"/>
    </row>
    <row r="487" spans="21:25" ht="16" x14ac:dyDescent="0.2">
      <c r="U487" s="12"/>
      <c r="V487" s="13"/>
      <c r="W487" s="16"/>
    </row>
    <row r="488" spans="21:25" ht="16" x14ac:dyDescent="0.2">
      <c r="U488" s="12"/>
      <c r="V488" s="13"/>
      <c r="W488" s="16"/>
    </row>
    <row r="489" spans="21:25" ht="16" x14ac:dyDescent="0.2">
      <c r="U489" s="12"/>
      <c r="V489" s="13"/>
      <c r="W489" s="16"/>
    </row>
    <row r="490" spans="21:25" ht="16" x14ac:dyDescent="0.2">
      <c r="U490" s="12"/>
      <c r="V490" s="13"/>
      <c r="W490" s="16"/>
    </row>
    <row r="491" spans="21:25" ht="16" x14ac:dyDescent="0.2">
      <c r="U491" s="12"/>
      <c r="V491" s="13"/>
      <c r="W491" s="16"/>
    </row>
    <row r="492" spans="21:25" ht="16" x14ac:dyDescent="0.2">
      <c r="U492" s="12"/>
      <c r="V492" s="13"/>
      <c r="W492" s="16"/>
    </row>
    <row r="493" spans="21:25" ht="16" x14ac:dyDescent="0.2">
      <c r="U493" s="12"/>
      <c r="V493" s="13"/>
      <c r="W493" s="16"/>
    </row>
    <row r="494" spans="21:25" ht="16" x14ac:dyDescent="0.2">
      <c r="U494" s="12"/>
      <c r="V494" s="13"/>
      <c r="W494" s="16"/>
    </row>
    <row r="495" spans="21:25" ht="16" x14ac:dyDescent="0.2">
      <c r="U495" s="12"/>
      <c r="V495" s="13"/>
      <c r="W495" s="16"/>
    </row>
    <row r="496" spans="21:25" ht="16" x14ac:dyDescent="0.2">
      <c r="U496" s="12"/>
      <c r="V496" s="13"/>
      <c r="W496" s="16"/>
    </row>
    <row r="497" spans="21:23" ht="16" x14ac:dyDescent="0.2">
      <c r="U497" s="12"/>
      <c r="V497" s="13"/>
      <c r="W497" s="16"/>
    </row>
    <row r="498" spans="21:23" ht="16" x14ac:dyDescent="0.2">
      <c r="U498" s="12"/>
      <c r="V498" s="13"/>
      <c r="W498" s="16"/>
    </row>
    <row r="499" spans="21:23" ht="16" x14ac:dyDescent="0.2">
      <c r="U499" s="12"/>
      <c r="V499" s="13"/>
      <c r="W499" s="16"/>
    </row>
    <row r="500" spans="21:23" ht="16" x14ac:dyDescent="0.2">
      <c r="U500" s="12"/>
      <c r="V500" s="13"/>
      <c r="W500" s="16"/>
    </row>
    <row r="501" spans="21:23" ht="16" x14ac:dyDescent="0.2">
      <c r="U501" s="12"/>
      <c r="V501" s="13"/>
      <c r="W501" s="16"/>
    </row>
    <row r="502" spans="21:23" ht="16" x14ac:dyDescent="0.2">
      <c r="U502" s="12"/>
      <c r="V502" s="13"/>
      <c r="W502" s="16"/>
    </row>
    <row r="503" spans="21:23" ht="16" x14ac:dyDescent="0.2">
      <c r="U503" s="12"/>
      <c r="V503" s="13"/>
      <c r="W503" s="16"/>
    </row>
    <row r="504" spans="21:23" ht="16" x14ac:dyDescent="0.2">
      <c r="U504" s="12"/>
      <c r="V504" s="13"/>
      <c r="W504" s="16"/>
    </row>
    <row r="505" spans="21:23" ht="16" x14ac:dyDescent="0.2">
      <c r="U505" s="12"/>
      <c r="V505" s="13"/>
      <c r="W505" s="16"/>
    </row>
    <row r="506" spans="21:23" ht="16" x14ac:dyDescent="0.2">
      <c r="U506" s="12"/>
      <c r="V506" s="13"/>
      <c r="W506" s="16"/>
    </row>
    <row r="507" spans="21:23" ht="16" x14ac:dyDescent="0.2">
      <c r="U507" s="12"/>
      <c r="V507" s="13"/>
      <c r="W507" s="16"/>
    </row>
    <row r="508" spans="21:23" ht="16" x14ac:dyDescent="0.2">
      <c r="U508" s="12"/>
      <c r="V508" s="13"/>
      <c r="W508" s="16"/>
    </row>
    <row r="509" spans="21:23" ht="16" x14ac:dyDescent="0.2">
      <c r="U509" s="12"/>
      <c r="V509" s="13"/>
      <c r="W509" s="16"/>
    </row>
    <row r="510" spans="21:23" ht="16" x14ac:dyDescent="0.2">
      <c r="U510" s="12"/>
      <c r="V510" s="13"/>
      <c r="W510" s="16"/>
    </row>
    <row r="511" spans="21:23" ht="16" x14ac:dyDescent="0.2">
      <c r="U511" s="12"/>
      <c r="V511" s="13"/>
      <c r="W511" s="16"/>
    </row>
    <row r="512" spans="21:23" ht="16" x14ac:dyDescent="0.2">
      <c r="U512" s="12"/>
      <c r="V512" s="13"/>
      <c r="W512" s="16"/>
    </row>
    <row r="513" spans="21:23" ht="16" x14ac:dyDescent="0.2">
      <c r="U513" s="12"/>
      <c r="V513" s="13"/>
      <c r="W513" s="16"/>
    </row>
    <row r="514" spans="21:23" ht="16" x14ac:dyDescent="0.2">
      <c r="U514" s="12"/>
      <c r="V514" s="13"/>
      <c r="W514" s="16"/>
    </row>
    <row r="515" spans="21:23" ht="16" x14ac:dyDescent="0.2">
      <c r="U515" s="12"/>
      <c r="V515" s="13"/>
      <c r="W515" s="16"/>
    </row>
    <row r="516" spans="21:23" ht="16" x14ac:dyDescent="0.2">
      <c r="U516" s="12"/>
      <c r="V516" s="13"/>
      <c r="W516" s="16"/>
    </row>
    <row r="517" spans="21:23" ht="16" x14ac:dyDescent="0.2">
      <c r="U517" s="12"/>
      <c r="V517" s="13"/>
      <c r="W517" s="16"/>
    </row>
    <row r="518" spans="21:23" ht="16" x14ac:dyDescent="0.2">
      <c r="U518" s="12"/>
      <c r="V518" s="13"/>
      <c r="W518" s="16"/>
    </row>
    <row r="519" spans="21:23" ht="16" x14ac:dyDescent="0.2">
      <c r="U519" s="12"/>
      <c r="V519" s="13"/>
      <c r="W519" s="16"/>
    </row>
    <row r="520" spans="21:23" ht="16" x14ac:dyDescent="0.2">
      <c r="U520" s="12"/>
      <c r="V520" s="13"/>
      <c r="W520" s="16"/>
    </row>
    <row r="521" spans="21:23" ht="16" x14ac:dyDescent="0.2">
      <c r="U521" s="12"/>
      <c r="V521" s="13"/>
      <c r="W521" s="16"/>
    </row>
    <row r="522" spans="21:23" ht="16" x14ac:dyDescent="0.2">
      <c r="U522" s="12"/>
      <c r="V522" s="13"/>
      <c r="W522" s="16"/>
    </row>
    <row r="523" spans="21:23" ht="16" x14ac:dyDescent="0.2">
      <c r="U523" s="12"/>
      <c r="V523" s="13"/>
      <c r="W523" s="16"/>
    </row>
    <row r="524" spans="21:23" ht="16" x14ac:dyDescent="0.2">
      <c r="U524" s="12"/>
      <c r="V524" s="13"/>
      <c r="W524" s="16"/>
    </row>
    <row r="525" spans="21:23" ht="16" x14ac:dyDescent="0.2">
      <c r="U525" s="12"/>
      <c r="V525" s="13"/>
      <c r="W525" s="16"/>
    </row>
    <row r="526" spans="21:23" ht="16" x14ac:dyDescent="0.2">
      <c r="U526" s="12"/>
      <c r="V526" s="13"/>
      <c r="W526" s="16"/>
    </row>
    <row r="527" spans="21:23" ht="16" x14ac:dyDescent="0.2">
      <c r="U527" s="12"/>
      <c r="V527" s="13"/>
      <c r="W527" s="16"/>
    </row>
    <row r="528" spans="21:23" ht="16" x14ac:dyDescent="0.2">
      <c r="U528" s="12"/>
      <c r="V528" s="13"/>
      <c r="W528" s="16"/>
    </row>
    <row r="529" spans="21:23" ht="16" x14ac:dyDescent="0.2">
      <c r="U529" s="12"/>
      <c r="V529" s="13"/>
      <c r="W529" s="16"/>
    </row>
    <row r="530" spans="21:23" ht="16" x14ac:dyDescent="0.2">
      <c r="U530" s="12"/>
      <c r="V530" s="13"/>
      <c r="W530" s="16"/>
    </row>
    <row r="531" spans="21:23" ht="16" x14ac:dyDescent="0.2">
      <c r="U531" s="12"/>
      <c r="V531" s="13"/>
      <c r="W531" s="16"/>
    </row>
    <row r="532" spans="21:23" ht="16" x14ac:dyDescent="0.2">
      <c r="U532" s="12"/>
      <c r="V532" s="13"/>
      <c r="W532" s="16"/>
    </row>
    <row r="533" spans="21:23" ht="16" x14ac:dyDescent="0.2">
      <c r="U533" s="12"/>
      <c r="V533" s="13"/>
      <c r="W533" s="16"/>
    </row>
    <row r="534" spans="21:23" ht="16" x14ac:dyDescent="0.2">
      <c r="U534" s="12"/>
      <c r="V534" s="13"/>
      <c r="W534" s="16"/>
    </row>
    <row r="535" spans="21:23" ht="16" x14ac:dyDescent="0.2">
      <c r="U535" s="12"/>
      <c r="V535" s="13"/>
      <c r="W535" s="16"/>
    </row>
    <row r="536" spans="21:23" ht="16" x14ac:dyDescent="0.2">
      <c r="U536" s="12"/>
      <c r="V536" s="13"/>
      <c r="W536" s="16"/>
    </row>
    <row r="537" spans="21:23" ht="16" x14ac:dyDescent="0.2">
      <c r="U537" s="12"/>
      <c r="V537" s="13"/>
      <c r="W537" s="16"/>
    </row>
    <row r="538" spans="21:23" ht="16" x14ac:dyDescent="0.2">
      <c r="U538" s="12"/>
      <c r="V538" s="13"/>
      <c r="W538" s="16"/>
    </row>
    <row r="539" spans="21:23" ht="16" x14ac:dyDescent="0.2">
      <c r="U539" s="12"/>
      <c r="V539" s="13"/>
      <c r="W539" s="16"/>
    </row>
    <row r="540" spans="21:23" ht="16" x14ac:dyDescent="0.2">
      <c r="U540" s="12"/>
      <c r="V540" s="13"/>
      <c r="W540" s="16"/>
    </row>
    <row r="541" spans="21:23" ht="16" x14ac:dyDescent="0.2">
      <c r="U541" s="12"/>
      <c r="V541" s="13"/>
      <c r="W541" s="16"/>
    </row>
    <row r="542" spans="21:23" ht="16" x14ac:dyDescent="0.2">
      <c r="U542" s="12"/>
      <c r="V542" s="13"/>
      <c r="W542" s="16"/>
    </row>
    <row r="543" spans="21:23" ht="16" x14ac:dyDescent="0.2">
      <c r="U543" s="12"/>
      <c r="V543" s="13"/>
      <c r="W543" s="16"/>
    </row>
    <row r="544" spans="21:23" ht="16" x14ac:dyDescent="0.2">
      <c r="U544" s="12"/>
      <c r="V544" s="13"/>
      <c r="W544" s="16"/>
    </row>
    <row r="545" spans="21:23" ht="16" x14ac:dyDescent="0.2">
      <c r="U545" s="12"/>
      <c r="V545" s="13"/>
      <c r="W545" s="16"/>
    </row>
    <row r="546" spans="21:23" ht="16" x14ac:dyDescent="0.2">
      <c r="U546" s="12"/>
      <c r="V546" s="13"/>
      <c r="W546" s="16"/>
    </row>
    <row r="547" spans="21:23" ht="16" x14ac:dyDescent="0.2">
      <c r="U547" s="12"/>
      <c r="V547" s="13"/>
      <c r="W547" s="16"/>
    </row>
    <row r="548" spans="21:23" ht="16" x14ac:dyDescent="0.2">
      <c r="U548" s="12"/>
      <c r="V548" s="13"/>
      <c r="W548" s="16"/>
    </row>
    <row r="549" spans="21:23" ht="16" x14ac:dyDescent="0.2">
      <c r="U549" s="12"/>
      <c r="V549" s="13"/>
      <c r="W549" s="16"/>
    </row>
    <row r="550" spans="21:23" ht="16" x14ac:dyDescent="0.2">
      <c r="U550" s="12"/>
      <c r="V550" s="13"/>
      <c r="W550" s="16"/>
    </row>
    <row r="551" spans="21:23" ht="16" x14ac:dyDescent="0.2">
      <c r="U551" s="12"/>
      <c r="V551" s="13"/>
      <c r="W551" s="16"/>
    </row>
    <row r="552" spans="21:23" ht="16" x14ac:dyDescent="0.2">
      <c r="U552" s="12"/>
      <c r="V552" s="13"/>
      <c r="W552" s="16"/>
    </row>
    <row r="553" spans="21:23" ht="16" x14ac:dyDescent="0.2">
      <c r="U553" s="12"/>
      <c r="V553" s="13"/>
      <c r="W553" s="16"/>
    </row>
    <row r="554" spans="21:23" ht="16" x14ac:dyDescent="0.2">
      <c r="U554" s="12"/>
      <c r="V554" s="13"/>
      <c r="W554" s="16"/>
    </row>
    <row r="555" spans="21:23" ht="16" x14ac:dyDescent="0.2">
      <c r="U555" s="12"/>
      <c r="V555" s="13"/>
      <c r="W555" s="16"/>
    </row>
    <row r="556" spans="21:23" ht="16" x14ac:dyDescent="0.2">
      <c r="U556" s="12"/>
      <c r="V556" s="13"/>
      <c r="W556" s="16"/>
    </row>
    <row r="557" spans="21:23" ht="16" x14ac:dyDescent="0.2">
      <c r="U557" s="12"/>
      <c r="V557" s="13"/>
      <c r="W557" s="16"/>
    </row>
    <row r="558" spans="21:23" ht="16" x14ac:dyDescent="0.2">
      <c r="U558" s="12"/>
      <c r="V558" s="13"/>
      <c r="W558" s="16"/>
    </row>
    <row r="559" spans="21:23" ht="16" x14ac:dyDescent="0.2">
      <c r="U559" s="12"/>
      <c r="V559" s="13"/>
      <c r="W559" s="16"/>
    </row>
    <row r="560" spans="21:23" ht="16" x14ac:dyDescent="0.2">
      <c r="U560" s="12"/>
      <c r="V560" s="13"/>
      <c r="W560" s="16"/>
    </row>
    <row r="561" spans="21:23" ht="16" x14ac:dyDescent="0.2">
      <c r="U561" s="12"/>
      <c r="V561" s="13"/>
      <c r="W561" s="16"/>
    </row>
    <row r="562" spans="21:23" ht="16" x14ac:dyDescent="0.2">
      <c r="U562" s="12"/>
      <c r="V562" s="13"/>
      <c r="W562" s="16"/>
    </row>
    <row r="563" spans="21:23" ht="16" x14ac:dyDescent="0.2">
      <c r="U563" s="12"/>
      <c r="V563" s="13"/>
      <c r="W563" s="16"/>
    </row>
    <row r="564" spans="21:23" ht="16" x14ac:dyDescent="0.2">
      <c r="U564" s="12"/>
      <c r="V564" s="13"/>
      <c r="W564" s="16"/>
    </row>
    <row r="565" spans="21:23" ht="16" x14ac:dyDescent="0.2">
      <c r="U565" s="12"/>
      <c r="V565" s="13"/>
      <c r="W565" s="16"/>
    </row>
    <row r="566" spans="21:23" ht="16" x14ac:dyDescent="0.2">
      <c r="U566" s="12"/>
      <c r="V566" s="13"/>
      <c r="W566" s="16"/>
    </row>
    <row r="567" spans="21:23" ht="16" x14ac:dyDescent="0.2">
      <c r="U567" s="12"/>
      <c r="V567" s="13"/>
      <c r="W567" s="16"/>
    </row>
    <row r="568" spans="21:23" ht="16" x14ac:dyDescent="0.2">
      <c r="U568" s="12"/>
      <c r="V568" s="13"/>
      <c r="W568" s="16"/>
    </row>
    <row r="569" spans="21:23" ht="16" x14ac:dyDescent="0.2">
      <c r="U569" s="12"/>
      <c r="V569" s="13"/>
      <c r="W569" s="16"/>
    </row>
    <row r="570" spans="21:23" ht="16" x14ac:dyDescent="0.2">
      <c r="U570" s="12"/>
      <c r="V570" s="13"/>
      <c r="W570" s="16"/>
    </row>
    <row r="571" spans="21:23" ht="16" x14ac:dyDescent="0.2">
      <c r="U571" s="12"/>
      <c r="V571" s="13"/>
      <c r="W571" s="16"/>
    </row>
    <row r="572" spans="21:23" ht="16" x14ac:dyDescent="0.2">
      <c r="U572" s="12"/>
      <c r="V572" s="13"/>
      <c r="W572" s="16"/>
    </row>
    <row r="573" spans="21:23" ht="16" x14ac:dyDescent="0.2">
      <c r="U573" s="12"/>
      <c r="V573" s="13"/>
      <c r="W573" s="16"/>
    </row>
    <row r="574" spans="21:23" ht="16" x14ac:dyDescent="0.2">
      <c r="U574" s="12"/>
      <c r="V574" s="13"/>
      <c r="W574" s="16"/>
    </row>
    <row r="575" spans="21:23" ht="16" x14ac:dyDescent="0.2">
      <c r="U575" s="12"/>
      <c r="V575" s="13"/>
      <c r="W575" s="16"/>
    </row>
    <row r="576" spans="21:23" ht="16" x14ac:dyDescent="0.2">
      <c r="U576" s="12"/>
      <c r="V576" s="13"/>
      <c r="W576" s="16"/>
    </row>
    <row r="577" spans="21:23" ht="16" x14ac:dyDescent="0.2">
      <c r="U577" s="12"/>
      <c r="V577" s="13"/>
      <c r="W577" s="16"/>
    </row>
    <row r="578" spans="21:23" ht="16" x14ac:dyDescent="0.2">
      <c r="U578" s="12"/>
      <c r="V578" s="13"/>
      <c r="W578" s="16"/>
    </row>
    <row r="579" spans="21:23" ht="16" x14ac:dyDescent="0.2">
      <c r="U579" s="12"/>
      <c r="V579" s="13"/>
      <c r="W579" s="16"/>
    </row>
    <row r="580" spans="21:23" ht="16" x14ac:dyDescent="0.2">
      <c r="U580" s="12"/>
      <c r="V580" s="13"/>
      <c r="W580" s="16"/>
    </row>
    <row r="581" spans="21:23" ht="16" x14ac:dyDescent="0.2">
      <c r="U581" s="12"/>
      <c r="V581" s="13"/>
      <c r="W581" s="16"/>
    </row>
    <row r="582" spans="21:23" ht="16" x14ac:dyDescent="0.2">
      <c r="U582" s="12"/>
      <c r="V582" s="13"/>
      <c r="W582" s="16"/>
    </row>
    <row r="583" spans="21:23" ht="16" x14ac:dyDescent="0.2">
      <c r="U583" s="12"/>
      <c r="V583" s="13"/>
      <c r="W583" s="16"/>
    </row>
    <row r="584" spans="21:23" ht="16" x14ac:dyDescent="0.2">
      <c r="U584" s="12"/>
      <c r="V584" s="13"/>
      <c r="W584" s="16"/>
    </row>
    <row r="585" spans="21:23" ht="16" x14ac:dyDescent="0.2">
      <c r="U585" s="12"/>
      <c r="V585" s="13"/>
      <c r="W585" s="16"/>
    </row>
    <row r="586" spans="21:23" ht="16" x14ac:dyDescent="0.2">
      <c r="U586" s="12"/>
      <c r="V586" s="13"/>
      <c r="W586" s="16"/>
    </row>
    <row r="587" spans="21:23" ht="16" x14ac:dyDescent="0.2">
      <c r="U587" s="12"/>
      <c r="V587" s="13"/>
      <c r="W587" s="16"/>
    </row>
    <row r="588" spans="21:23" ht="16" x14ac:dyDescent="0.2">
      <c r="U588" s="12"/>
      <c r="V588" s="13"/>
      <c r="W588" s="16"/>
    </row>
    <row r="589" spans="21:23" ht="16" x14ac:dyDescent="0.2">
      <c r="U589" s="12"/>
      <c r="V589" s="13"/>
      <c r="W589" s="16"/>
    </row>
    <row r="590" spans="21:23" ht="16" x14ac:dyDescent="0.2">
      <c r="U590" s="12"/>
      <c r="V590" s="13"/>
      <c r="W590" s="16"/>
    </row>
    <row r="591" spans="21:23" ht="16" x14ac:dyDescent="0.2">
      <c r="U591" s="12"/>
      <c r="V591" s="13"/>
      <c r="W591" s="16"/>
    </row>
    <row r="592" spans="21:23" ht="16" x14ac:dyDescent="0.2">
      <c r="U592" s="12"/>
      <c r="V592" s="13"/>
      <c r="W592" s="16"/>
    </row>
    <row r="593" spans="21:23" ht="16" x14ac:dyDescent="0.2">
      <c r="U593" s="12"/>
      <c r="V593" s="13"/>
      <c r="W593" s="16"/>
    </row>
    <row r="594" spans="21:23" ht="16" x14ac:dyDescent="0.2">
      <c r="U594" s="12"/>
      <c r="V594" s="13"/>
      <c r="W594" s="16"/>
    </row>
    <row r="595" spans="21:23" ht="16" x14ac:dyDescent="0.2">
      <c r="U595" s="12"/>
      <c r="V595" s="13"/>
      <c r="W595" s="16"/>
    </row>
    <row r="596" spans="21:23" ht="16" x14ac:dyDescent="0.2">
      <c r="U596" s="12"/>
      <c r="V596" s="13"/>
      <c r="W596" s="16"/>
    </row>
    <row r="597" spans="21:23" ht="16" x14ac:dyDescent="0.2">
      <c r="U597" s="12"/>
      <c r="V597" s="13"/>
      <c r="W597" s="16"/>
    </row>
    <row r="598" spans="21:23" ht="16" x14ac:dyDescent="0.2">
      <c r="U598" s="12"/>
      <c r="V598" s="13"/>
      <c r="W598" s="16"/>
    </row>
    <row r="599" spans="21:23" ht="16" x14ac:dyDescent="0.2">
      <c r="U599" s="12"/>
      <c r="V599" s="13"/>
      <c r="W599" s="16"/>
    </row>
    <row r="600" spans="21:23" ht="16" x14ac:dyDescent="0.2">
      <c r="U600" s="12"/>
      <c r="V600" s="13"/>
      <c r="W600" s="16"/>
    </row>
    <row r="601" spans="21:23" ht="16" x14ac:dyDescent="0.2">
      <c r="U601" s="12"/>
      <c r="V601" s="13"/>
      <c r="W601" s="16"/>
    </row>
    <row r="602" spans="21:23" ht="16" x14ac:dyDescent="0.2">
      <c r="U602" s="12"/>
      <c r="V602" s="13"/>
      <c r="W602" s="16"/>
    </row>
    <row r="603" spans="21:23" ht="16" x14ac:dyDescent="0.2">
      <c r="U603" s="12"/>
      <c r="V603" s="13"/>
      <c r="W603" s="16"/>
    </row>
    <row r="604" spans="21:23" ht="16" x14ac:dyDescent="0.2">
      <c r="U604" s="12"/>
      <c r="V604" s="13"/>
      <c r="W604" s="16"/>
    </row>
    <row r="605" spans="21:23" ht="16" x14ac:dyDescent="0.2">
      <c r="U605" s="12"/>
      <c r="V605" s="13"/>
      <c r="W605" s="16"/>
    </row>
    <row r="606" spans="21:23" ht="16" x14ac:dyDescent="0.2">
      <c r="U606" s="12"/>
      <c r="V606" s="13"/>
      <c r="W606" s="16"/>
    </row>
    <row r="607" spans="21:23" ht="16" x14ac:dyDescent="0.2">
      <c r="U607" s="12"/>
      <c r="V607" s="13"/>
      <c r="W607" s="16"/>
    </row>
    <row r="608" spans="21:23" ht="16" x14ac:dyDescent="0.2">
      <c r="U608" s="12"/>
      <c r="V608" s="13"/>
      <c r="W608" s="16"/>
    </row>
    <row r="609" spans="21:23" ht="16" x14ac:dyDescent="0.2">
      <c r="U609" s="12"/>
      <c r="V609" s="13"/>
      <c r="W609" s="16"/>
    </row>
    <row r="610" spans="21:23" ht="16" x14ac:dyDescent="0.2">
      <c r="U610" s="12"/>
      <c r="V610" s="13"/>
      <c r="W610" s="16"/>
    </row>
    <row r="611" spans="21:23" ht="16" x14ac:dyDescent="0.2">
      <c r="U611" s="12"/>
      <c r="V611" s="13"/>
      <c r="W611" s="16"/>
    </row>
    <row r="612" spans="21:23" ht="16" x14ac:dyDescent="0.2">
      <c r="U612" s="12"/>
      <c r="V612" s="13"/>
      <c r="W612" s="16"/>
    </row>
    <row r="613" spans="21:23" ht="16" x14ac:dyDescent="0.2">
      <c r="U613" s="12"/>
      <c r="V613" s="13"/>
      <c r="W613" s="16"/>
    </row>
    <row r="614" spans="21:23" ht="16" x14ac:dyDescent="0.2">
      <c r="U614" s="12"/>
      <c r="V614" s="13"/>
      <c r="W614" s="16"/>
    </row>
    <row r="615" spans="21:23" ht="16" x14ac:dyDescent="0.2">
      <c r="U615" s="12"/>
      <c r="V615" s="13"/>
      <c r="W615" s="16"/>
    </row>
    <row r="616" spans="21:23" ht="16" x14ac:dyDescent="0.2">
      <c r="U616" s="12"/>
      <c r="V616" s="13"/>
      <c r="W616" s="16"/>
    </row>
    <row r="617" spans="21:23" ht="16" x14ac:dyDescent="0.2">
      <c r="U617" s="12"/>
      <c r="V617" s="13"/>
      <c r="W617" s="16"/>
    </row>
    <row r="618" spans="21:23" ht="16" x14ac:dyDescent="0.2">
      <c r="U618" s="12"/>
      <c r="V618" s="13"/>
      <c r="W618" s="16"/>
    </row>
    <row r="619" spans="21:23" ht="16" x14ac:dyDescent="0.2">
      <c r="U619" s="12"/>
      <c r="V619" s="13"/>
      <c r="W619" s="16"/>
    </row>
    <row r="620" spans="21:23" ht="16" x14ac:dyDescent="0.2">
      <c r="U620" s="12"/>
      <c r="V620" s="13"/>
      <c r="W620" s="16"/>
    </row>
    <row r="621" spans="21:23" ht="16" x14ac:dyDescent="0.2">
      <c r="U621" s="12"/>
      <c r="V621" s="13"/>
      <c r="W621" s="16"/>
    </row>
    <row r="622" spans="21:23" ht="16" x14ac:dyDescent="0.2">
      <c r="U622" s="12"/>
      <c r="V622" s="13"/>
      <c r="W622" s="16"/>
    </row>
    <row r="623" spans="21:23" ht="16" x14ac:dyDescent="0.2">
      <c r="U623" s="12"/>
      <c r="V623" s="13"/>
      <c r="W623" s="16"/>
    </row>
    <row r="624" spans="21:23" ht="16" x14ac:dyDescent="0.2">
      <c r="U624" s="12"/>
      <c r="V624" s="13"/>
      <c r="W624" s="16"/>
    </row>
    <row r="625" spans="21:23" ht="16" x14ac:dyDescent="0.2">
      <c r="U625" s="12"/>
      <c r="V625" s="13"/>
      <c r="W625" s="16"/>
    </row>
    <row r="626" spans="21:23" ht="16" x14ac:dyDescent="0.2">
      <c r="U626" s="12"/>
      <c r="V626" s="13"/>
      <c r="W626" s="16"/>
    </row>
    <row r="627" spans="21:23" ht="16" x14ac:dyDescent="0.2">
      <c r="U627" s="12"/>
      <c r="V627" s="13"/>
      <c r="W627" s="16"/>
    </row>
    <row r="628" spans="21:23" ht="16" x14ac:dyDescent="0.2">
      <c r="U628" s="12"/>
      <c r="V628" s="13"/>
      <c r="W628" s="16"/>
    </row>
    <row r="629" spans="21:23" ht="16" x14ac:dyDescent="0.2">
      <c r="U629" s="12"/>
      <c r="V629" s="13"/>
      <c r="W629" s="16"/>
    </row>
    <row r="630" spans="21:23" ht="16" x14ac:dyDescent="0.2">
      <c r="U630" s="12"/>
      <c r="V630" s="13"/>
      <c r="W630" s="16"/>
    </row>
    <row r="631" spans="21:23" ht="16" x14ac:dyDescent="0.2">
      <c r="U631" s="12"/>
      <c r="V631" s="13"/>
      <c r="W631" s="16"/>
    </row>
    <row r="632" spans="21:23" ht="16" x14ac:dyDescent="0.2">
      <c r="U632" s="12"/>
      <c r="V632" s="13"/>
      <c r="W632" s="16"/>
    </row>
    <row r="633" spans="21:23" ht="16" x14ac:dyDescent="0.2">
      <c r="U633" s="12"/>
      <c r="V633" s="13"/>
      <c r="W633" s="16"/>
    </row>
    <row r="634" spans="21:23" ht="16" x14ac:dyDescent="0.2">
      <c r="U634" s="12"/>
      <c r="V634" s="13"/>
      <c r="W634" s="16"/>
    </row>
    <row r="635" spans="21:23" ht="16" x14ac:dyDescent="0.2">
      <c r="U635" s="12"/>
      <c r="V635" s="13"/>
      <c r="W635" s="16"/>
    </row>
    <row r="636" spans="21:23" ht="16" x14ac:dyDescent="0.2">
      <c r="U636" s="12"/>
      <c r="V636" s="13"/>
      <c r="W636" s="16"/>
    </row>
    <row r="637" spans="21:23" ht="16" x14ac:dyDescent="0.2">
      <c r="U637" s="12"/>
      <c r="V637" s="13"/>
      <c r="W637" s="16"/>
    </row>
    <row r="638" spans="21:23" ht="16" x14ac:dyDescent="0.2">
      <c r="U638" s="12"/>
      <c r="V638" s="13"/>
      <c r="W638" s="16"/>
    </row>
    <row r="639" spans="21:23" ht="16" x14ac:dyDescent="0.2">
      <c r="U639" s="12"/>
      <c r="V639" s="13"/>
      <c r="W639" s="16"/>
    </row>
    <row r="640" spans="21:23" ht="16" x14ac:dyDescent="0.2">
      <c r="U640" s="12"/>
      <c r="V640" s="13"/>
      <c r="W640" s="16"/>
    </row>
    <row r="641" spans="21:23" ht="16" x14ac:dyDescent="0.2">
      <c r="U641" s="12"/>
      <c r="V641" s="13"/>
      <c r="W641" s="16"/>
    </row>
    <row r="642" spans="21:23" ht="16" x14ac:dyDescent="0.2">
      <c r="U642" s="12"/>
      <c r="V642" s="13"/>
      <c r="W642" s="16"/>
    </row>
    <row r="643" spans="21:23" ht="16" x14ac:dyDescent="0.2">
      <c r="U643" s="12"/>
      <c r="V643" s="13"/>
      <c r="W643" s="16"/>
    </row>
    <row r="644" spans="21:23" ht="16" x14ac:dyDescent="0.2">
      <c r="U644" s="12"/>
      <c r="V644" s="13"/>
      <c r="W644" s="16"/>
    </row>
    <row r="645" spans="21:23" ht="16" x14ac:dyDescent="0.2">
      <c r="U645" s="12"/>
      <c r="V645" s="13"/>
      <c r="W645" s="16"/>
    </row>
    <row r="646" spans="21:23" ht="16" x14ac:dyDescent="0.2">
      <c r="U646" s="12"/>
      <c r="V646" s="13"/>
      <c r="W646" s="16"/>
    </row>
    <row r="647" spans="21:23" ht="16" x14ac:dyDescent="0.2">
      <c r="U647" s="12"/>
      <c r="V647" s="13"/>
      <c r="W647" s="16"/>
    </row>
    <row r="648" spans="21:23" ht="16" x14ac:dyDescent="0.2">
      <c r="U648" s="12"/>
      <c r="V648" s="13"/>
      <c r="W648" s="16"/>
    </row>
    <row r="649" spans="21:23" ht="16" x14ac:dyDescent="0.2">
      <c r="U649" s="12"/>
      <c r="V649" s="13"/>
      <c r="W649" s="16"/>
    </row>
    <row r="650" spans="21:23" ht="16" x14ac:dyDescent="0.2">
      <c r="U650" s="12"/>
      <c r="V650" s="13"/>
      <c r="W650" s="16"/>
    </row>
    <row r="651" spans="21:23" ht="16" x14ac:dyDescent="0.2">
      <c r="U651" s="12"/>
      <c r="V651" s="13"/>
      <c r="W651" s="16"/>
    </row>
    <row r="652" spans="21:23" ht="16" x14ac:dyDescent="0.2">
      <c r="U652" s="12"/>
      <c r="V652" s="13"/>
      <c r="W652" s="16"/>
    </row>
    <row r="653" spans="21:23" ht="16" x14ac:dyDescent="0.2">
      <c r="U653" s="12"/>
      <c r="V653" s="13"/>
      <c r="W653" s="16"/>
    </row>
    <row r="654" spans="21:23" ht="16" x14ac:dyDescent="0.2">
      <c r="U654" s="12"/>
      <c r="V654" s="13"/>
      <c r="W654" s="16"/>
    </row>
    <row r="655" spans="21:23" ht="16" x14ac:dyDescent="0.2">
      <c r="U655" s="12"/>
      <c r="V655" s="13"/>
      <c r="W655" s="16"/>
    </row>
    <row r="656" spans="21:23" ht="16" x14ac:dyDescent="0.2">
      <c r="U656" s="12"/>
      <c r="V656" s="13"/>
      <c r="W656" s="16"/>
    </row>
    <row r="657" spans="21:23" ht="16" x14ac:dyDescent="0.2">
      <c r="U657" s="12"/>
      <c r="V657" s="13"/>
      <c r="W657" s="16"/>
    </row>
    <row r="658" spans="21:23" ht="16" x14ac:dyDescent="0.2">
      <c r="U658" s="12"/>
      <c r="V658" s="13"/>
      <c r="W658" s="16"/>
    </row>
    <row r="659" spans="21:23" ht="16" x14ac:dyDescent="0.2">
      <c r="U659" s="12"/>
      <c r="V659" s="13"/>
      <c r="W659" s="16"/>
    </row>
    <row r="660" spans="21:23" ht="16" x14ac:dyDescent="0.2">
      <c r="U660" s="12"/>
      <c r="V660" s="13"/>
      <c r="W660" s="16"/>
    </row>
    <row r="661" spans="21:23" ht="16" x14ac:dyDescent="0.2">
      <c r="U661" s="12"/>
      <c r="V661" s="13"/>
      <c r="W661" s="16"/>
    </row>
    <row r="662" spans="21:23" ht="16" x14ac:dyDescent="0.2">
      <c r="U662" s="12"/>
      <c r="V662" s="13"/>
      <c r="W662" s="16"/>
    </row>
    <row r="663" spans="21:23" ht="16" x14ac:dyDescent="0.2">
      <c r="U663" s="12"/>
      <c r="V663" s="13"/>
      <c r="W663" s="16"/>
    </row>
    <row r="664" spans="21:23" ht="16" x14ac:dyDescent="0.2">
      <c r="U664" s="12"/>
      <c r="V664" s="13"/>
      <c r="W664" s="16"/>
    </row>
    <row r="665" spans="21:23" ht="16" x14ac:dyDescent="0.2">
      <c r="U665" s="12"/>
      <c r="V665" s="13"/>
      <c r="W665" s="16"/>
    </row>
    <row r="666" spans="21:23" ht="16" x14ac:dyDescent="0.2">
      <c r="U666" s="12"/>
      <c r="V666" s="13"/>
      <c r="W666" s="16"/>
    </row>
    <row r="667" spans="21:23" ht="16" x14ac:dyDescent="0.2">
      <c r="U667" s="12"/>
      <c r="V667" s="13"/>
      <c r="W667" s="16"/>
    </row>
    <row r="668" spans="21:23" ht="16" x14ac:dyDescent="0.2">
      <c r="U668" s="12"/>
      <c r="V668" s="13"/>
      <c r="W668" s="16"/>
    </row>
    <row r="669" spans="21:23" ht="16" x14ac:dyDescent="0.2">
      <c r="U669" s="12"/>
      <c r="V669" s="13"/>
      <c r="W669" s="16"/>
    </row>
    <row r="670" spans="21:23" ht="16" x14ac:dyDescent="0.2">
      <c r="U670" s="12"/>
      <c r="V670" s="13"/>
      <c r="W670" s="16"/>
    </row>
    <row r="671" spans="21:23" ht="16" x14ac:dyDescent="0.2">
      <c r="U671" s="12"/>
      <c r="V671" s="13"/>
      <c r="W671" s="16"/>
    </row>
    <row r="672" spans="21:23" ht="16" x14ac:dyDescent="0.2">
      <c r="U672" s="12"/>
      <c r="V672" s="13"/>
      <c r="W672" s="16"/>
    </row>
    <row r="673" spans="21:23" ht="16" x14ac:dyDescent="0.2">
      <c r="U673" s="12"/>
      <c r="V673" s="13"/>
      <c r="W673" s="16"/>
    </row>
    <row r="674" spans="21:23" ht="16" x14ac:dyDescent="0.2">
      <c r="U674" s="12"/>
      <c r="V674" s="13"/>
      <c r="W674" s="16"/>
    </row>
    <row r="675" spans="21:23" ht="16" x14ac:dyDescent="0.2">
      <c r="U675" s="12"/>
      <c r="V675" s="13"/>
      <c r="W675" s="16"/>
    </row>
    <row r="676" spans="21:23" ht="16" x14ac:dyDescent="0.2">
      <c r="U676" s="12"/>
      <c r="V676" s="13"/>
      <c r="W676" s="16"/>
    </row>
    <row r="677" spans="21:23" ht="16" x14ac:dyDescent="0.2">
      <c r="U677" s="12"/>
      <c r="V677" s="13"/>
      <c r="W677" s="16"/>
    </row>
    <row r="678" spans="21:23" ht="16" x14ac:dyDescent="0.2">
      <c r="U678" s="12"/>
      <c r="V678" s="13"/>
      <c r="W678" s="16"/>
    </row>
    <row r="679" spans="21:23" ht="16" x14ac:dyDescent="0.2">
      <c r="U679" s="12"/>
      <c r="V679" s="13"/>
      <c r="W679" s="16"/>
    </row>
    <row r="680" spans="21:23" ht="16" x14ac:dyDescent="0.2">
      <c r="U680" s="12"/>
      <c r="V680" s="13"/>
      <c r="W680" s="16"/>
    </row>
    <row r="681" spans="21:23" ht="16" x14ac:dyDescent="0.2">
      <c r="U681" s="12"/>
      <c r="V681" s="13"/>
      <c r="W681" s="16"/>
    </row>
    <row r="682" spans="21:23" ht="16" x14ac:dyDescent="0.2">
      <c r="U682" s="12"/>
      <c r="V682" s="13"/>
      <c r="W682" s="16"/>
    </row>
    <row r="683" spans="21:23" ht="16" x14ac:dyDescent="0.2">
      <c r="U683" s="12"/>
      <c r="V683" s="13"/>
      <c r="W683" s="16"/>
    </row>
    <row r="684" spans="21:23" ht="16" x14ac:dyDescent="0.2">
      <c r="U684" s="12"/>
      <c r="V684" s="13"/>
      <c r="W684" s="16"/>
    </row>
    <row r="685" spans="21:23" ht="16" x14ac:dyDescent="0.2">
      <c r="U685" s="12"/>
      <c r="V685" s="13"/>
      <c r="W685" s="16"/>
    </row>
    <row r="686" spans="21:23" ht="16" x14ac:dyDescent="0.2">
      <c r="U686" s="12"/>
      <c r="V686" s="13"/>
      <c r="W686" s="16"/>
    </row>
    <row r="687" spans="21:23" ht="16" x14ac:dyDescent="0.2">
      <c r="U687" s="12"/>
      <c r="V687" s="13"/>
      <c r="W687" s="16"/>
    </row>
    <row r="688" spans="21:23" ht="16" x14ac:dyDescent="0.2">
      <c r="U688" s="12"/>
      <c r="V688" s="13"/>
      <c r="W688" s="16"/>
    </row>
    <row r="689" spans="21:23" ht="16" x14ac:dyDescent="0.2">
      <c r="U689" s="12"/>
      <c r="V689" s="13"/>
      <c r="W689" s="16"/>
    </row>
    <row r="690" spans="21:23" ht="16" x14ac:dyDescent="0.2">
      <c r="U690" s="12"/>
      <c r="V690" s="13"/>
      <c r="W690" s="16"/>
    </row>
    <row r="691" spans="21:23" ht="16" x14ac:dyDescent="0.2">
      <c r="U691" s="12"/>
      <c r="V691" s="13"/>
      <c r="W691" s="16"/>
    </row>
    <row r="692" spans="21:23" ht="16" x14ac:dyDescent="0.2">
      <c r="U692" s="12"/>
      <c r="V692" s="13"/>
      <c r="W692" s="16"/>
    </row>
    <row r="693" spans="21:23" ht="16" x14ac:dyDescent="0.2">
      <c r="U693" s="12"/>
      <c r="V693" s="13"/>
      <c r="W693" s="16"/>
    </row>
    <row r="694" spans="21:23" ht="16" x14ac:dyDescent="0.2">
      <c r="U694" s="12"/>
      <c r="V694" s="13"/>
      <c r="W694" s="16"/>
    </row>
    <row r="695" spans="21:23" ht="16" x14ac:dyDescent="0.2">
      <c r="U695" s="12"/>
      <c r="V695" s="13"/>
      <c r="W695" s="16"/>
    </row>
    <row r="696" spans="21:23" ht="16" x14ac:dyDescent="0.2">
      <c r="U696" s="12"/>
      <c r="V696" s="13"/>
      <c r="W696" s="16"/>
    </row>
    <row r="697" spans="21:23" ht="16" x14ac:dyDescent="0.2">
      <c r="U697" s="12"/>
      <c r="V697" s="13"/>
      <c r="W697" s="16"/>
    </row>
    <row r="698" spans="21:23" ht="16" x14ac:dyDescent="0.2">
      <c r="U698" s="12"/>
      <c r="V698" s="13"/>
      <c r="W698" s="16"/>
    </row>
    <row r="699" spans="21:23" ht="16" x14ac:dyDescent="0.2">
      <c r="U699" s="12"/>
      <c r="V699" s="13"/>
      <c r="W699" s="16"/>
    </row>
    <row r="700" spans="21:23" ht="16" x14ac:dyDescent="0.2">
      <c r="U700" s="12"/>
      <c r="V700" s="13"/>
      <c r="W700" s="16"/>
    </row>
    <row r="701" spans="21:23" ht="16" x14ac:dyDescent="0.2">
      <c r="U701" s="12"/>
      <c r="V701" s="13"/>
      <c r="W701" s="16"/>
    </row>
    <row r="702" spans="21:23" ht="16" x14ac:dyDescent="0.2">
      <c r="U702" s="12"/>
      <c r="V702" s="13"/>
      <c r="W702" s="16"/>
    </row>
    <row r="703" spans="21:23" ht="16" x14ac:dyDescent="0.2">
      <c r="U703" s="12"/>
      <c r="V703" s="13"/>
      <c r="W703" s="16"/>
    </row>
    <row r="704" spans="21:23" ht="16" x14ac:dyDescent="0.2">
      <c r="U704" s="12"/>
      <c r="V704" s="13"/>
      <c r="W704" s="16"/>
    </row>
    <row r="705" spans="21:23" ht="16" x14ac:dyDescent="0.2">
      <c r="U705" s="12"/>
      <c r="V705" s="13"/>
      <c r="W705" s="16"/>
    </row>
    <row r="706" spans="21:23" ht="16" x14ac:dyDescent="0.2">
      <c r="U706" s="12"/>
      <c r="V706" s="13"/>
      <c r="W706" s="16"/>
    </row>
    <row r="707" spans="21:23" ht="16" x14ac:dyDescent="0.2">
      <c r="U707" s="12"/>
      <c r="V707" s="13"/>
      <c r="W707" s="16"/>
    </row>
    <row r="708" spans="21:23" ht="16" x14ac:dyDescent="0.2">
      <c r="U708" s="12"/>
      <c r="V708" s="13"/>
      <c r="W708" s="16"/>
    </row>
    <row r="709" spans="21:23" ht="16" x14ac:dyDescent="0.2">
      <c r="U709" s="12"/>
      <c r="V709" s="13"/>
      <c r="W709" s="16"/>
    </row>
    <row r="710" spans="21:23" ht="16" x14ac:dyDescent="0.2">
      <c r="U710" s="12"/>
      <c r="V710" s="13"/>
      <c r="W710" s="16"/>
    </row>
    <row r="711" spans="21:23" ht="16" x14ac:dyDescent="0.2">
      <c r="U711" s="12"/>
      <c r="V711" s="13"/>
      <c r="W711" s="16"/>
    </row>
    <row r="712" spans="21:23" ht="16" x14ac:dyDescent="0.2">
      <c r="U712" s="12"/>
      <c r="V712" s="13"/>
      <c r="W712" s="16"/>
    </row>
    <row r="713" spans="21:23" ht="16" x14ac:dyDescent="0.2">
      <c r="U713" s="12"/>
      <c r="V713" s="13"/>
      <c r="W713" s="16"/>
    </row>
    <row r="714" spans="21:23" ht="16" x14ac:dyDescent="0.2">
      <c r="U714" s="12"/>
      <c r="V714" s="13"/>
      <c r="W714" s="16"/>
    </row>
    <row r="715" spans="21:23" ht="16" x14ac:dyDescent="0.2">
      <c r="U715" s="12"/>
      <c r="V715" s="13"/>
      <c r="W715" s="16"/>
    </row>
    <row r="716" spans="21:23" ht="16" x14ac:dyDescent="0.2">
      <c r="U716" s="12"/>
      <c r="V716" s="13"/>
      <c r="W716" s="16"/>
    </row>
    <row r="717" spans="21:23" ht="16" x14ac:dyDescent="0.2">
      <c r="U717" s="12"/>
      <c r="V717" s="13"/>
      <c r="W717" s="16"/>
    </row>
    <row r="718" spans="21:23" ht="16" x14ac:dyDescent="0.2">
      <c r="U718" s="12"/>
      <c r="V718" s="13"/>
      <c r="W718" s="16"/>
    </row>
    <row r="719" spans="21:23" ht="16" x14ac:dyDescent="0.2">
      <c r="U719" s="12"/>
      <c r="V719" s="13"/>
      <c r="W719" s="16"/>
    </row>
    <row r="720" spans="21:23" ht="16" x14ac:dyDescent="0.2">
      <c r="U720" s="12"/>
      <c r="V720" s="13"/>
      <c r="W720" s="16"/>
    </row>
    <row r="721" spans="21:23" ht="16" x14ac:dyDescent="0.2">
      <c r="U721" s="12"/>
      <c r="V721" s="13"/>
      <c r="W721" s="16"/>
    </row>
    <row r="722" spans="21:23" ht="16" x14ac:dyDescent="0.2">
      <c r="U722" s="12"/>
      <c r="V722" s="13"/>
      <c r="W722" s="16"/>
    </row>
    <row r="723" spans="21:23" ht="16" x14ac:dyDescent="0.2">
      <c r="U723" s="12"/>
      <c r="V723" s="13"/>
      <c r="W723" s="16"/>
    </row>
    <row r="724" spans="21:23" ht="16" x14ac:dyDescent="0.2">
      <c r="U724" s="12"/>
      <c r="V724" s="13"/>
      <c r="W724" s="16"/>
    </row>
    <row r="725" spans="21:23" ht="16" x14ac:dyDescent="0.2">
      <c r="U725" s="12"/>
      <c r="V725" s="13"/>
      <c r="W725" s="16"/>
    </row>
    <row r="726" spans="21:23" ht="16" x14ac:dyDescent="0.2">
      <c r="U726" s="12"/>
      <c r="V726" s="13"/>
      <c r="W726" s="16"/>
    </row>
    <row r="727" spans="21:23" ht="16" x14ac:dyDescent="0.2">
      <c r="U727" s="12"/>
      <c r="V727" s="13"/>
      <c r="W727" s="16"/>
    </row>
    <row r="728" spans="21:23" ht="16" x14ac:dyDescent="0.2">
      <c r="U728" s="12"/>
      <c r="V728" s="13"/>
      <c r="W728" s="16"/>
    </row>
    <row r="729" spans="21:23" ht="16" x14ac:dyDescent="0.2">
      <c r="U729" s="12"/>
      <c r="V729" s="13"/>
      <c r="W729" s="16"/>
    </row>
    <row r="730" spans="21:23" ht="16" x14ac:dyDescent="0.2">
      <c r="U730" s="12"/>
      <c r="V730" s="13"/>
      <c r="W730" s="16"/>
    </row>
    <row r="731" spans="21:23" ht="16" x14ac:dyDescent="0.2">
      <c r="U731" s="12"/>
      <c r="V731" s="13"/>
      <c r="W731" s="16"/>
    </row>
    <row r="732" spans="21:23" ht="16" x14ac:dyDescent="0.2">
      <c r="U732" s="12"/>
      <c r="V732" s="13"/>
      <c r="W732" s="16"/>
    </row>
    <row r="733" spans="21:23" ht="16" x14ac:dyDescent="0.2">
      <c r="U733" s="12"/>
      <c r="V733" s="13"/>
      <c r="W733" s="16"/>
    </row>
    <row r="734" spans="21:23" ht="16" x14ac:dyDescent="0.2">
      <c r="U734" s="12"/>
      <c r="V734" s="13"/>
      <c r="W734" s="16"/>
    </row>
    <row r="735" spans="21:23" ht="16" x14ac:dyDescent="0.2">
      <c r="U735" s="12"/>
      <c r="V735" s="13"/>
      <c r="W735" s="16"/>
    </row>
    <row r="736" spans="21:23" ht="16" x14ac:dyDescent="0.2">
      <c r="U736" s="12"/>
      <c r="V736" s="13"/>
      <c r="W736" s="16"/>
    </row>
    <row r="737" spans="21:23" ht="16" x14ac:dyDescent="0.2">
      <c r="U737" s="12"/>
      <c r="V737" s="13"/>
      <c r="W737" s="16"/>
    </row>
    <row r="738" spans="21:23" ht="16" x14ac:dyDescent="0.2">
      <c r="U738" s="12"/>
      <c r="V738" s="13"/>
      <c r="W738" s="16"/>
    </row>
    <row r="739" spans="21:23" ht="16" x14ac:dyDescent="0.2">
      <c r="U739" s="12"/>
      <c r="V739" s="13"/>
      <c r="W739" s="16"/>
    </row>
    <row r="740" spans="21:23" ht="16" x14ac:dyDescent="0.2">
      <c r="U740" s="12"/>
      <c r="V740" s="13"/>
      <c r="W740" s="16"/>
    </row>
    <row r="741" spans="21:23" ht="16" x14ac:dyDescent="0.2">
      <c r="U741" s="12"/>
      <c r="V741" s="13"/>
      <c r="W741" s="16"/>
    </row>
    <row r="742" spans="21:23" ht="16" x14ac:dyDescent="0.2">
      <c r="U742" s="12"/>
      <c r="V742" s="13"/>
      <c r="W742" s="16"/>
    </row>
    <row r="743" spans="21:23" ht="16" x14ac:dyDescent="0.2">
      <c r="U743" s="12"/>
      <c r="V743" s="13"/>
      <c r="W743" s="16"/>
    </row>
    <row r="744" spans="21:23" ht="16" x14ac:dyDescent="0.2">
      <c r="U744" s="12"/>
      <c r="V744" s="13"/>
      <c r="W744" s="16"/>
    </row>
    <row r="745" spans="21:23" ht="16" x14ac:dyDescent="0.2">
      <c r="U745" s="12"/>
      <c r="V745" s="13"/>
      <c r="W745" s="16"/>
    </row>
    <row r="746" spans="21:23" ht="16" x14ac:dyDescent="0.2">
      <c r="U746" s="12"/>
      <c r="V746" s="13"/>
      <c r="W746" s="16"/>
    </row>
    <row r="747" spans="21:23" ht="16" x14ac:dyDescent="0.2">
      <c r="U747" s="12"/>
      <c r="V747" s="13"/>
      <c r="W747" s="16"/>
    </row>
    <row r="748" spans="21:23" ht="16" x14ac:dyDescent="0.2">
      <c r="U748" s="12"/>
      <c r="V748" s="13"/>
      <c r="W748" s="16"/>
    </row>
    <row r="749" spans="21:23" ht="16" x14ac:dyDescent="0.2">
      <c r="U749" s="12"/>
      <c r="V749" s="13"/>
      <c r="W749" s="16"/>
    </row>
    <row r="750" spans="21:23" ht="16" x14ac:dyDescent="0.2">
      <c r="U750" s="12"/>
      <c r="V750" s="13"/>
      <c r="W750" s="16"/>
    </row>
    <row r="751" spans="21:23" ht="16" x14ac:dyDescent="0.2">
      <c r="U751" s="12"/>
      <c r="V751" s="13"/>
      <c r="W751" s="16"/>
    </row>
    <row r="752" spans="21:23" ht="16" x14ac:dyDescent="0.2">
      <c r="U752" s="12"/>
      <c r="V752" s="13"/>
      <c r="W752" s="16"/>
    </row>
    <row r="753" spans="21:23" ht="16" x14ac:dyDescent="0.2">
      <c r="U753" s="12"/>
      <c r="V753" s="13"/>
      <c r="W753" s="16"/>
    </row>
    <row r="754" spans="21:23" ht="16" x14ac:dyDescent="0.2">
      <c r="U754" s="12"/>
      <c r="V754" s="13"/>
      <c r="W754" s="16"/>
    </row>
    <row r="755" spans="21:23" ht="16" x14ac:dyDescent="0.2">
      <c r="U755" s="12"/>
      <c r="V755" s="13"/>
      <c r="W755" s="16"/>
    </row>
    <row r="756" spans="21:23" ht="16" x14ac:dyDescent="0.2">
      <c r="U756" s="12"/>
      <c r="V756" s="13"/>
      <c r="W756" s="16"/>
    </row>
    <row r="757" spans="21:23" ht="16" x14ac:dyDescent="0.2">
      <c r="U757" s="12"/>
      <c r="V757" s="13"/>
      <c r="W757" s="16"/>
    </row>
    <row r="758" spans="21:23" ht="16" x14ac:dyDescent="0.2">
      <c r="U758" s="12"/>
      <c r="V758" s="13"/>
      <c r="W758" s="16"/>
    </row>
    <row r="759" spans="21:23" ht="16" x14ac:dyDescent="0.2">
      <c r="U759" s="12"/>
      <c r="V759" s="13"/>
      <c r="W759" s="16"/>
    </row>
    <row r="760" spans="21:23" ht="16" x14ac:dyDescent="0.2">
      <c r="U760" s="12"/>
      <c r="V760" s="13"/>
      <c r="W760" s="16"/>
    </row>
    <row r="761" spans="21:23" ht="16" x14ac:dyDescent="0.2">
      <c r="U761" s="12"/>
      <c r="V761" s="13"/>
      <c r="W761" s="16"/>
    </row>
    <row r="762" spans="21:23" ht="16" x14ac:dyDescent="0.2">
      <c r="U762" s="12"/>
      <c r="V762" s="13"/>
      <c r="W762" s="16"/>
    </row>
    <row r="763" spans="21:23" ht="16" x14ac:dyDescent="0.2">
      <c r="U763" s="12"/>
      <c r="V763" s="13"/>
      <c r="W763" s="16"/>
    </row>
    <row r="764" spans="21:23" ht="16" x14ac:dyDescent="0.2">
      <c r="U764" s="12"/>
      <c r="V764" s="13"/>
      <c r="W764" s="16"/>
    </row>
    <row r="765" spans="21:23" ht="16" x14ac:dyDescent="0.2">
      <c r="U765" s="12"/>
      <c r="V765" s="13"/>
      <c r="W765" s="16"/>
    </row>
    <row r="766" spans="21:23" ht="16" x14ac:dyDescent="0.2">
      <c r="U766" s="12"/>
      <c r="V766" s="13"/>
      <c r="W766" s="16"/>
    </row>
    <row r="767" spans="21:23" ht="16" x14ac:dyDescent="0.2">
      <c r="U767" s="12"/>
      <c r="V767" s="13"/>
      <c r="W767" s="16"/>
    </row>
    <row r="768" spans="21:23" ht="16" x14ac:dyDescent="0.2">
      <c r="U768" s="12"/>
      <c r="V768" s="13"/>
      <c r="W768" s="16"/>
    </row>
    <row r="769" spans="21:23" ht="16" x14ac:dyDescent="0.2">
      <c r="U769" s="12"/>
      <c r="V769" s="13"/>
      <c r="W769" s="16"/>
    </row>
    <row r="770" spans="21:23" ht="16" x14ac:dyDescent="0.2">
      <c r="U770" s="12"/>
      <c r="V770" s="13"/>
      <c r="W770" s="16"/>
    </row>
    <row r="771" spans="21:23" ht="16" x14ac:dyDescent="0.2">
      <c r="U771" s="12"/>
      <c r="V771" s="13"/>
      <c r="W771" s="16"/>
    </row>
    <row r="772" spans="21:23" ht="16" x14ac:dyDescent="0.2">
      <c r="U772" s="12"/>
      <c r="V772" s="13"/>
      <c r="W772" s="16"/>
    </row>
    <row r="773" spans="21:23" ht="16" x14ac:dyDescent="0.2">
      <c r="U773" s="12"/>
      <c r="V773" s="13"/>
      <c r="W773" s="16"/>
    </row>
    <row r="774" spans="21:23" ht="16" x14ac:dyDescent="0.2">
      <c r="U774" s="12"/>
      <c r="V774" s="13"/>
      <c r="W774" s="16"/>
    </row>
    <row r="775" spans="21:23" ht="16" x14ac:dyDescent="0.2">
      <c r="U775" s="12"/>
      <c r="V775" s="13"/>
      <c r="W775" s="16"/>
    </row>
    <row r="776" spans="21:23" ht="16" x14ac:dyDescent="0.2">
      <c r="U776" s="12"/>
      <c r="V776" s="13"/>
      <c r="W776" s="16"/>
    </row>
    <row r="777" spans="21:23" ht="16" x14ac:dyDescent="0.2">
      <c r="U777" s="12"/>
      <c r="V777" s="13"/>
      <c r="W777" s="16"/>
    </row>
    <row r="778" spans="21:23" ht="16" x14ac:dyDescent="0.2">
      <c r="U778" s="12"/>
      <c r="V778" s="13"/>
      <c r="W778" s="16"/>
    </row>
    <row r="779" spans="21:23" ht="16" x14ac:dyDescent="0.2">
      <c r="U779" s="12"/>
      <c r="V779" s="13"/>
      <c r="W779" s="16"/>
    </row>
    <row r="780" spans="21:23" ht="16" x14ac:dyDescent="0.2">
      <c r="U780" s="12"/>
      <c r="V780" s="13"/>
      <c r="W780" s="16"/>
    </row>
    <row r="781" spans="21:23" ht="16" x14ac:dyDescent="0.2">
      <c r="U781" s="12"/>
      <c r="V781" s="13"/>
      <c r="W781" s="16"/>
    </row>
    <row r="782" spans="21:23" ht="16" x14ac:dyDescent="0.2">
      <c r="U782" s="12"/>
      <c r="V782" s="13"/>
      <c r="W782" s="16"/>
    </row>
    <row r="783" spans="21:23" ht="16" x14ac:dyDescent="0.2">
      <c r="U783" s="12"/>
      <c r="V783" s="13"/>
      <c r="W783" s="16"/>
    </row>
    <row r="784" spans="21:23" ht="16" x14ac:dyDescent="0.2">
      <c r="U784" s="12"/>
      <c r="V784" s="13"/>
      <c r="W784" s="16"/>
    </row>
    <row r="785" spans="21:23" ht="16" x14ac:dyDescent="0.2">
      <c r="U785" s="12"/>
      <c r="V785" s="13"/>
      <c r="W785" s="16"/>
    </row>
    <row r="786" spans="21:23" ht="16" x14ac:dyDescent="0.2">
      <c r="U786" s="12"/>
      <c r="V786" s="13"/>
      <c r="W786" s="16"/>
    </row>
    <row r="787" spans="21:23" ht="16" x14ac:dyDescent="0.2">
      <c r="U787" s="12"/>
      <c r="V787" s="13"/>
      <c r="W787" s="16"/>
    </row>
    <row r="788" spans="21:23" ht="16" x14ac:dyDescent="0.2">
      <c r="U788" s="12"/>
      <c r="V788" s="13"/>
      <c r="W788" s="16"/>
    </row>
    <row r="789" spans="21:23" ht="16" x14ac:dyDescent="0.2">
      <c r="U789" s="12"/>
      <c r="V789" s="13"/>
      <c r="W789" s="16"/>
    </row>
    <row r="790" spans="21:23" ht="16" x14ac:dyDescent="0.2">
      <c r="U790" s="12"/>
      <c r="V790" s="13"/>
      <c r="W790" s="16"/>
    </row>
    <row r="791" spans="21:23" ht="16" x14ac:dyDescent="0.2">
      <c r="U791" s="12"/>
      <c r="V791" s="13"/>
      <c r="W791" s="16"/>
    </row>
    <row r="792" spans="21:23" ht="16" x14ac:dyDescent="0.2">
      <c r="U792" s="12"/>
      <c r="V792" s="13"/>
      <c r="W792" s="16"/>
    </row>
    <row r="793" spans="21:23" ht="16" x14ac:dyDescent="0.2">
      <c r="U793" s="12"/>
      <c r="V793" s="13"/>
      <c r="W793" s="16"/>
    </row>
    <row r="794" spans="21:23" ht="16" x14ac:dyDescent="0.2">
      <c r="U794" s="12"/>
      <c r="V794" s="13"/>
      <c r="W794" s="16"/>
    </row>
    <row r="795" spans="21:23" ht="16" x14ac:dyDescent="0.2">
      <c r="U795" s="12"/>
      <c r="V795" s="13"/>
      <c r="W795" s="16"/>
    </row>
    <row r="796" spans="21:23" ht="16" x14ac:dyDescent="0.2">
      <c r="U796" s="12"/>
      <c r="V796" s="13"/>
      <c r="W796" s="16"/>
    </row>
    <row r="797" spans="21:23" ht="16" x14ac:dyDescent="0.2">
      <c r="U797" s="12"/>
      <c r="V797" s="13"/>
      <c r="W797" s="16"/>
    </row>
    <row r="798" spans="21:23" ht="16" x14ac:dyDescent="0.2">
      <c r="U798" s="12"/>
      <c r="V798" s="13"/>
      <c r="W798" s="16"/>
    </row>
    <row r="799" spans="21:23" ht="16" x14ac:dyDescent="0.2">
      <c r="U799" s="12"/>
      <c r="V799" s="13"/>
      <c r="W799" s="16"/>
    </row>
    <row r="800" spans="21:23" ht="16" x14ac:dyDescent="0.2">
      <c r="U800" s="12"/>
      <c r="V800" s="13"/>
      <c r="W800" s="16"/>
    </row>
    <row r="801" spans="21:23" ht="16" x14ac:dyDescent="0.2">
      <c r="U801" s="12"/>
      <c r="V801" s="13"/>
      <c r="W801" s="16"/>
    </row>
    <row r="802" spans="21:23" ht="16" x14ac:dyDescent="0.2">
      <c r="U802" s="12"/>
      <c r="V802" s="13"/>
      <c r="W802" s="16"/>
    </row>
    <row r="803" spans="21:23" ht="16" x14ac:dyDescent="0.2">
      <c r="U803" s="12"/>
      <c r="V803" s="13"/>
      <c r="W803" s="16"/>
    </row>
    <row r="804" spans="21:23" ht="16" x14ac:dyDescent="0.2">
      <c r="U804" s="12"/>
      <c r="V804" s="13"/>
      <c r="W804" s="16"/>
    </row>
    <row r="805" spans="21:23" ht="16" x14ac:dyDescent="0.2">
      <c r="U805" s="12"/>
      <c r="V805" s="13"/>
      <c r="W805" s="16"/>
    </row>
    <row r="806" spans="21:23" ht="16" x14ac:dyDescent="0.2">
      <c r="U806" s="12"/>
      <c r="V806" s="13"/>
      <c r="W806" s="16"/>
    </row>
    <row r="807" spans="21:23" ht="16" x14ac:dyDescent="0.2">
      <c r="U807" s="12"/>
      <c r="V807" s="13"/>
      <c r="W807" s="16"/>
    </row>
    <row r="808" spans="21:23" ht="16" x14ac:dyDescent="0.2">
      <c r="U808" s="12"/>
      <c r="V808" s="13"/>
      <c r="W808" s="16"/>
    </row>
    <row r="809" spans="21:23" ht="16" x14ac:dyDescent="0.2">
      <c r="U809" s="12"/>
      <c r="V809" s="13"/>
      <c r="W809" s="16"/>
    </row>
    <row r="810" spans="21:23" ht="16" x14ac:dyDescent="0.2">
      <c r="U810" s="12"/>
      <c r="V810" s="13"/>
      <c r="W810" s="16"/>
    </row>
    <row r="811" spans="21:23" ht="16" x14ac:dyDescent="0.2">
      <c r="U811" s="12"/>
      <c r="V811" s="13"/>
      <c r="W811" s="16"/>
    </row>
    <row r="812" spans="21:23" ht="16" x14ac:dyDescent="0.2">
      <c r="U812" s="12"/>
      <c r="V812" s="13"/>
      <c r="W812" s="16"/>
    </row>
    <row r="813" spans="21:23" ht="16" x14ac:dyDescent="0.2">
      <c r="U813" s="12"/>
      <c r="V813" s="13"/>
      <c r="W813" s="16"/>
    </row>
    <row r="814" spans="21:23" ht="16" x14ac:dyDescent="0.2">
      <c r="U814" s="12"/>
      <c r="V814" s="13"/>
      <c r="W814" s="16"/>
    </row>
    <row r="815" spans="21:23" ht="16" x14ac:dyDescent="0.2">
      <c r="U815" s="12"/>
      <c r="V815" s="13"/>
      <c r="W815" s="16"/>
    </row>
    <row r="816" spans="21:23" ht="16" x14ac:dyDescent="0.2">
      <c r="U816" s="12"/>
      <c r="V816" s="13"/>
      <c r="W816" s="16"/>
    </row>
    <row r="817" spans="21:23" ht="16" x14ac:dyDescent="0.2">
      <c r="U817" s="12"/>
      <c r="V817" s="13"/>
      <c r="W817" s="16"/>
    </row>
    <row r="818" spans="21:23" ht="16" x14ac:dyDescent="0.2">
      <c r="U818" s="12"/>
      <c r="V818" s="13"/>
      <c r="W818" s="16"/>
    </row>
    <row r="819" spans="21:23" ht="16" x14ac:dyDescent="0.2">
      <c r="U819" s="12"/>
      <c r="V819" s="13"/>
      <c r="W819" s="16"/>
    </row>
    <row r="820" spans="21:23" ht="16" x14ac:dyDescent="0.2">
      <c r="U820" s="12"/>
      <c r="V820" s="13"/>
      <c r="W820" s="16"/>
    </row>
    <row r="821" spans="21:23" ht="16" x14ac:dyDescent="0.2">
      <c r="U821" s="12"/>
      <c r="V821" s="13"/>
      <c r="W821" s="16"/>
    </row>
    <row r="822" spans="21:23" ht="16" x14ac:dyDescent="0.2">
      <c r="U822" s="12"/>
      <c r="V822" s="13"/>
      <c r="W822" s="16"/>
    </row>
    <row r="823" spans="21:23" ht="16" x14ac:dyDescent="0.2">
      <c r="U823" s="12"/>
      <c r="V823" s="13"/>
      <c r="W823" s="16"/>
    </row>
    <row r="824" spans="21:23" ht="16" x14ac:dyDescent="0.2">
      <c r="U824" s="12"/>
      <c r="V824" s="13"/>
      <c r="W824" s="16"/>
    </row>
    <row r="825" spans="21:23" ht="16" x14ac:dyDescent="0.2">
      <c r="U825" s="12"/>
      <c r="V825" s="13"/>
      <c r="W825" s="16"/>
    </row>
    <row r="826" spans="21:23" ht="16" x14ac:dyDescent="0.2">
      <c r="U826" s="12"/>
      <c r="V826" s="13"/>
      <c r="W826" s="16"/>
    </row>
    <row r="827" spans="21:23" ht="16" x14ac:dyDescent="0.2">
      <c r="U827" s="12"/>
      <c r="V827" s="13"/>
      <c r="W827" s="16"/>
    </row>
    <row r="828" spans="21:23" ht="16" x14ac:dyDescent="0.2">
      <c r="U828" s="12"/>
      <c r="V828" s="13"/>
      <c r="W828" s="16"/>
    </row>
    <row r="829" spans="21:23" ht="16" x14ac:dyDescent="0.2">
      <c r="U829" s="12"/>
      <c r="V829" s="13"/>
      <c r="W829" s="16"/>
    </row>
    <row r="830" spans="21:23" ht="16" x14ac:dyDescent="0.2">
      <c r="U830" s="12"/>
      <c r="V830" s="13"/>
      <c r="W830" s="16"/>
    </row>
    <row r="831" spans="21:23" ht="16" x14ac:dyDescent="0.2">
      <c r="U831" s="12"/>
      <c r="V831" s="13"/>
      <c r="W831" s="16"/>
    </row>
    <row r="832" spans="21:23" ht="16" x14ac:dyDescent="0.2">
      <c r="U832" s="12"/>
      <c r="V832" s="13"/>
      <c r="W832" s="16"/>
    </row>
    <row r="833" spans="21:23" ht="16" x14ac:dyDescent="0.2">
      <c r="U833" s="12"/>
      <c r="V833" s="13"/>
      <c r="W833" s="16"/>
    </row>
    <row r="834" spans="21:23" ht="16" x14ac:dyDescent="0.2">
      <c r="U834" s="12"/>
      <c r="V834" s="13"/>
      <c r="W834" s="16"/>
    </row>
    <row r="835" spans="21:23" ht="16" x14ac:dyDescent="0.2">
      <c r="U835" s="12"/>
      <c r="V835" s="13"/>
      <c r="W835" s="16"/>
    </row>
    <row r="836" spans="21:23" ht="16" x14ac:dyDescent="0.2">
      <c r="U836" s="12"/>
      <c r="V836" s="13"/>
      <c r="W836" s="16"/>
    </row>
    <row r="837" spans="21:23" ht="16" x14ac:dyDescent="0.2">
      <c r="U837" s="12"/>
      <c r="V837" s="13"/>
      <c r="W837" s="16"/>
    </row>
    <row r="838" spans="21:23" ht="16" x14ac:dyDescent="0.2">
      <c r="U838" s="12"/>
      <c r="V838" s="13"/>
      <c r="W838" s="16"/>
    </row>
    <row r="839" spans="21:23" ht="16" x14ac:dyDescent="0.2">
      <c r="U839" s="12"/>
      <c r="V839" s="13"/>
      <c r="W839" s="16"/>
    </row>
    <row r="840" spans="21:23" ht="16" x14ac:dyDescent="0.2">
      <c r="U840" s="12"/>
      <c r="V840" s="13"/>
      <c r="W840" s="16"/>
    </row>
    <row r="841" spans="21:23" ht="16" x14ac:dyDescent="0.2">
      <c r="U841" s="12"/>
      <c r="V841" s="13"/>
      <c r="W841" s="16"/>
    </row>
    <row r="842" spans="21:23" ht="16" x14ac:dyDescent="0.2">
      <c r="U842" s="12"/>
      <c r="V842" s="13"/>
      <c r="W842" s="16"/>
    </row>
    <row r="843" spans="21:23" ht="16" x14ac:dyDescent="0.2">
      <c r="U843" s="12"/>
      <c r="V843" s="13"/>
      <c r="W843" s="16"/>
    </row>
    <row r="844" spans="21:23" ht="16" x14ac:dyDescent="0.2">
      <c r="U844" s="12"/>
      <c r="V844" s="13"/>
      <c r="W844" s="16"/>
    </row>
    <row r="845" spans="21:23" ht="16" x14ac:dyDescent="0.2">
      <c r="U845" s="12"/>
      <c r="V845" s="13"/>
      <c r="W845" s="16"/>
    </row>
    <row r="846" spans="21:23" ht="16" x14ac:dyDescent="0.2">
      <c r="U846" s="12"/>
      <c r="V846" s="13"/>
      <c r="W846" s="16"/>
    </row>
    <row r="847" spans="21:23" ht="16" x14ac:dyDescent="0.2">
      <c r="U847" s="12"/>
      <c r="V847" s="13"/>
      <c r="W847" s="16"/>
    </row>
    <row r="848" spans="21:23" ht="16" x14ac:dyDescent="0.2">
      <c r="U848" s="12"/>
      <c r="V848" s="13"/>
      <c r="W848" s="16"/>
    </row>
    <row r="849" spans="21:23" ht="16" x14ac:dyDescent="0.2">
      <c r="U849" s="12"/>
      <c r="V849" s="13"/>
      <c r="W849" s="16"/>
    </row>
    <row r="850" spans="21:23" ht="16" x14ac:dyDescent="0.2">
      <c r="U850" s="12"/>
      <c r="V850" s="13"/>
      <c r="W850" s="16"/>
    </row>
    <row r="851" spans="21:23" ht="16" x14ac:dyDescent="0.2">
      <c r="U851" s="12"/>
      <c r="V851" s="13"/>
      <c r="W851" s="16"/>
    </row>
    <row r="852" spans="21:23" ht="16" x14ac:dyDescent="0.2">
      <c r="U852" s="12"/>
      <c r="V852" s="13"/>
      <c r="W852" s="16"/>
    </row>
    <row r="853" spans="21:23" ht="16" x14ac:dyDescent="0.2">
      <c r="U853" s="12"/>
      <c r="V853" s="13"/>
      <c r="W853" s="16"/>
    </row>
    <row r="854" spans="21:23" ht="16" x14ac:dyDescent="0.2">
      <c r="U854" s="12"/>
      <c r="V854" s="13"/>
      <c r="W854" s="16"/>
    </row>
    <row r="855" spans="21:23" ht="16" x14ac:dyDescent="0.2">
      <c r="U855" s="12"/>
      <c r="V855" s="13"/>
      <c r="W855" s="16"/>
    </row>
    <row r="856" spans="21:23" ht="16" x14ac:dyDescent="0.2">
      <c r="U856" s="12"/>
      <c r="V856" s="13"/>
      <c r="W856" s="16"/>
    </row>
    <row r="857" spans="21:23" ht="16" x14ac:dyDescent="0.2">
      <c r="U857" s="12"/>
      <c r="V857" s="13"/>
      <c r="W857" s="16"/>
    </row>
    <row r="858" spans="21:23" ht="16" x14ac:dyDescent="0.2">
      <c r="U858" s="12"/>
      <c r="V858" s="13"/>
      <c r="W858" s="16"/>
    </row>
    <row r="859" spans="21:23" ht="16" x14ac:dyDescent="0.2">
      <c r="U859" s="12"/>
      <c r="V859" s="13"/>
      <c r="W859" s="16"/>
    </row>
    <row r="860" spans="21:23" ht="16" x14ac:dyDescent="0.2">
      <c r="U860" s="12"/>
      <c r="V860" s="13"/>
      <c r="W860" s="16"/>
    </row>
    <row r="861" spans="21:23" ht="16" x14ac:dyDescent="0.2">
      <c r="U861" s="12"/>
      <c r="V861" s="13"/>
      <c r="W861" s="16"/>
    </row>
    <row r="862" spans="21:23" ht="16" x14ac:dyDescent="0.2">
      <c r="U862" s="12"/>
      <c r="V862" s="13"/>
      <c r="W862" s="16"/>
    </row>
    <row r="863" spans="21:23" ht="16" x14ac:dyDescent="0.2">
      <c r="U863" s="12"/>
      <c r="V863" s="13"/>
      <c r="W863" s="16"/>
    </row>
    <row r="864" spans="21:23" ht="16" x14ac:dyDescent="0.2">
      <c r="U864" s="12"/>
      <c r="V864" s="13"/>
      <c r="W864" s="16"/>
    </row>
    <row r="865" spans="21:23" ht="16" x14ac:dyDescent="0.2">
      <c r="U865" s="12"/>
      <c r="V865" s="13"/>
      <c r="W865" s="16"/>
    </row>
    <row r="866" spans="21:23" ht="16" x14ac:dyDescent="0.2">
      <c r="U866" s="12"/>
      <c r="V866" s="13"/>
      <c r="W866" s="16"/>
    </row>
    <row r="867" spans="21:23" ht="16" x14ac:dyDescent="0.2">
      <c r="U867" s="12"/>
      <c r="V867" s="13"/>
      <c r="W867" s="16"/>
    </row>
    <row r="868" spans="21:23" ht="16" x14ac:dyDescent="0.2">
      <c r="U868" s="12"/>
      <c r="V868" s="13"/>
      <c r="W868" s="16"/>
    </row>
    <row r="869" spans="21:23" ht="16" x14ac:dyDescent="0.2">
      <c r="U869" s="12"/>
      <c r="V869" s="13"/>
      <c r="W869" s="16"/>
    </row>
    <row r="870" spans="21:23" ht="16" x14ac:dyDescent="0.2">
      <c r="U870" s="12"/>
      <c r="V870" s="13"/>
      <c r="W870" s="16"/>
    </row>
    <row r="871" spans="21:23" ht="16" x14ac:dyDescent="0.2">
      <c r="U871" s="12"/>
      <c r="V871" s="13"/>
      <c r="W871" s="16"/>
    </row>
    <row r="872" spans="21:23" ht="16" x14ac:dyDescent="0.2">
      <c r="U872" s="12"/>
      <c r="V872" s="13"/>
      <c r="W872" s="16"/>
    </row>
    <row r="873" spans="21:23" ht="16" x14ac:dyDescent="0.2">
      <c r="U873" s="12"/>
      <c r="V873" s="13"/>
      <c r="W873" s="16"/>
    </row>
    <row r="874" spans="21:23" ht="16" x14ac:dyDescent="0.2">
      <c r="U874" s="12"/>
      <c r="V874" s="13"/>
      <c r="W874" s="16"/>
    </row>
    <row r="875" spans="21:23" ht="16" x14ac:dyDescent="0.2">
      <c r="U875" s="12"/>
      <c r="V875" s="13"/>
      <c r="W875" s="16"/>
    </row>
    <row r="876" spans="21:23" ht="16" x14ac:dyDescent="0.2">
      <c r="U876" s="12"/>
      <c r="V876" s="13"/>
      <c r="W876" s="16"/>
    </row>
    <row r="877" spans="21:23" ht="16" x14ac:dyDescent="0.2">
      <c r="U877" s="12"/>
      <c r="V877" s="13"/>
      <c r="W877" s="16"/>
    </row>
    <row r="878" spans="21:23" ht="16" x14ac:dyDescent="0.2">
      <c r="U878" s="12"/>
      <c r="V878" s="13"/>
      <c r="W878" s="16"/>
    </row>
    <row r="879" spans="21:23" ht="16" x14ac:dyDescent="0.2">
      <c r="U879" s="12"/>
      <c r="V879" s="13"/>
      <c r="W879" s="16"/>
    </row>
    <row r="880" spans="21:23" ht="16" x14ac:dyDescent="0.2">
      <c r="U880" s="12"/>
      <c r="V880" s="13"/>
      <c r="W880" s="16"/>
    </row>
    <row r="881" spans="21:23" ht="16" x14ac:dyDescent="0.2">
      <c r="U881" s="12"/>
      <c r="V881" s="13"/>
      <c r="W881" s="16"/>
    </row>
    <row r="882" spans="21:23" ht="16" x14ac:dyDescent="0.2">
      <c r="U882" s="12"/>
      <c r="V882" s="13"/>
      <c r="W882" s="16"/>
    </row>
    <row r="883" spans="21:23" ht="16" x14ac:dyDescent="0.2">
      <c r="U883" s="12"/>
      <c r="V883" s="13"/>
      <c r="W883" s="16"/>
    </row>
    <row r="884" spans="21:23" ht="16" x14ac:dyDescent="0.2">
      <c r="U884" s="12"/>
      <c r="V884" s="13"/>
      <c r="W884" s="16"/>
    </row>
    <row r="885" spans="21:23" ht="16" x14ac:dyDescent="0.2">
      <c r="U885" s="12"/>
      <c r="V885" s="13"/>
      <c r="W885" s="16"/>
    </row>
    <row r="886" spans="21:23" ht="16" x14ac:dyDescent="0.2">
      <c r="U886" s="12"/>
      <c r="V886" s="13"/>
      <c r="W886" s="16"/>
    </row>
    <row r="887" spans="21:23" ht="16" x14ac:dyDescent="0.2">
      <c r="U887" s="12"/>
      <c r="V887" s="13"/>
      <c r="W887" s="16"/>
    </row>
    <row r="888" spans="21:23" ht="16" x14ac:dyDescent="0.2">
      <c r="U888" s="12"/>
      <c r="V888" s="13"/>
      <c r="W888" s="16"/>
    </row>
    <row r="889" spans="21:23" ht="16" x14ac:dyDescent="0.2">
      <c r="U889" s="12"/>
      <c r="V889" s="13"/>
      <c r="W889" s="16"/>
    </row>
    <row r="890" spans="21:23" ht="16" x14ac:dyDescent="0.2">
      <c r="U890" s="12"/>
      <c r="V890" s="13"/>
      <c r="W890" s="16"/>
    </row>
    <row r="891" spans="21:23" ht="16" x14ac:dyDescent="0.2">
      <c r="U891" s="12"/>
      <c r="V891" s="13"/>
      <c r="W891" s="16"/>
    </row>
    <row r="892" spans="21:23" ht="16" x14ac:dyDescent="0.2">
      <c r="U892" s="12"/>
      <c r="V892" s="13"/>
      <c r="W892" s="16"/>
    </row>
    <row r="893" spans="21:23" ht="16" x14ac:dyDescent="0.2">
      <c r="U893" s="12"/>
      <c r="V893" s="13"/>
      <c r="W893" s="16"/>
    </row>
    <row r="894" spans="21:23" ht="16" x14ac:dyDescent="0.2">
      <c r="U894" s="12"/>
      <c r="V894" s="13"/>
      <c r="W894" s="16"/>
    </row>
    <row r="895" spans="21:23" ht="16" x14ac:dyDescent="0.2">
      <c r="U895" s="12"/>
      <c r="V895" s="13"/>
      <c r="W895" s="16"/>
    </row>
    <row r="896" spans="21:23" ht="16" x14ac:dyDescent="0.2">
      <c r="U896" s="12"/>
      <c r="V896" s="13"/>
      <c r="W896" s="16"/>
    </row>
    <row r="897" spans="21:23" ht="16" x14ac:dyDescent="0.2">
      <c r="U897" s="12"/>
      <c r="V897" s="13"/>
      <c r="W897" s="16"/>
    </row>
    <row r="898" spans="21:23" ht="16" x14ac:dyDescent="0.2">
      <c r="U898" s="12"/>
      <c r="V898" s="13"/>
      <c r="W898" s="16"/>
    </row>
    <row r="899" spans="21:23" ht="16" x14ac:dyDescent="0.2">
      <c r="U899" s="12"/>
      <c r="V899" s="13"/>
      <c r="W899" s="16"/>
    </row>
    <row r="900" spans="21:23" ht="16" x14ac:dyDescent="0.2">
      <c r="U900" s="12"/>
      <c r="V900" s="13"/>
      <c r="W900" s="16"/>
    </row>
    <row r="901" spans="21:23" ht="16" x14ac:dyDescent="0.2">
      <c r="U901" s="12"/>
      <c r="V901" s="13"/>
      <c r="W901" s="16"/>
    </row>
    <row r="902" spans="21:23" ht="16" x14ac:dyDescent="0.2">
      <c r="U902" s="12"/>
      <c r="V902" s="13"/>
      <c r="W902" s="16"/>
    </row>
    <row r="903" spans="21:23" ht="16" x14ac:dyDescent="0.2">
      <c r="U903" s="12"/>
      <c r="V903" s="13"/>
      <c r="W903" s="16"/>
    </row>
    <row r="904" spans="21:23" ht="16" x14ac:dyDescent="0.2">
      <c r="U904" s="12"/>
      <c r="V904" s="13"/>
      <c r="W904" s="16"/>
    </row>
    <row r="905" spans="21:23" ht="16" x14ac:dyDescent="0.2">
      <c r="U905" s="12"/>
      <c r="V905" s="13"/>
      <c r="W905" s="16"/>
    </row>
    <row r="906" spans="21:23" ht="16" x14ac:dyDescent="0.2">
      <c r="U906" s="12"/>
      <c r="V906" s="13"/>
      <c r="W906" s="16"/>
    </row>
    <row r="907" spans="21:23" ht="16" x14ac:dyDescent="0.2">
      <c r="U907" s="12"/>
      <c r="V907" s="13"/>
      <c r="W907" s="16"/>
    </row>
    <row r="908" spans="21:23" ht="16" x14ac:dyDescent="0.2">
      <c r="U908" s="12"/>
      <c r="V908" s="13"/>
      <c r="W908" s="16"/>
    </row>
    <row r="909" spans="21:23" ht="16" x14ac:dyDescent="0.2">
      <c r="U909" s="12"/>
      <c r="V909" s="13"/>
      <c r="W909" s="16"/>
    </row>
    <row r="910" spans="21:23" ht="16" x14ac:dyDescent="0.2">
      <c r="U910" s="12"/>
      <c r="V910" s="13"/>
      <c r="W910" s="16"/>
    </row>
    <row r="911" spans="21:23" ht="16" x14ac:dyDescent="0.2">
      <c r="U911" s="12"/>
      <c r="V911" s="13"/>
      <c r="W911" s="16"/>
    </row>
    <row r="912" spans="21:23" ht="16" x14ac:dyDescent="0.2">
      <c r="U912" s="12"/>
      <c r="V912" s="13"/>
      <c r="W912" s="16"/>
    </row>
    <row r="913" spans="21:23" ht="16" x14ac:dyDescent="0.2">
      <c r="U913" s="12"/>
      <c r="V913" s="13"/>
      <c r="W913" s="16"/>
    </row>
    <row r="914" spans="21:23" ht="16" x14ac:dyDescent="0.2">
      <c r="U914" s="12"/>
      <c r="V914" s="13"/>
      <c r="W914" s="16"/>
    </row>
    <row r="915" spans="21:23" ht="16" x14ac:dyDescent="0.2">
      <c r="U915" s="12"/>
      <c r="V915" s="13"/>
      <c r="W915" s="16"/>
    </row>
    <row r="916" spans="21:23" ht="16" x14ac:dyDescent="0.2">
      <c r="U916" s="12"/>
      <c r="V916" s="13"/>
      <c r="W916" s="16"/>
    </row>
    <row r="917" spans="21:23" ht="16" x14ac:dyDescent="0.2">
      <c r="U917" s="12"/>
      <c r="V917" s="13"/>
      <c r="W917" s="16"/>
    </row>
    <row r="918" spans="21:23" ht="16" x14ac:dyDescent="0.2">
      <c r="U918" s="12"/>
      <c r="V918" s="13"/>
      <c r="W918" s="16"/>
    </row>
    <row r="919" spans="21:23" ht="16" x14ac:dyDescent="0.2">
      <c r="U919" s="12"/>
      <c r="V919" s="13"/>
      <c r="W919" s="16"/>
    </row>
    <row r="920" spans="21:23" ht="16" x14ac:dyDescent="0.2">
      <c r="U920" s="12"/>
      <c r="V920" s="13"/>
      <c r="W920" s="16"/>
    </row>
    <row r="921" spans="21:23" ht="16" x14ac:dyDescent="0.2">
      <c r="U921" s="12"/>
      <c r="V921" s="13"/>
      <c r="W921" s="16"/>
    </row>
    <row r="922" spans="21:23" ht="16" x14ac:dyDescent="0.2">
      <c r="U922" s="12"/>
      <c r="V922" s="13"/>
      <c r="W922" s="16"/>
    </row>
    <row r="923" spans="21:23" ht="16" x14ac:dyDescent="0.2">
      <c r="U923" s="12"/>
      <c r="V923" s="13"/>
      <c r="W923" s="16"/>
    </row>
    <row r="924" spans="21:23" ht="16" x14ac:dyDescent="0.2">
      <c r="U924" s="12"/>
      <c r="V924" s="13"/>
      <c r="W924" s="16"/>
    </row>
    <row r="925" spans="21:23" ht="16" x14ac:dyDescent="0.2">
      <c r="U925" s="12"/>
      <c r="V925" s="13"/>
      <c r="W925" s="16"/>
    </row>
    <row r="926" spans="21:23" ht="16" x14ac:dyDescent="0.2">
      <c r="U926" s="12"/>
      <c r="V926" s="13"/>
      <c r="W926" s="16"/>
    </row>
    <row r="927" spans="21:23" ht="16" x14ac:dyDescent="0.2">
      <c r="U927" s="12"/>
      <c r="V927" s="13"/>
      <c r="W927" s="16"/>
    </row>
    <row r="928" spans="21:23" ht="16" x14ac:dyDescent="0.2">
      <c r="U928" s="12"/>
      <c r="V928" s="13"/>
      <c r="W928" s="16"/>
    </row>
    <row r="929" spans="21:23" ht="16" x14ac:dyDescent="0.2">
      <c r="U929" s="12"/>
      <c r="V929" s="13"/>
      <c r="W929" s="16"/>
    </row>
    <row r="930" spans="21:23" ht="16" x14ac:dyDescent="0.2">
      <c r="U930" s="12"/>
      <c r="V930" s="13"/>
      <c r="W930" s="16"/>
    </row>
    <row r="931" spans="21:23" ht="16" x14ac:dyDescent="0.2">
      <c r="U931" s="12"/>
      <c r="V931" s="13"/>
      <c r="W931" s="16"/>
    </row>
    <row r="932" spans="21:23" ht="16" x14ac:dyDescent="0.2">
      <c r="U932" s="12"/>
      <c r="V932" s="13"/>
      <c r="W932" s="16"/>
    </row>
    <row r="933" spans="21:23" ht="16" x14ac:dyDescent="0.2">
      <c r="U933" s="12"/>
      <c r="V933" s="13"/>
      <c r="W933" s="16"/>
    </row>
    <row r="934" spans="21:23" ht="16" x14ac:dyDescent="0.2">
      <c r="U934" s="12"/>
      <c r="V934" s="13"/>
      <c r="W934" s="16"/>
    </row>
    <row r="935" spans="21:23" ht="16" x14ac:dyDescent="0.2">
      <c r="U935" s="12"/>
      <c r="V935" s="13"/>
      <c r="W935" s="16"/>
    </row>
    <row r="936" spans="21:23" ht="16" x14ac:dyDescent="0.2">
      <c r="U936" s="12"/>
      <c r="V936" s="13"/>
      <c r="W936" s="16"/>
    </row>
    <row r="937" spans="21:23" ht="16" x14ac:dyDescent="0.2">
      <c r="U937" s="12"/>
      <c r="V937" s="13"/>
      <c r="W937" s="16"/>
    </row>
    <row r="938" spans="21:23" ht="16" x14ac:dyDescent="0.2">
      <c r="U938" s="12"/>
      <c r="V938" s="13"/>
      <c r="W938" s="16"/>
    </row>
    <row r="939" spans="21:23" ht="16" x14ac:dyDescent="0.2">
      <c r="U939" s="12"/>
      <c r="V939" s="13"/>
      <c r="W939" s="16"/>
    </row>
    <row r="940" spans="21:23" ht="16" x14ac:dyDescent="0.2">
      <c r="U940" s="12"/>
      <c r="V940" s="13"/>
      <c r="W940" s="16"/>
    </row>
    <row r="941" spans="21:23" ht="16" x14ac:dyDescent="0.2">
      <c r="U941" s="12"/>
      <c r="V941" s="13"/>
      <c r="W941" s="16"/>
    </row>
    <row r="942" spans="21:23" ht="16" x14ac:dyDescent="0.2">
      <c r="U942" s="12"/>
      <c r="V942" s="13"/>
      <c r="W942" s="16"/>
    </row>
    <row r="943" spans="21:23" ht="16" x14ac:dyDescent="0.2">
      <c r="U943" s="12"/>
      <c r="V943" s="13"/>
      <c r="W943" s="16"/>
    </row>
    <row r="944" spans="21:23" ht="16" x14ac:dyDescent="0.2">
      <c r="U944" s="12"/>
      <c r="V944" s="13"/>
      <c r="W944" s="16"/>
    </row>
    <row r="945" spans="21:23" ht="16" x14ac:dyDescent="0.2">
      <c r="U945" s="12"/>
      <c r="V945" s="13"/>
      <c r="W945" s="16"/>
    </row>
    <row r="946" spans="21:23" ht="16" x14ac:dyDescent="0.2">
      <c r="U946" s="12"/>
      <c r="V946" s="13"/>
      <c r="W946" s="16"/>
    </row>
    <row r="947" spans="21:23" ht="16" x14ac:dyDescent="0.2">
      <c r="U947" s="12"/>
      <c r="V947" s="13"/>
      <c r="W947" s="16"/>
    </row>
    <row r="948" spans="21:23" ht="16" x14ac:dyDescent="0.2">
      <c r="U948" s="12"/>
      <c r="V948" s="13"/>
      <c r="W948" s="16"/>
    </row>
    <row r="949" spans="21:23" ht="16" x14ac:dyDescent="0.2">
      <c r="U949" s="12"/>
      <c r="V949" s="13"/>
      <c r="W949" s="16"/>
    </row>
    <row r="950" spans="21:23" ht="16" x14ac:dyDescent="0.2">
      <c r="U950" s="12"/>
      <c r="V950" s="13"/>
      <c r="W950" s="16"/>
    </row>
    <row r="951" spans="21:23" ht="16" x14ac:dyDescent="0.2">
      <c r="U951" s="12"/>
      <c r="V951" s="13"/>
      <c r="W951" s="16"/>
    </row>
    <row r="952" spans="21:23" ht="16" x14ac:dyDescent="0.2">
      <c r="U952" s="12"/>
      <c r="V952" s="13"/>
      <c r="W952" s="16"/>
    </row>
    <row r="953" spans="21:23" ht="16" x14ac:dyDescent="0.2">
      <c r="U953" s="12"/>
      <c r="V953" s="13"/>
      <c r="W953" s="16"/>
    </row>
    <row r="954" spans="21:23" ht="16" x14ac:dyDescent="0.2">
      <c r="U954" s="12"/>
      <c r="V954" s="13"/>
      <c r="W954" s="16"/>
    </row>
    <row r="955" spans="21:23" ht="16" x14ac:dyDescent="0.2">
      <c r="U955" s="12"/>
      <c r="V955" s="13"/>
      <c r="W955" s="16"/>
    </row>
    <row r="956" spans="21:23" ht="16" x14ac:dyDescent="0.2">
      <c r="U956" s="12"/>
      <c r="V956" s="13"/>
      <c r="W956" s="16"/>
    </row>
    <row r="957" spans="21:23" ht="16" x14ac:dyDescent="0.2">
      <c r="U957" s="12"/>
      <c r="V957" s="13"/>
      <c r="W957" s="16"/>
    </row>
    <row r="958" spans="21:23" ht="16" x14ac:dyDescent="0.2">
      <c r="U958" s="12"/>
      <c r="V958" s="13"/>
      <c r="W958" s="16"/>
    </row>
    <row r="959" spans="21:23" ht="16" x14ac:dyDescent="0.2">
      <c r="U959" s="12"/>
      <c r="V959" s="13"/>
      <c r="W959" s="16"/>
    </row>
    <row r="960" spans="21:23" ht="16" x14ac:dyDescent="0.2">
      <c r="U960" s="12"/>
      <c r="V960" s="13"/>
      <c r="W960" s="16"/>
    </row>
    <row r="961" spans="21:23" ht="16" x14ac:dyDescent="0.2">
      <c r="U961" s="12"/>
      <c r="V961" s="13"/>
      <c r="W961" s="16"/>
    </row>
    <row r="962" spans="21:23" ht="16" x14ac:dyDescent="0.2">
      <c r="U962" s="12"/>
      <c r="V962" s="13"/>
      <c r="W962" s="16"/>
    </row>
    <row r="963" spans="21:23" ht="16" x14ac:dyDescent="0.2">
      <c r="U963" s="12"/>
      <c r="V963" s="13"/>
      <c r="W963" s="16"/>
    </row>
    <row r="964" spans="21:23" ht="16" x14ac:dyDescent="0.2">
      <c r="U964" s="12"/>
      <c r="V964" s="13"/>
      <c r="W964" s="16"/>
    </row>
    <row r="965" spans="21:23" ht="16" x14ac:dyDescent="0.2">
      <c r="U965" s="12"/>
      <c r="V965" s="13"/>
      <c r="W965" s="16"/>
    </row>
    <row r="966" spans="21:23" ht="16" x14ac:dyDescent="0.2">
      <c r="U966" s="12"/>
      <c r="V966" s="13"/>
      <c r="W966" s="16"/>
    </row>
    <row r="967" spans="21:23" ht="16" x14ac:dyDescent="0.2">
      <c r="U967" s="12"/>
      <c r="V967" s="13"/>
      <c r="W967" s="16"/>
    </row>
    <row r="968" spans="21:23" ht="16" x14ac:dyDescent="0.2">
      <c r="U968" s="12"/>
      <c r="V968" s="13"/>
      <c r="W968" s="16"/>
    </row>
    <row r="969" spans="21:23" ht="16" x14ac:dyDescent="0.2">
      <c r="U969" s="12"/>
      <c r="V969" s="13"/>
      <c r="W969" s="16"/>
    </row>
    <row r="970" spans="21:23" ht="16" x14ac:dyDescent="0.2">
      <c r="U970" s="12"/>
      <c r="V970" s="13"/>
      <c r="W970" s="16"/>
    </row>
    <row r="971" spans="21:23" ht="16" x14ac:dyDescent="0.2">
      <c r="U971" s="12"/>
      <c r="V971" s="13"/>
      <c r="W971" s="16"/>
    </row>
    <row r="972" spans="21:23" ht="16" x14ac:dyDescent="0.2">
      <c r="U972" s="12"/>
      <c r="V972" s="13"/>
      <c r="W972" s="16"/>
    </row>
    <row r="973" spans="21:23" ht="16" x14ac:dyDescent="0.2">
      <c r="U973" s="12"/>
      <c r="V973" s="13"/>
      <c r="W973" s="16"/>
    </row>
    <row r="974" spans="21:23" ht="16" x14ac:dyDescent="0.2">
      <c r="U974" s="12"/>
      <c r="V974" s="13"/>
      <c r="W974" s="16"/>
    </row>
    <row r="975" spans="21:23" ht="16" x14ac:dyDescent="0.2">
      <c r="U975" s="12"/>
      <c r="V975" s="13"/>
      <c r="W975" s="16"/>
    </row>
    <row r="976" spans="21:23" ht="16" x14ac:dyDescent="0.2">
      <c r="U976" s="12"/>
      <c r="V976" s="13"/>
      <c r="W976" s="16"/>
    </row>
    <row r="977" spans="21:23" ht="16" x14ac:dyDescent="0.2">
      <c r="U977" s="12"/>
      <c r="V977" s="13"/>
      <c r="W977" s="16"/>
    </row>
    <row r="978" spans="21:23" ht="16" x14ac:dyDescent="0.2">
      <c r="U978" s="12"/>
      <c r="V978" s="13"/>
      <c r="W978" s="16"/>
    </row>
    <row r="979" spans="21:23" ht="16" x14ac:dyDescent="0.2">
      <c r="U979" s="12"/>
      <c r="V979" s="13"/>
      <c r="W979" s="16"/>
    </row>
    <row r="980" spans="21:23" ht="16" x14ac:dyDescent="0.2">
      <c r="U980" s="12"/>
      <c r="V980" s="13"/>
      <c r="W980" s="16"/>
    </row>
    <row r="981" spans="21:23" ht="16" x14ac:dyDescent="0.2">
      <c r="U981" s="12"/>
      <c r="V981" s="13"/>
      <c r="W981" s="16"/>
    </row>
    <row r="982" spans="21:23" ht="16" x14ac:dyDescent="0.2">
      <c r="U982" s="12"/>
      <c r="V982" s="13"/>
      <c r="W982" s="16"/>
    </row>
    <row r="983" spans="21:23" ht="16" x14ac:dyDescent="0.2">
      <c r="U983" s="12"/>
      <c r="V983" s="13"/>
      <c r="W983" s="16"/>
    </row>
    <row r="984" spans="21:23" ht="16" x14ac:dyDescent="0.2">
      <c r="U984" s="12"/>
      <c r="V984" s="13"/>
      <c r="W984" s="16"/>
    </row>
    <row r="985" spans="21:23" ht="16" x14ac:dyDescent="0.2">
      <c r="U985" s="12"/>
      <c r="V985" s="13"/>
      <c r="W985" s="16"/>
    </row>
    <row r="986" spans="21:23" ht="16" x14ac:dyDescent="0.2">
      <c r="U986" s="12"/>
      <c r="V986" s="13"/>
      <c r="W986" s="16"/>
    </row>
    <row r="987" spans="21:23" ht="16" x14ac:dyDescent="0.2">
      <c r="U987" s="12"/>
      <c r="V987" s="13"/>
      <c r="W987" s="16"/>
    </row>
    <row r="988" spans="21:23" ht="16" x14ac:dyDescent="0.2">
      <c r="U988" s="12"/>
      <c r="V988" s="13"/>
      <c r="W988" s="16"/>
    </row>
    <row r="989" spans="21:23" ht="16" x14ac:dyDescent="0.2">
      <c r="U989" s="12"/>
      <c r="V989" s="13"/>
      <c r="W989" s="16"/>
    </row>
    <row r="990" spans="21:23" ht="16" x14ac:dyDescent="0.2">
      <c r="U990" s="12"/>
      <c r="V990" s="13"/>
      <c r="W990" s="16"/>
    </row>
    <row r="991" spans="21:23" ht="16" x14ac:dyDescent="0.2">
      <c r="U991" s="12"/>
      <c r="V991" s="13"/>
      <c r="W991" s="16"/>
    </row>
    <row r="992" spans="21:23" ht="16" x14ac:dyDescent="0.2">
      <c r="U992" s="12"/>
      <c r="V992" s="13"/>
      <c r="W992" s="16"/>
    </row>
    <row r="993" spans="21:23" ht="16" x14ac:dyDescent="0.2">
      <c r="U993" s="12"/>
      <c r="V993" s="13"/>
      <c r="W993" s="16"/>
    </row>
    <row r="994" spans="21:23" ht="16" x14ac:dyDescent="0.2">
      <c r="U994" s="12"/>
      <c r="V994" s="13"/>
      <c r="W994" s="16"/>
    </row>
    <row r="995" spans="21:23" ht="16" x14ac:dyDescent="0.2">
      <c r="U995" s="12"/>
      <c r="V995" s="13"/>
      <c r="W995" s="16"/>
    </row>
    <row r="996" spans="21:23" ht="16" x14ac:dyDescent="0.2">
      <c r="U996" s="12"/>
      <c r="V996" s="13"/>
      <c r="W996" s="16"/>
    </row>
    <row r="997" spans="21:23" ht="16" x14ac:dyDescent="0.2">
      <c r="U997" s="12"/>
      <c r="V997" s="13"/>
      <c r="W997" s="16"/>
    </row>
    <row r="998" spans="21:23" ht="16" x14ac:dyDescent="0.2">
      <c r="U998" s="12"/>
      <c r="V998" s="13"/>
      <c r="W998" s="16"/>
    </row>
    <row r="999" spans="21:23" ht="16" x14ac:dyDescent="0.2">
      <c r="U999" s="12"/>
      <c r="V999" s="13"/>
      <c r="W999" s="16"/>
    </row>
    <row r="1000" spans="21:23" ht="16" x14ac:dyDescent="0.2">
      <c r="U1000" s="12"/>
      <c r="V1000" s="13"/>
      <c r="W1000" s="16"/>
    </row>
    <row r="1001" spans="21:23" ht="16" x14ac:dyDescent="0.2">
      <c r="U1001" s="12"/>
      <c r="V1001" s="13"/>
      <c r="W1001" s="16"/>
    </row>
    <row r="1002" spans="21:23" ht="16" x14ac:dyDescent="0.2">
      <c r="U1002" s="12"/>
      <c r="V1002" s="13"/>
      <c r="W1002" s="16"/>
    </row>
    <row r="1003" spans="21:23" ht="16" x14ac:dyDescent="0.2">
      <c r="U1003" s="12"/>
      <c r="V1003" s="13"/>
      <c r="W1003" s="16"/>
    </row>
    <row r="1004" spans="21:23" ht="16" x14ac:dyDescent="0.2">
      <c r="U1004" s="12"/>
      <c r="V1004" s="13"/>
      <c r="W1004" s="16"/>
    </row>
    <row r="1005" spans="21:23" ht="16" x14ac:dyDescent="0.2">
      <c r="U1005" s="12"/>
      <c r="V1005" s="13"/>
      <c r="W1005" s="16"/>
    </row>
    <row r="1006" spans="21:23" ht="16" x14ac:dyDescent="0.2">
      <c r="U1006" s="12"/>
      <c r="V1006" s="13"/>
      <c r="W1006" s="16"/>
    </row>
    <row r="1007" spans="21:23" ht="16" x14ac:dyDescent="0.2">
      <c r="U1007" s="12"/>
      <c r="V1007" s="13"/>
      <c r="W1007" s="16"/>
    </row>
    <row r="1008" spans="21:23" ht="16" x14ac:dyDescent="0.2">
      <c r="U1008" s="12"/>
      <c r="V1008" s="13"/>
      <c r="W1008" s="16"/>
    </row>
    <row r="1009" spans="21:23" ht="16" x14ac:dyDescent="0.2">
      <c r="U1009" s="12"/>
      <c r="V1009" s="13"/>
      <c r="W1009" s="16"/>
    </row>
    <row r="1010" spans="21:23" ht="16" x14ac:dyDescent="0.2">
      <c r="U1010" s="12"/>
      <c r="V1010" s="13"/>
      <c r="W1010" s="16"/>
    </row>
    <row r="1011" spans="21:23" ht="16" x14ac:dyDescent="0.2">
      <c r="U1011" s="12"/>
      <c r="V1011" s="13"/>
      <c r="W1011" s="16"/>
    </row>
    <row r="1012" spans="21:23" ht="16" x14ac:dyDescent="0.2">
      <c r="U1012" s="12"/>
      <c r="V1012" s="13"/>
      <c r="W1012" s="16"/>
    </row>
    <row r="1013" spans="21:23" ht="16" x14ac:dyDescent="0.2">
      <c r="U1013" s="12"/>
      <c r="V1013" s="13"/>
      <c r="W1013" s="16"/>
    </row>
    <row r="1014" spans="21:23" ht="16" x14ac:dyDescent="0.2">
      <c r="U1014" s="12"/>
      <c r="V1014" s="13"/>
      <c r="W1014" s="16"/>
    </row>
    <row r="1015" spans="21:23" ht="16" x14ac:dyDescent="0.2">
      <c r="U1015" s="12"/>
      <c r="V1015" s="13"/>
      <c r="W1015" s="16"/>
    </row>
    <row r="1016" spans="21:23" ht="16" x14ac:dyDescent="0.2">
      <c r="U1016" s="12"/>
      <c r="V1016" s="13"/>
      <c r="W1016" s="16"/>
    </row>
    <row r="1017" spans="21:23" ht="16" x14ac:dyDescent="0.2">
      <c r="U1017" s="12"/>
      <c r="V1017" s="13"/>
      <c r="W1017" s="16"/>
    </row>
    <row r="1018" spans="21:23" ht="16" x14ac:dyDescent="0.2">
      <c r="U1018" s="12"/>
      <c r="V1018" s="13"/>
      <c r="W1018" s="16"/>
    </row>
    <row r="1019" spans="21:23" ht="16" x14ac:dyDescent="0.2">
      <c r="U1019" s="12"/>
      <c r="V1019" s="13"/>
      <c r="W1019" s="16"/>
    </row>
    <row r="1020" spans="21:23" ht="16" x14ac:dyDescent="0.2">
      <c r="U1020" s="12"/>
      <c r="V1020" s="13"/>
      <c r="W1020" s="16"/>
    </row>
    <row r="1021" spans="21:23" ht="16" x14ac:dyDescent="0.2">
      <c r="U1021" s="12"/>
      <c r="V1021" s="13"/>
      <c r="W1021" s="16"/>
    </row>
    <row r="1022" spans="21:23" ht="16" x14ac:dyDescent="0.2">
      <c r="U1022" s="12"/>
      <c r="V1022" s="13"/>
      <c r="W1022" s="16"/>
    </row>
    <row r="1023" spans="21:23" ht="16" x14ac:dyDescent="0.2">
      <c r="U1023" s="12"/>
      <c r="V1023" s="13"/>
      <c r="W1023" s="16"/>
    </row>
    <row r="1024" spans="21:23" ht="16" x14ac:dyDescent="0.2">
      <c r="U1024" s="12"/>
      <c r="V1024" s="13"/>
      <c r="W1024" s="16"/>
    </row>
    <row r="1025" spans="21:23" ht="16" x14ac:dyDescent="0.2">
      <c r="U1025" s="12"/>
      <c r="V1025" s="13"/>
      <c r="W1025" s="16"/>
    </row>
    <row r="1026" spans="21:23" ht="16" x14ac:dyDescent="0.2">
      <c r="U1026" s="12"/>
      <c r="V1026" s="13"/>
      <c r="W1026" s="16"/>
    </row>
    <row r="1027" spans="21:23" ht="16" x14ac:dyDescent="0.2">
      <c r="U1027" s="12"/>
      <c r="V1027" s="13"/>
      <c r="W1027" s="16"/>
    </row>
    <row r="1028" spans="21:23" ht="16" x14ac:dyDescent="0.2">
      <c r="U1028" s="12"/>
      <c r="V1028" s="13"/>
      <c r="W1028" s="16"/>
    </row>
    <row r="1029" spans="21:23" ht="16" x14ac:dyDescent="0.2">
      <c r="U1029" s="12"/>
      <c r="V1029" s="13"/>
      <c r="W1029" s="16"/>
    </row>
    <row r="1030" spans="21:23" ht="16" x14ac:dyDescent="0.2">
      <c r="U1030" s="12"/>
      <c r="V1030" s="13"/>
      <c r="W1030" s="16"/>
    </row>
    <row r="1031" spans="21:23" ht="16" x14ac:dyDescent="0.2">
      <c r="U1031" s="12"/>
      <c r="V1031" s="13"/>
      <c r="W1031" s="16"/>
    </row>
    <row r="1032" spans="21:23" ht="16" x14ac:dyDescent="0.2">
      <c r="U1032" s="12"/>
      <c r="V1032" s="13"/>
      <c r="W1032" s="16"/>
    </row>
    <row r="1033" spans="21:23" ht="16" x14ac:dyDescent="0.2">
      <c r="U1033" s="12"/>
      <c r="V1033" s="13"/>
      <c r="W1033" s="16"/>
    </row>
    <row r="1034" spans="21:23" ht="16" x14ac:dyDescent="0.2">
      <c r="U1034" s="12"/>
      <c r="V1034" s="13"/>
      <c r="W1034" s="16"/>
    </row>
    <row r="1035" spans="21:23" ht="16" x14ac:dyDescent="0.2">
      <c r="U1035" s="12"/>
      <c r="V1035" s="13"/>
      <c r="W1035" s="16"/>
    </row>
    <row r="1036" spans="21:23" ht="16" x14ac:dyDescent="0.2">
      <c r="U1036" s="12"/>
      <c r="V1036" s="13"/>
      <c r="W1036" s="16"/>
    </row>
    <row r="1037" spans="21:23" ht="16" x14ac:dyDescent="0.2">
      <c r="U1037" s="12"/>
      <c r="V1037" s="13"/>
      <c r="W1037" s="16"/>
    </row>
    <row r="1038" spans="21:23" ht="16" x14ac:dyDescent="0.2">
      <c r="U1038" s="12"/>
      <c r="V1038" s="13"/>
      <c r="W1038" s="16"/>
    </row>
    <row r="1039" spans="21:23" ht="16" x14ac:dyDescent="0.2">
      <c r="U1039" s="12"/>
      <c r="V1039" s="13"/>
      <c r="W1039" s="16"/>
    </row>
    <row r="1040" spans="21:23" ht="16" x14ac:dyDescent="0.2">
      <c r="U1040" s="12"/>
      <c r="V1040" s="13"/>
      <c r="W1040" s="16"/>
    </row>
    <row r="1041" spans="21:23" ht="16" x14ac:dyDescent="0.2">
      <c r="U1041" s="12"/>
      <c r="V1041" s="13"/>
      <c r="W1041" s="16"/>
    </row>
    <row r="1042" spans="21:23" ht="16" x14ac:dyDescent="0.2">
      <c r="U1042" s="12"/>
      <c r="V1042" s="13"/>
      <c r="W1042" s="16"/>
    </row>
    <row r="1043" spans="21:23" ht="16" x14ac:dyDescent="0.2">
      <c r="U1043" s="12"/>
      <c r="V1043" s="13"/>
      <c r="W1043" s="16"/>
    </row>
    <row r="1044" spans="21:23" ht="16" x14ac:dyDescent="0.2">
      <c r="U1044" s="12"/>
      <c r="V1044" s="13"/>
      <c r="W1044" s="16"/>
    </row>
    <row r="1045" spans="21:23" ht="16" x14ac:dyDescent="0.2">
      <c r="U1045" s="12"/>
      <c r="V1045" s="13"/>
      <c r="W1045" s="16"/>
    </row>
    <row r="1046" spans="21:23" ht="16" x14ac:dyDescent="0.2">
      <c r="U1046" s="12"/>
      <c r="V1046" s="13"/>
      <c r="W1046" s="16"/>
    </row>
    <row r="1047" spans="21:23" ht="16" x14ac:dyDescent="0.2">
      <c r="U1047" s="12"/>
      <c r="V1047" s="13"/>
      <c r="W1047" s="16"/>
    </row>
    <row r="1048" spans="21:23" ht="16" x14ac:dyDescent="0.2">
      <c r="U1048" s="12"/>
      <c r="V1048" s="13"/>
      <c r="W1048" s="16"/>
    </row>
    <row r="1049" spans="21:23" ht="16" x14ac:dyDescent="0.2">
      <c r="U1049" s="12"/>
      <c r="V1049" s="13"/>
      <c r="W1049" s="16"/>
    </row>
    <row r="1050" spans="21:23" ht="16" x14ac:dyDescent="0.2">
      <c r="U1050" s="12"/>
      <c r="V1050" s="13"/>
      <c r="W1050" s="16"/>
    </row>
    <row r="1051" spans="21:23" ht="16" x14ac:dyDescent="0.2">
      <c r="U1051" s="12"/>
      <c r="V1051" s="13"/>
      <c r="W1051" s="16"/>
    </row>
    <row r="1052" spans="21:23" ht="16" x14ac:dyDescent="0.2">
      <c r="U1052" s="12"/>
      <c r="V1052" s="13"/>
      <c r="W1052" s="16"/>
    </row>
    <row r="1053" spans="21:23" ht="16" x14ac:dyDescent="0.2">
      <c r="U1053" s="12"/>
      <c r="V1053" s="13"/>
      <c r="W1053" s="16"/>
    </row>
    <row r="1054" spans="21:23" ht="16" x14ac:dyDescent="0.2">
      <c r="U1054" s="12"/>
      <c r="V1054" s="13"/>
      <c r="W1054" s="16"/>
    </row>
    <row r="1055" spans="21:23" ht="16" x14ac:dyDescent="0.2">
      <c r="U1055" s="12"/>
      <c r="V1055" s="13"/>
      <c r="W1055" s="16"/>
    </row>
    <row r="1056" spans="21:23" ht="16" x14ac:dyDescent="0.2">
      <c r="U1056" s="12"/>
      <c r="V1056" s="13"/>
      <c r="W1056" s="16"/>
    </row>
    <row r="1057" spans="21:23" ht="16" x14ac:dyDescent="0.2">
      <c r="U1057" s="12"/>
      <c r="V1057" s="13"/>
      <c r="W1057" s="16"/>
    </row>
    <row r="1058" spans="21:23" ht="16" x14ac:dyDescent="0.2">
      <c r="U1058" s="12"/>
      <c r="V1058" s="13"/>
      <c r="W1058" s="16"/>
    </row>
    <row r="1059" spans="21:23" ht="16" x14ac:dyDescent="0.2">
      <c r="U1059" s="12"/>
      <c r="V1059" s="13"/>
      <c r="W1059" s="16"/>
    </row>
    <row r="1060" spans="21:23" ht="16" x14ac:dyDescent="0.2">
      <c r="U1060" s="12"/>
      <c r="V1060" s="13"/>
      <c r="W1060" s="16"/>
    </row>
    <row r="1061" spans="21:23" ht="16" x14ac:dyDescent="0.2">
      <c r="U1061" s="12"/>
      <c r="V1061" s="13"/>
      <c r="W1061" s="16"/>
    </row>
    <row r="1062" spans="21:23" ht="16" x14ac:dyDescent="0.2">
      <c r="U1062" s="12"/>
      <c r="V1062" s="13"/>
      <c r="W1062" s="16"/>
    </row>
    <row r="1063" spans="21:23" ht="16" x14ac:dyDescent="0.2">
      <c r="U1063" s="12"/>
      <c r="V1063" s="13"/>
      <c r="W1063" s="16"/>
    </row>
    <row r="1064" spans="21:23" ht="16" x14ac:dyDescent="0.2">
      <c r="U1064" s="12"/>
      <c r="V1064" s="13"/>
      <c r="W1064" s="16"/>
    </row>
    <row r="1065" spans="21:23" ht="16" x14ac:dyDescent="0.2">
      <c r="U1065" s="12"/>
      <c r="V1065" s="13"/>
      <c r="W1065" s="16"/>
    </row>
    <row r="1066" spans="21:23" ht="16" x14ac:dyDescent="0.2">
      <c r="U1066" s="12"/>
      <c r="V1066" s="13"/>
      <c r="W1066" s="16"/>
    </row>
    <row r="1067" spans="21:23" ht="16" x14ac:dyDescent="0.2">
      <c r="U1067" s="12"/>
      <c r="V1067" s="13"/>
      <c r="W1067" s="16"/>
    </row>
    <row r="1068" spans="21:23" ht="16" x14ac:dyDescent="0.2">
      <c r="U1068" s="12"/>
      <c r="V1068" s="13"/>
      <c r="W1068" s="16"/>
    </row>
    <row r="1069" spans="21:23" ht="16" x14ac:dyDescent="0.2">
      <c r="U1069" s="12"/>
      <c r="V1069" s="13"/>
      <c r="W1069" s="16"/>
    </row>
    <row r="1070" spans="21:23" ht="16" x14ac:dyDescent="0.2">
      <c r="U1070" s="12"/>
      <c r="V1070" s="13"/>
      <c r="W1070" s="16"/>
    </row>
    <row r="1071" spans="21:23" ht="16" x14ac:dyDescent="0.2">
      <c r="U1071" s="12"/>
      <c r="V1071" s="13"/>
      <c r="W1071" s="16"/>
    </row>
    <row r="1072" spans="21:23" ht="16" x14ac:dyDescent="0.2">
      <c r="U1072" s="12"/>
      <c r="V1072" s="13"/>
      <c r="W1072" s="16"/>
    </row>
    <row r="1073" spans="21:23" ht="16" x14ac:dyDescent="0.2">
      <c r="U1073" s="12"/>
      <c r="V1073" s="13"/>
      <c r="W1073" s="16"/>
    </row>
    <row r="1074" spans="21:23" ht="16" x14ac:dyDescent="0.2">
      <c r="U1074" s="12"/>
      <c r="V1074" s="13"/>
      <c r="W1074" s="16"/>
    </row>
    <row r="1075" spans="21:23" ht="16" x14ac:dyDescent="0.2">
      <c r="U1075" s="12"/>
      <c r="V1075" s="13"/>
      <c r="W1075" s="16"/>
    </row>
    <row r="1076" spans="21:23" ht="16" x14ac:dyDescent="0.2">
      <c r="U1076" s="12"/>
      <c r="V1076" s="13"/>
      <c r="W1076" s="16"/>
    </row>
    <row r="1077" spans="21:23" ht="16" x14ac:dyDescent="0.2">
      <c r="U1077" s="12"/>
      <c r="V1077" s="13"/>
      <c r="W1077" s="16"/>
    </row>
    <row r="1078" spans="21:23" ht="16" x14ac:dyDescent="0.2">
      <c r="U1078" s="12"/>
      <c r="V1078" s="13"/>
      <c r="W1078" s="16"/>
    </row>
    <row r="1079" spans="21:23" ht="16" x14ac:dyDescent="0.2">
      <c r="U1079" s="12"/>
      <c r="V1079" s="13"/>
      <c r="W1079" s="16"/>
    </row>
    <row r="1080" spans="21:23" ht="16" x14ac:dyDescent="0.2">
      <c r="U1080" s="12"/>
      <c r="V1080" s="13"/>
      <c r="W1080" s="16"/>
    </row>
    <row r="1081" spans="21:23" ht="16" x14ac:dyDescent="0.2">
      <c r="U1081" s="12"/>
      <c r="V1081" s="13"/>
      <c r="W1081" s="16"/>
    </row>
    <row r="1082" spans="21:23" ht="16" x14ac:dyDescent="0.2">
      <c r="U1082" s="12"/>
      <c r="V1082" s="13"/>
      <c r="W1082" s="16"/>
    </row>
    <row r="1083" spans="21:23" ht="16" x14ac:dyDescent="0.2">
      <c r="U1083" s="12"/>
      <c r="V1083" s="13"/>
      <c r="W1083" s="16"/>
    </row>
    <row r="1084" spans="21:23" ht="16" x14ac:dyDescent="0.2">
      <c r="U1084" s="12"/>
      <c r="V1084" s="13"/>
      <c r="W1084" s="16"/>
    </row>
  </sheetData>
  <pageMargins left="0.7" right="0.7" top="0.75" bottom="0.75" header="0.3" footer="0.3"/>
  <pageSetup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V1101"/>
  <sheetViews>
    <sheetView workbookViewId="0">
      <selection activeCell="K5" sqref="K5"/>
    </sheetView>
  </sheetViews>
  <sheetFormatPr baseColWidth="10" defaultColWidth="8.83203125" defaultRowHeight="15" x14ac:dyDescent="0.2"/>
  <cols>
    <col min="1" max="1" width="41.33203125" bestFit="1" customWidth="1"/>
    <col min="2" max="2" width="9.5" bestFit="1" customWidth="1"/>
    <col min="4" max="4" width="8.6640625" style="11"/>
    <col min="5" max="5" width="14.33203125" style="11" customWidth="1"/>
    <col min="7" max="7" width="15.33203125" customWidth="1"/>
    <col min="8" max="8" width="8.6640625" style="11"/>
    <col min="9" max="9" width="19.83203125" style="11" customWidth="1"/>
    <col min="13" max="13" width="8.6640625" style="11"/>
    <col min="14" max="14" width="17.33203125" customWidth="1"/>
    <col min="15" max="15" width="12.5" customWidth="1"/>
    <col min="16" max="16" width="18.5" customWidth="1"/>
    <col min="17" max="17" width="17.83203125" customWidth="1"/>
  </cols>
  <sheetData>
    <row r="1" spans="1:22" ht="16" x14ac:dyDescent="0.2">
      <c r="A1" s="2" t="s">
        <v>1168</v>
      </c>
      <c r="B1" t="s">
        <v>1169</v>
      </c>
      <c r="D1" s="6" t="s">
        <v>1170</v>
      </c>
      <c r="E1" s="7" t="s">
        <v>11</v>
      </c>
      <c r="F1" s="8" t="s">
        <v>1170</v>
      </c>
      <c r="G1" s="9" t="s">
        <v>37</v>
      </c>
      <c r="H1" s="6" t="s">
        <v>1170</v>
      </c>
      <c r="I1" s="7" t="s">
        <v>22</v>
      </c>
      <c r="J1" s="8"/>
      <c r="K1" s="9"/>
      <c r="L1" s="8"/>
      <c r="M1" s="14" t="s">
        <v>1170</v>
      </c>
      <c r="N1" s="13" t="s">
        <v>1175</v>
      </c>
      <c r="O1" s="13" t="s">
        <v>2</v>
      </c>
      <c r="P1" s="19" t="s">
        <v>1172</v>
      </c>
      <c r="Q1" s="19" t="s">
        <v>7</v>
      </c>
      <c r="U1" s="15"/>
      <c r="V1" s="9"/>
    </row>
    <row r="2" spans="1:22" ht="16" x14ac:dyDescent="0.2">
      <c r="A2" s="3" t="s">
        <v>11</v>
      </c>
      <c r="B2" s="33">
        <v>314</v>
      </c>
      <c r="D2" s="10">
        <v>437</v>
      </c>
      <c r="E2" s="7" t="s">
        <v>11</v>
      </c>
      <c r="F2" s="4">
        <v>1351</v>
      </c>
      <c r="G2" s="9" t="s">
        <v>37</v>
      </c>
      <c r="H2" s="10">
        <v>433</v>
      </c>
      <c r="I2" s="7" t="s">
        <v>22</v>
      </c>
      <c r="M2" s="12">
        <v>437</v>
      </c>
      <c r="N2" s="13" t="s">
        <v>11</v>
      </c>
      <c r="O2" s="16" t="str">
        <f>TEXT(VLOOKUP(M2, News!A:C, 3, FALSE), "M/D/YYYY")</f>
        <v>7/13/2018</v>
      </c>
      <c r="P2" s="18">
        <f>DATE(YEAR(O2),MONTH(Metrics!$B$5), DAY(Metrics!$B$5))</f>
        <v>43344</v>
      </c>
      <c r="Q2" s="16">
        <f>IF(MONTH(O2) &gt;= MONTH(P2), YEAR(O2)+1, YEAR(O2))</f>
        <v>2018</v>
      </c>
    </row>
    <row r="3" spans="1:22" ht="16" x14ac:dyDescent="0.2">
      <c r="A3" s="3" t="s">
        <v>48</v>
      </c>
      <c r="B3" s="33">
        <v>30</v>
      </c>
      <c r="D3" s="10">
        <v>1286</v>
      </c>
      <c r="E3" s="7" t="s">
        <v>11</v>
      </c>
      <c r="F3" s="4">
        <v>1413</v>
      </c>
      <c r="G3" s="9" t="s">
        <v>37</v>
      </c>
      <c r="H3" s="10">
        <v>1346</v>
      </c>
      <c r="I3" s="7" t="s">
        <v>22</v>
      </c>
      <c r="M3" s="12">
        <v>1286</v>
      </c>
      <c r="N3" s="13" t="s">
        <v>11</v>
      </c>
      <c r="O3" s="16" t="str">
        <f>TEXT(VLOOKUP(M3, News!A:C, 3, FALSE), "M/D/YYYY")</f>
        <v>7/8/2018</v>
      </c>
      <c r="P3" s="18">
        <f>DATE(YEAR(O3),MONTH(Metrics!$B$5), DAY(Metrics!$B$5))</f>
        <v>43344</v>
      </c>
      <c r="Q3" s="16">
        <f t="shared" ref="Q3:Q66" si="0">IF(MONTH(O3) &gt;= MONTH(P3), YEAR(O3)+1, YEAR(O3))</f>
        <v>2018</v>
      </c>
    </row>
    <row r="4" spans="1:22" ht="16" x14ac:dyDescent="0.2">
      <c r="A4" s="3" t="s">
        <v>37</v>
      </c>
      <c r="B4" s="33">
        <v>65</v>
      </c>
      <c r="D4" s="10">
        <v>1288</v>
      </c>
      <c r="E4" s="7" t="s">
        <v>11</v>
      </c>
      <c r="F4" s="4">
        <v>1930</v>
      </c>
      <c r="G4" s="9" t="s">
        <v>37</v>
      </c>
      <c r="H4" s="10">
        <v>1360</v>
      </c>
      <c r="I4" s="7" t="s">
        <v>22</v>
      </c>
      <c r="M4" s="12">
        <v>1288</v>
      </c>
      <c r="N4" s="13" t="s">
        <v>11</v>
      </c>
      <c r="O4" s="16" t="str">
        <f>TEXT(VLOOKUP(M4, News!A:C, 3, FALSE), "M/D/YYYY")</f>
        <v>6/29/2018</v>
      </c>
      <c r="P4" s="18">
        <f>DATE(YEAR(O4),MONTH(Metrics!$B$5), DAY(Metrics!$B$5))</f>
        <v>43344</v>
      </c>
      <c r="Q4" s="16">
        <f t="shared" si="0"/>
        <v>2018</v>
      </c>
    </row>
    <row r="5" spans="1:22" ht="16" x14ac:dyDescent="0.2">
      <c r="A5" s="3" t="s">
        <v>22</v>
      </c>
      <c r="B5" s="33">
        <v>70</v>
      </c>
      <c r="D5" s="10">
        <v>1289</v>
      </c>
      <c r="E5" s="7" t="s">
        <v>11</v>
      </c>
      <c r="F5" s="4">
        <v>2549</v>
      </c>
      <c r="G5" s="9" t="s">
        <v>37</v>
      </c>
      <c r="H5" s="10">
        <v>1379</v>
      </c>
      <c r="I5" s="7" t="s">
        <v>22</v>
      </c>
      <c r="M5" s="12">
        <v>1289</v>
      </c>
      <c r="N5" s="13" t="s">
        <v>11</v>
      </c>
      <c r="O5" s="16" t="str">
        <f>TEXT(VLOOKUP(M5, News!A:C, 3, FALSE), "M/D/YYYY")</f>
        <v>8/4/2018</v>
      </c>
      <c r="P5" s="18">
        <f>DATE(YEAR(O5),MONTH(Metrics!$B$5), DAY(Metrics!$B$5))</f>
        <v>43344</v>
      </c>
      <c r="Q5" s="16">
        <f t="shared" si="0"/>
        <v>2018</v>
      </c>
    </row>
    <row r="6" spans="1:22" ht="16" x14ac:dyDescent="0.2">
      <c r="A6" s="3" t="s">
        <v>715</v>
      </c>
      <c r="B6" s="33">
        <v>17</v>
      </c>
      <c r="D6" s="10">
        <v>1294</v>
      </c>
      <c r="E6" s="7" t="s">
        <v>11</v>
      </c>
      <c r="F6" s="4">
        <v>2747</v>
      </c>
      <c r="G6" s="9" t="s">
        <v>37</v>
      </c>
      <c r="H6" s="10">
        <v>1381</v>
      </c>
      <c r="I6" s="7" t="s">
        <v>22</v>
      </c>
      <c r="M6" s="12">
        <v>1294</v>
      </c>
      <c r="N6" s="13" t="s">
        <v>11</v>
      </c>
      <c r="O6" s="16" t="str">
        <f>TEXT(VLOOKUP(M6, News!A:C, 3, FALSE), "M/D/YYYY")</f>
        <v>8/13/2018</v>
      </c>
      <c r="P6" s="18">
        <f>DATE(YEAR(O6),MONTH(Metrics!$B$5), DAY(Metrics!$B$5))</f>
        <v>43344</v>
      </c>
      <c r="Q6" s="16">
        <f t="shared" si="0"/>
        <v>2018</v>
      </c>
    </row>
    <row r="7" spans="1:22" ht="16" x14ac:dyDescent="0.2">
      <c r="A7" s="3" t="s">
        <v>708</v>
      </c>
      <c r="B7" s="33">
        <v>10</v>
      </c>
      <c r="D7" s="10">
        <v>1295</v>
      </c>
      <c r="E7" s="7" t="s">
        <v>11</v>
      </c>
      <c r="F7" s="4">
        <v>3059</v>
      </c>
      <c r="G7" s="9" t="s">
        <v>37</v>
      </c>
      <c r="H7" s="10">
        <v>1448</v>
      </c>
      <c r="I7" s="7" t="s">
        <v>22</v>
      </c>
      <c r="M7" s="12">
        <v>1295</v>
      </c>
      <c r="N7" s="13" t="s">
        <v>11</v>
      </c>
      <c r="O7" s="16" t="str">
        <f>TEXT(VLOOKUP(M7, News!A:C, 3, FALSE), "M/D/YYYY")</f>
        <v>9/1/2017</v>
      </c>
      <c r="P7" s="18">
        <f>DATE(YEAR(O7),MONTH(Metrics!$B$5), DAY(Metrics!$B$5))</f>
        <v>42979</v>
      </c>
      <c r="Q7" s="16">
        <f t="shared" si="0"/>
        <v>2018</v>
      </c>
    </row>
    <row r="8" spans="1:22" ht="16" x14ac:dyDescent="0.2">
      <c r="A8" s="3" t="s">
        <v>34</v>
      </c>
      <c r="B8" s="33">
        <v>27</v>
      </c>
      <c r="D8" s="10">
        <v>1306</v>
      </c>
      <c r="E8" s="7" t="s">
        <v>11</v>
      </c>
      <c r="F8" s="4">
        <v>3257</v>
      </c>
      <c r="G8" s="9" t="s">
        <v>37</v>
      </c>
      <c r="H8" s="10">
        <v>1452</v>
      </c>
      <c r="I8" s="7" t="s">
        <v>22</v>
      </c>
      <c r="M8" s="12">
        <v>1306</v>
      </c>
      <c r="N8" s="13" t="s">
        <v>11</v>
      </c>
      <c r="O8" s="16" t="str">
        <f>TEXT(VLOOKUP(M8, News!A:C, 3, FALSE), "M/D/YYYY")</f>
        <v>6/16/2018</v>
      </c>
      <c r="P8" s="18">
        <f>DATE(YEAR(O8),MONTH(Metrics!$B$5), DAY(Metrics!$B$5))</f>
        <v>43344</v>
      </c>
      <c r="Q8" s="16">
        <f t="shared" si="0"/>
        <v>2018</v>
      </c>
    </row>
    <row r="9" spans="1:22" ht="16" x14ac:dyDescent="0.2">
      <c r="A9" s="3" t="s">
        <v>1173</v>
      </c>
      <c r="B9" s="33">
        <v>4</v>
      </c>
      <c r="D9" s="10">
        <v>1309</v>
      </c>
      <c r="E9" s="7" t="s">
        <v>11</v>
      </c>
      <c r="F9" s="4">
        <v>3398</v>
      </c>
      <c r="G9" s="9" t="s">
        <v>37</v>
      </c>
      <c r="H9" s="10">
        <v>1544</v>
      </c>
      <c r="I9" s="7" t="s">
        <v>22</v>
      </c>
      <c r="M9" s="12">
        <v>1309</v>
      </c>
      <c r="N9" s="13" t="s">
        <v>11</v>
      </c>
      <c r="O9" s="16" t="str">
        <f>TEXT(VLOOKUP(M9, News!A:C, 3, FALSE), "M/D/YYYY")</f>
        <v>6/10/2018</v>
      </c>
      <c r="P9" s="18">
        <f>DATE(YEAR(O9),MONTH(Metrics!$B$5), DAY(Metrics!$B$5))</f>
        <v>43344</v>
      </c>
      <c r="Q9" s="16">
        <f t="shared" si="0"/>
        <v>2018</v>
      </c>
    </row>
    <row r="10" spans="1:22" ht="16" x14ac:dyDescent="0.2">
      <c r="A10" s="3" t="s">
        <v>1174</v>
      </c>
      <c r="B10" s="33">
        <v>537</v>
      </c>
      <c r="D10" s="10">
        <v>1310</v>
      </c>
      <c r="E10" s="7" t="s">
        <v>11</v>
      </c>
      <c r="F10" s="4">
        <v>3617</v>
      </c>
      <c r="G10" s="9" t="s">
        <v>37</v>
      </c>
      <c r="H10" s="10">
        <v>2088</v>
      </c>
      <c r="I10" s="7" t="s">
        <v>22</v>
      </c>
      <c r="M10" s="12">
        <v>1310</v>
      </c>
      <c r="N10" s="13" t="s">
        <v>11</v>
      </c>
      <c r="O10" s="16" t="str">
        <f>TEXT(VLOOKUP(M10, News!A:C, 3, FALSE), "M/D/YYYY")</f>
        <v>6/4/2018</v>
      </c>
      <c r="P10" s="18">
        <f>DATE(YEAR(O10),MONTH(Metrics!$B$5), DAY(Metrics!$B$5))</f>
        <v>43344</v>
      </c>
      <c r="Q10" s="16">
        <f t="shared" si="0"/>
        <v>2018</v>
      </c>
    </row>
    <row r="11" spans="1:22" ht="16" x14ac:dyDescent="0.2">
      <c r="D11" s="10">
        <v>1312</v>
      </c>
      <c r="E11" s="7" t="s">
        <v>11</v>
      </c>
      <c r="F11" s="4">
        <v>3797</v>
      </c>
      <c r="G11" s="9" t="s">
        <v>37</v>
      </c>
      <c r="H11" s="10">
        <v>2199</v>
      </c>
      <c r="I11" s="7" t="s">
        <v>22</v>
      </c>
      <c r="M11" s="12">
        <v>1312</v>
      </c>
      <c r="N11" s="13" t="s">
        <v>11</v>
      </c>
      <c r="O11" s="16" t="str">
        <f>TEXT(VLOOKUP(M11, News!A:C, 3, FALSE), "M/D/YYYY")</f>
        <v>5/30/2018</v>
      </c>
      <c r="P11" s="18">
        <f>DATE(YEAR(O11),MONTH(Metrics!$B$5), DAY(Metrics!$B$5))</f>
        <v>43344</v>
      </c>
      <c r="Q11" s="16">
        <f t="shared" si="0"/>
        <v>2018</v>
      </c>
    </row>
    <row r="12" spans="1:22" ht="16" x14ac:dyDescent="0.2">
      <c r="D12" s="10">
        <v>1315</v>
      </c>
      <c r="E12" s="7" t="s">
        <v>11</v>
      </c>
      <c r="F12" s="4">
        <v>3801</v>
      </c>
      <c r="G12" s="9" t="s">
        <v>37</v>
      </c>
      <c r="H12" s="10">
        <v>2337</v>
      </c>
      <c r="I12" s="7" t="s">
        <v>22</v>
      </c>
      <c r="M12" s="12">
        <v>1315</v>
      </c>
      <c r="N12" s="13" t="s">
        <v>11</v>
      </c>
      <c r="O12" s="16" t="str">
        <f>TEXT(VLOOKUP(M12, News!A:C, 3, FALSE), "M/D/YYYY")</f>
        <v>9/1/2017</v>
      </c>
      <c r="P12" s="18">
        <f>DATE(YEAR(O12),MONTH(Metrics!$B$5), DAY(Metrics!$B$5))</f>
        <v>42979</v>
      </c>
      <c r="Q12" s="16">
        <f t="shared" si="0"/>
        <v>2018</v>
      </c>
    </row>
    <row r="13" spans="1:22" ht="16" x14ac:dyDescent="0.2">
      <c r="D13" s="10">
        <v>1318</v>
      </c>
      <c r="E13" s="7" t="s">
        <v>11</v>
      </c>
      <c r="F13" s="4">
        <v>3859</v>
      </c>
      <c r="G13" s="9" t="s">
        <v>37</v>
      </c>
      <c r="H13" s="10">
        <v>2340</v>
      </c>
      <c r="I13" s="7" t="s">
        <v>22</v>
      </c>
      <c r="M13" s="12">
        <v>1318</v>
      </c>
      <c r="N13" s="13" t="s">
        <v>11</v>
      </c>
      <c r="O13" s="16" t="str">
        <f>TEXT(VLOOKUP(M13, News!A:C, 3, FALSE), "M/D/YYYY")</f>
        <v>5/17/2018</v>
      </c>
      <c r="P13" s="18">
        <f>DATE(YEAR(O13),MONTH(Metrics!$B$5), DAY(Metrics!$B$5))</f>
        <v>43344</v>
      </c>
      <c r="Q13" s="16">
        <f t="shared" si="0"/>
        <v>2018</v>
      </c>
    </row>
    <row r="14" spans="1:22" ht="16" x14ac:dyDescent="0.2">
      <c r="D14" s="10">
        <v>1324</v>
      </c>
      <c r="E14" s="7" t="s">
        <v>11</v>
      </c>
      <c r="F14" s="4">
        <v>3947</v>
      </c>
      <c r="G14" s="9" t="s">
        <v>37</v>
      </c>
      <c r="H14" s="10">
        <v>2768</v>
      </c>
      <c r="I14" s="7" t="s">
        <v>22</v>
      </c>
      <c r="M14" s="12">
        <v>1324</v>
      </c>
      <c r="N14" s="13" t="s">
        <v>11</v>
      </c>
      <c r="O14" s="16" t="str">
        <f>TEXT(VLOOKUP(M14, News!A:C, 3, FALSE), "M/D/YYYY")</f>
        <v>9/1/2017</v>
      </c>
      <c r="P14" s="18">
        <f>DATE(YEAR(O14),MONTH(Metrics!$B$5), DAY(Metrics!$B$5))</f>
        <v>42979</v>
      </c>
      <c r="Q14" s="16">
        <f t="shared" si="0"/>
        <v>2018</v>
      </c>
    </row>
    <row r="15" spans="1:22" ht="16" x14ac:dyDescent="0.2">
      <c r="D15" s="10">
        <v>1343</v>
      </c>
      <c r="E15" s="7" t="s">
        <v>11</v>
      </c>
      <c r="F15" s="4">
        <v>3991</v>
      </c>
      <c r="G15" s="9" t="s">
        <v>37</v>
      </c>
      <c r="H15" s="10">
        <v>2828</v>
      </c>
      <c r="I15" s="7" t="s">
        <v>22</v>
      </c>
      <c r="M15" s="12">
        <v>1343</v>
      </c>
      <c r="N15" s="13" t="s">
        <v>11</v>
      </c>
      <c r="O15" s="16" t="str">
        <f>TEXT(VLOOKUP(M15, News!A:C, 3, FALSE), "M/D/YYYY")</f>
        <v>9/15/2017</v>
      </c>
      <c r="P15" s="18">
        <f>DATE(YEAR(O15),MONTH(Metrics!$B$5), DAY(Metrics!$B$5))</f>
        <v>42979</v>
      </c>
      <c r="Q15" s="16">
        <f t="shared" si="0"/>
        <v>2018</v>
      </c>
    </row>
    <row r="16" spans="1:22" ht="16" x14ac:dyDescent="0.2">
      <c r="D16" s="10">
        <v>1353</v>
      </c>
      <c r="E16" s="7" t="s">
        <v>11</v>
      </c>
      <c r="F16" s="4">
        <v>4018</v>
      </c>
      <c r="G16" s="9" t="s">
        <v>37</v>
      </c>
      <c r="H16" s="10">
        <v>2995</v>
      </c>
      <c r="I16" s="7" t="s">
        <v>22</v>
      </c>
      <c r="M16" s="12">
        <v>1353</v>
      </c>
      <c r="N16" s="13" t="s">
        <v>11</v>
      </c>
      <c r="O16" s="16" t="str">
        <f>TEXT(VLOOKUP(M16, News!A:C, 3, FALSE), "M/D/YYYY")</f>
        <v>5/9/2018</v>
      </c>
      <c r="P16" s="18">
        <f>DATE(YEAR(O16),MONTH(Metrics!$B$5), DAY(Metrics!$B$5))</f>
        <v>43344</v>
      </c>
      <c r="Q16" s="16">
        <f t="shared" si="0"/>
        <v>2018</v>
      </c>
    </row>
    <row r="17" spans="4:17" ht="16" x14ac:dyDescent="0.2">
      <c r="D17" s="10">
        <v>1368</v>
      </c>
      <c r="E17" s="7" t="s">
        <v>11</v>
      </c>
      <c r="F17" s="4">
        <v>4069</v>
      </c>
      <c r="G17" s="9" t="s">
        <v>37</v>
      </c>
      <c r="H17" s="10">
        <v>2999</v>
      </c>
      <c r="I17" s="7" t="s">
        <v>22</v>
      </c>
      <c r="M17" s="12">
        <v>1368</v>
      </c>
      <c r="N17" s="13" t="s">
        <v>11</v>
      </c>
      <c r="O17" s="16" t="str">
        <f>TEXT(VLOOKUP(M17, News!A:C, 3, FALSE), "M/D/YYYY")</f>
        <v>10/14/2017</v>
      </c>
      <c r="P17" s="18">
        <f>DATE(YEAR(O17),MONTH(Metrics!$B$5), DAY(Metrics!$B$5))</f>
        <v>42979</v>
      </c>
      <c r="Q17" s="16">
        <f t="shared" si="0"/>
        <v>2018</v>
      </c>
    </row>
    <row r="18" spans="4:17" ht="16" x14ac:dyDescent="0.2">
      <c r="D18" s="10">
        <v>1370</v>
      </c>
      <c r="E18" s="7" t="s">
        <v>11</v>
      </c>
      <c r="F18" s="4">
        <v>4085</v>
      </c>
      <c r="G18" s="9" t="s">
        <v>37</v>
      </c>
      <c r="H18" s="10">
        <v>3225</v>
      </c>
      <c r="I18" s="7" t="s">
        <v>22</v>
      </c>
      <c r="M18" s="12">
        <v>1370</v>
      </c>
      <c r="N18" s="13" t="s">
        <v>11</v>
      </c>
      <c r="O18" s="16" t="str">
        <f>TEXT(VLOOKUP(M18, News!A:C, 3, FALSE), "M/D/YYYY")</f>
        <v>10/15/2017</v>
      </c>
      <c r="P18" s="18">
        <f>DATE(YEAR(O18),MONTH(Metrics!$B$5), DAY(Metrics!$B$5))</f>
        <v>42979</v>
      </c>
      <c r="Q18" s="16">
        <f t="shared" si="0"/>
        <v>2018</v>
      </c>
    </row>
    <row r="19" spans="4:17" ht="16" x14ac:dyDescent="0.2">
      <c r="D19" s="10">
        <v>1377</v>
      </c>
      <c r="E19" s="7" t="s">
        <v>11</v>
      </c>
      <c r="F19" s="4">
        <v>4089</v>
      </c>
      <c r="G19" s="9" t="s">
        <v>37</v>
      </c>
      <c r="H19" s="10">
        <v>3314</v>
      </c>
      <c r="I19" s="7" t="s">
        <v>22</v>
      </c>
      <c r="M19" s="12">
        <v>1377</v>
      </c>
      <c r="N19" s="13" t="s">
        <v>11</v>
      </c>
      <c r="O19" s="16" t="str">
        <f>TEXT(VLOOKUP(M19, News!A:C, 3, FALSE), "M/D/YYYY")</f>
        <v>10/21/2017</v>
      </c>
      <c r="P19" s="18">
        <f>DATE(YEAR(O19),MONTH(Metrics!$B$5), DAY(Metrics!$B$5))</f>
        <v>42979</v>
      </c>
      <c r="Q19" s="16">
        <f t="shared" si="0"/>
        <v>2018</v>
      </c>
    </row>
    <row r="20" spans="4:17" ht="16" x14ac:dyDescent="0.2">
      <c r="D20" s="10">
        <v>1382</v>
      </c>
      <c r="E20" s="7" t="s">
        <v>11</v>
      </c>
      <c r="F20" s="4">
        <v>4130</v>
      </c>
      <c r="G20" s="9" t="s">
        <v>37</v>
      </c>
      <c r="H20" s="10">
        <v>3642</v>
      </c>
      <c r="I20" s="7" t="s">
        <v>22</v>
      </c>
      <c r="M20" s="12">
        <v>1382</v>
      </c>
      <c r="N20" s="13" t="s">
        <v>11</v>
      </c>
      <c r="O20" s="16" t="str">
        <f>TEXT(VLOOKUP(M20, News!A:C, 3, FALSE), "M/D/YYYY")</f>
        <v>12/1/2017</v>
      </c>
      <c r="P20" s="18">
        <f>DATE(YEAR(O20),MONTH(Metrics!$B$5), DAY(Metrics!$B$5))</f>
        <v>42979</v>
      </c>
      <c r="Q20" s="16">
        <f t="shared" si="0"/>
        <v>2018</v>
      </c>
    </row>
    <row r="21" spans="4:17" ht="16" x14ac:dyDescent="0.2">
      <c r="D21" s="10">
        <v>1390</v>
      </c>
      <c r="E21" s="7" t="s">
        <v>11</v>
      </c>
      <c r="F21" s="4">
        <v>4133</v>
      </c>
      <c r="G21" s="9" t="s">
        <v>37</v>
      </c>
      <c r="H21" s="10">
        <v>3644</v>
      </c>
      <c r="I21" s="7" t="s">
        <v>22</v>
      </c>
      <c r="M21" s="12">
        <v>1390</v>
      </c>
      <c r="N21" s="13" t="s">
        <v>11</v>
      </c>
      <c r="O21" s="16" t="str">
        <f>TEXT(VLOOKUP(M21, News!A:C, 3, FALSE), "M/D/YYYY")</f>
        <v>4/20/2018</v>
      </c>
      <c r="P21" s="18">
        <f>DATE(YEAR(O21),MONTH(Metrics!$B$5), DAY(Metrics!$B$5))</f>
        <v>43344</v>
      </c>
      <c r="Q21" s="16">
        <f t="shared" si="0"/>
        <v>2018</v>
      </c>
    </row>
    <row r="22" spans="4:17" ht="16" x14ac:dyDescent="0.2">
      <c r="D22" s="10">
        <v>1391</v>
      </c>
      <c r="E22" s="7" t="s">
        <v>11</v>
      </c>
      <c r="F22" s="4">
        <v>4150</v>
      </c>
      <c r="G22" s="9" t="s">
        <v>37</v>
      </c>
      <c r="H22" s="10">
        <v>3871</v>
      </c>
      <c r="I22" s="7" t="s">
        <v>22</v>
      </c>
      <c r="M22" s="12">
        <v>1391</v>
      </c>
      <c r="N22" s="13" t="s">
        <v>11</v>
      </c>
      <c r="O22" s="16" t="str">
        <f>TEXT(VLOOKUP(M22, News!A:C, 3, FALSE), "M/D/YYYY")</f>
        <v>4/10/2018</v>
      </c>
      <c r="P22" s="18">
        <f>DATE(YEAR(O22),MONTH(Metrics!$B$5), DAY(Metrics!$B$5))</f>
        <v>43344</v>
      </c>
      <c r="Q22" s="16">
        <f t="shared" si="0"/>
        <v>2018</v>
      </c>
    </row>
    <row r="23" spans="4:17" ht="16" x14ac:dyDescent="0.2">
      <c r="D23" s="10">
        <v>1396</v>
      </c>
      <c r="E23" s="7" t="s">
        <v>11</v>
      </c>
      <c r="F23" s="4">
        <v>4151</v>
      </c>
      <c r="G23" s="9" t="s">
        <v>37</v>
      </c>
      <c r="H23" s="10">
        <v>3978</v>
      </c>
      <c r="I23" s="7" t="s">
        <v>22</v>
      </c>
      <c r="M23" s="12">
        <v>1396</v>
      </c>
      <c r="N23" s="13" t="s">
        <v>11</v>
      </c>
      <c r="O23" s="16" t="str">
        <f>TEXT(VLOOKUP(M23, News!A:C, 3, FALSE), "M/D/YYYY")</f>
        <v>3/29/2018</v>
      </c>
      <c r="P23" s="18">
        <f>DATE(YEAR(O23),MONTH(Metrics!$B$5), DAY(Metrics!$B$5))</f>
        <v>43344</v>
      </c>
      <c r="Q23" s="16">
        <f t="shared" si="0"/>
        <v>2018</v>
      </c>
    </row>
    <row r="24" spans="4:17" ht="16" x14ac:dyDescent="0.2">
      <c r="D24" s="10">
        <v>1400</v>
      </c>
      <c r="E24" s="7" t="s">
        <v>11</v>
      </c>
      <c r="F24" s="4">
        <v>4202</v>
      </c>
      <c r="G24" s="9" t="s">
        <v>37</v>
      </c>
      <c r="H24" s="10">
        <v>4225</v>
      </c>
      <c r="I24" s="7" t="s">
        <v>22</v>
      </c>
      <c r="M24" s="12">
        <v>1400</v>
      </c>
      <c r="N24" s="13" t="s">
        <v>11</v>
      </c>
      <c r="O24" s="16" t="str">
        <f>TEXT(VLOOKUP(M24, News!A:C, 3, FALSE), "M/D/YYYY")</f>
        <v>3/22/2018</v>
      </c>
      <c r="P24" s="18">
        <f>DATE(YEAR(O24),MONTH(Metrics!$B$5), DAY(Metrics!$B$5))</f>
        <v>43344</v>
      </c>
      <c r="Q24" s="16">
        <f t="shared" si="0"/>
        <v>2018</v>
      </c>
    </row>
    <row r="25" spans="4:17" ht="16" x14ac:dyDescent="0.2">
      <c r="D25" s="10">
        <v>1411</v>
      </c>
      <c r="E25" s="7" t="s">
        <v>11</v>
      </c>
      <c r="F25" s="4">
        <v>4204</v>
      </c>
      <c r="G25" s="9" t="s">
        <v>37</v>
      </c>
      <c r="H25" s="10">
        <v>4234</v>
      </c>
      <c r="I25" s="7" t="s">
        <v>22</v>
      </c>
      <c r="M25" s="12">
        <v>1411</v>
      </c>
      <c r="N25" s="13" t="s">
        <v>11</v>
      </c>
      <c r="O25" s="16" t="str">
        <f>TEXT(VLOOKUP(M25, News!A:C, 3, FALSE), "M/D/YYYY")</f>
        <v>11/1/2017</v>
      </c>
      <c r="P25" s="18">
        <f>DATE(YEAR(O25),MONTH(Metrics!$B$5), DAY(Metrics!$B$5))</f>
        <v>42979</v>
      </c>
      <c r="Q25" s="16">
        <f t="shared" si="0"/>
        <v>2018</v>
      </c>
    </row>
    <row r="26" spans="4:17" ht="16" x14ac:dyDescent="0.2">
      <c r="D26" s="10">
        <v>1415</v>
      </c>
      <c r="E26" s="7" t="s">
        <v>11</v>
      </c>
      <c r="F26" s="4">
        <v>4476</v>
      </c>
      <c r="G26" s="9" t="s">
        <v>37</v>
      </c>
      <c r="H26" s="10">
        <v>4283</v>
      </c>
      <c r="I26" s="7" t="s">
        <v>22</v>
      </c>
      <c r="M26" s="12">
        <v>1415</v>
      </c>
      <c r="N26" s="13" t="s">
        <v>11</v>
      </c>
      <c r="O26" s="16" t="str">
        <f>TEXT(VLOOKUP(M26, News!A:C, 3, FALSE), "M/D/YYYY")</f>
        <v>11/18/2017</v>
      </c>
      <c r="P26" s="18">
        <f>DATE(YEAR(O26),MONTH(Metrics!$B$5), DAY(Metrics!$B$5))</f>
        <v>42979</v>
      </c>
      <c r="Q26" s="16">
        <f t="shared" si="0"/>
        <v>2018</v>
      </c>
    </row>
    <row r="27" spans="4:17" ht="16" x14ac:dyDescent="0.2">
      <c r="D27" s="10">
        <v>1431</v>
      </c>
      <c r="E27" s="7" t="s">
        <v>11</v>
      </c>
      <c r="F27" s="4">
        <v>4659</v>
      </c>
      <c r="G27" s="9" t="s">
        <v>37</v>
      </c>
      <c r="H27" s="10">
        <v>4387</v>
      </c>
      <c r="I27" s="7" t="s">
        <v>22</v>
      </c>
      <c r="M27" s="12">
        <v>1431</v>
      </c>
      <c r="N27" s="13" t="s">
        <v>11</v>
      </c>
      <c r="O27" s="16" t="str">
        <f>TEXT(VLOOKUP(M27, News!A:C, 3, FALSE), "M/D/YYYY")</f>
        <v>2/3/2018</v>
      </c>
      <c r="P27" s="18">
        <f>DATE(YEAR(O27),MONTH(Metrics!$B$5), DAY(Metrics!$B$5))</f>
        <v>43344</v>
      </c>
      <c r="Q27" s="16">
        <f t="shared" si="0"/>
        <v>2018</v>
      </c>
    </row>
    <row r="28" spans="4:17" ht="16" x14ac:dyDescent="0.2">
      <c r="D28" s="10">
        <v>1438</v>
      </c>
      <c r="E28" s="7" t="s">
        <v>11</v>
      </c>
      <c r="F28" s="4">
        <v>6999</v>
      </c>
      <c r="G28" s="9" t="s">
        <v>37</v>
      </c>
      <c r="H28" s="10">
        <v>4534</v>
      </c>
      <c r="I28" s="7" t="s">
        <v>22</v>
      </c>
      <c r="M28" s="12">
        <v>1438</v>
      </c>
      <c r="N28" s="13" t="s">
        <v>11</v>
      </c>
      <c r="O28" s="16" t="str">
        <f>TEXT(VLOOKUP(M28, News!A:C, 3, FALSE), "M/D/YYYY")</f>
        <v>1/31/2018</v>
      </c>
      <c r="P28" s="18">
        <f>DATE(YEAR(O28),MONTH(Metrics!$B$5), DAY(Metrics!$B$5))</f>
        <v>43344</v>
      </c>
      <c r="Q28" s="16">
        <f t="shared" si="0"/>
        <v>2018</v>
      </c>
    </row>
    <row r="29" spans="4:17" ht="16" x14ac:dyDescent="0.2">
      <c r="D29" s="10">
        <v>1445</v>
      </c>
      <c r="E29" s="7" t="s">
        <v>11</v>
      </c>
      <c r="F29" s="4">
        <v>7162</v>
      </c>
      <c r="G29" s="9" t="s">
        <v>37</v>
      </c>
      <c r="H29" s="10">
        <v>4636</v>
      </c>
      <c r="I29" s="7" t="s">
        <v>22</v>
      </c>
      <c r="M29" s="12">
        <v>1445</v>
      </c>
      <c r="N29" s="13" t="s">
        <v>11</v>
      </c>
      <c r="O29" s="16" t="str">
        <f>TEXT(VLOOKUP(M29, News!A:C, 3, FALSE), "M/D/YYYY")</f>
        <v>1/31/2018</v>
      </c>
      <c r="P29" s="18">
        <f>DATE(YEAR(O29),MONTH(Metrics!$B$5), DAY(Metrics!$B$5))</f>
        <v>43344</v>
      </c>
      <c r="Q29" s="16">
        <f t="shared" si="0"/>
        <v>2018</v>
      </c>
    </row>
    <row r="30" spans="4:17" ht="16" x14ac:dyDescent="0.2">
      <c r="D30" s="10">
        <v>1460</v>
      </c>
      <c r="E30" s="7" t="s">
        <v>11</v>
      </c>
      <c r="F30" s="4">
        <v>7157</v>
      </c>
      <c r="G30" s="9" t="s">
        <v>37</v>
      </c>
      <c r="H30" s="10">
        <v>4658</v>
      </c>
      <c r="I30" s="7" t="s">
        <v>22</v>
      </c>
      <c r="M30" s="12">
        <v>1460</v>
      </c>
      <c r="N30" s="13" t="s">
        <v>11</v>
      </c>
      <c r="O30" s="16" t="str">
        <f>TEXT(VLOOKUP(M30, News!A:C, 3, FALSE), "M/D/YYYY")</f>
        <v>12/6/2017</v>
      </c>
      <c r="P30" s="18">
        <f>DATE(YEAR(O30),MONTH(Metrics!$B$5), DAY(Metrics!$B$5))</f>
        <v>42979</v>
      </c>
      <c r="Q30" s="16">
        <f t="shared" si="0"/>
        <v>2018</v>
      </c>
    </row>
    <row r="31" spans="4:17" ht="16" x14ac:dyDescent="0.2">
      <c r="D31" s="10">
        <v>1468</v>
      </c>
      <c r="E31" s="7" t="s">
        <v>11</v>
      </c>
      <c r="F31" s="4">
        <v>7916</v>
      </c>
      <c r="G31" s="9" t="s">
        <v>37</v>
      </c>
      <c r="H31" s="10">
        <v>4662</v>
      </c>
      <c r="I31" s="7" t="s">
        <v>22</v>
      </c>
      <c r="M31" s="12">
        <v>1468</v>
      </c>
      <c r="N31" s="13" t="s">
        <v>11</v>
      </c>
      <c r="O31" s="16" t="str">
        <f>TEXT(VLOOKUP(M31, News!A:C, 3, FALSE), "M/D/YYYY")</f>
        <v>11/28/2017</v>
      </c>
      <c r="P31" s="18">
        <f>DATE(YEAR(O31),MONTH(Metrics!$B$5), DAY(Metrics!$B$5))</f>
        <v>42979</v>
      </c>
      <c r="Q31" s="16">
        <f t="shared" si="0"/>
        <v>2018</v>
      </c>
    </row>
    <row r="32" spans="4:17" ht="16" x14ac:dyDescent="0.2">
      <c r="D32" s="10">
        <v>1490</v>
      </c>
      <c r="E32" s="7" t="s">
        <v>11</v>
      </c>
      <c r="F32" s="4">
        <v>769</v>
      </c>
      <c r="G32" s="9" t="s">
        <v>37</v>
      </c>
      <c r="H32" s="10">
        <v>4794</v>
      </c>
      <c r="I32" s="7" t="s">
        <v>22</v>
      </c>
      <c r="M32" s="12">
        <v>1490</v>
      </c>
      <c r="N32" s="13" t="s">
        <v>11</v>
      </c>
      <c r="O32" s="16" t="str">
        <f>TEXT(VLOOKUP(M32, News!A:C, 3, FALSE), "M/D/YYYY")</f>
        <v>2/5/2018</v>
      </c>
      <c r="P32" s="18">
        <f>DATE(YEAR(O32),MONTH(Metrics!$B$5), DAY(Metrics!$B$5))</f>
        <v>43344</v>
      </c>
      <c r="Q32" s="16">
        <f t="shared" si="0"/>
        <v>2018</v>
      </c>
    </row>
    <row r="33" spans="4:17" ht="16" x14ac:dyDescent="0.2">
      <c r="D33" s="10">
        <v>1613</v>
      </c>
      <c r="E33" s="7" t="s">
        <v>11</v>
      </c>
      <c r="F33" s="4">
        <v>774</v>
      </c>
      <c r="G33" s="9" t="s">
        <v>37</v>
      </c>
      <c r="H33" s="10">
        <v>4800</v>
      </c>
      <c r="I33" s="7" t="s">
        <v>22</v>
      </c>
      <c r="M33" s="12">
        <v>1613</v>
      </c>
      <c r="N33" s="13" t="s">
        <v>11</v>
      </c>
      <c r="O33" s="16" t="str">
        <f>TEXT(VLOOKUP(M33, News!A:C, 3, FALSE), "M/D/YYYY")</f>
        <v>8/6/2018</v>
      </c>
      <c r="P33" s="18">
        <f>DATE(YEAR(O33),MONTH(Metrics!$B$5), DAY(Metrics!$B$5))</f>
        <v>43344</v>
      </c>
      <c r="Q33" s="16">
        <f t="shared" si="0"/>
        <v>2018</v>
      </c>
    </row>
    <row r="34" spans="4:17" ht="16" x14ac:dyDescent="0.2">
      <c r="D34" s="10">
        <v>1615</v>
      </c>
      <c r="E34" s="7" t="s">
        <v>11</v>
      </c>
      <c r="F34" s="4">
        <v>776</v>
      </c>
      <c r="G34" s="9" t="s">
        <v>37</v>
      </c>
      <c r="H34" s="10">
        <v>4883</v>
      </c>
      <c r="I34" s="7" t="s">
        <v>22</v>
      </c>
      <c r="M34" s="12">
        <v>1615</v>
      </c>
      <c r="N34" s="13" t="s">
        <v>11</v>
      </c>
      <c r="O34" s="16" t="str">
        <f>TEXT(VLOOKUP(M34, News!A:C, 3, FALSE), "M/D/YYYY")</f>
        <v>8/24/2018</v>
      </c>
      <c r="P34" s="18">
        <f>DATE(YEAR(O34),MONTH(Metrics!$B$5), DAY(Metrics!$B$5))</f>
        <v>43344</v>
      </c>
      <c r="Q34" s="16">
        <f t="shared" si="0"/>
        <v>2018</v>
      </c>
    </row>
    <row r="35" spans="4:17" ht="16" x14ac:dyDescent="0.2">
      <c r="D35" s="10">
        <v>1626</v>
      </c>
      <c r="E35" s="7" t="s">
        <v>11</v>
      </c>
      <c r="F35" s="4">
        <v>1317</v>
      </c>
      <c r="G35" s="9" t="s">
        <v>37</v>
      </c>
      <c r="H35" s="10">
        <v>4888</v>
      </c>
      <c r="I35" s="7" t="s">
        <v>22</v>
      </c>
      <c r="M35" s="12">
        <v>1626</v>
      </c>
      <c r="N35" s="13" t="s">
        <v>11</v>
      </c>
      <c r="O35" s="16" t="str">
        <f>TEXT(VLOOKUP(M35, News!A:C, 3, FALSE), "M/D/YYYY")</f>
        <v>6/1/2018</v>
      </c>
      <c r="P35" s="18">
        <f>DATE(YEAR(O35),MONTH(Metrics!$B$5), DAY(Metrics!$B$5))</f>
        <v>43344</v>
      </c>
      <c r="Q35" s="16">
        <f t="shared" si="0"/>
        <v>2018</v>
      </c>
    </row>
    <row r="36" spans="4:17" ht="16" x14ac:dyDescent="0.2">
      <c r="D36" s="10">
        <v>1696</v>
      </c>
      <c r="E36" s="7" t="s">
        <v>11</v>
      </c>
      <c r="F36" s="4">
        <v>1347</v>
      </c>
      <c r="G36" s="9" t="s">
        <v>37</v>
      </c>
      <c r="H36" s="10">
        <v>4924</v>
      </c>
      <c r="I36" s="7" t="s">
        <v>22</v>
      </c>
      <c r="M36" s="12">
        <v>1696</v>
      </c>
      <c r="N36" s="13" t="s">
        <v>11</v>
      </c>
      <c r="O36" s="16" t="str">
        <f>TEXT(VLOOKUP(M36, News!A:C, 3, FALSE), "M/D/YYYY")</f>
        <v>9/1/2018</v>
      </c>
      <c r="P36" s="18">
        <f>DATE(YEAR(O36),MONTH(Metrics!$B$5), DAY(Metrics!$B$5))</f>
        <v>43344</v>
      </c>
      <c r="Q36" s="16">
        <f t="shared" si="0"/>
        <v>2019</v>
      </c>
    </row>
    <row r="37" spans="4:17" ht="16" x14ac:dyDescent="0.2">
      <c r="D37" s="10">
        <v>1701</v>
      </c>
      <c r="E37" s="7" t="s">
        <v>11</v>
      </c>
      <c r="F37" s="4">
        <v>1352</v>
      </c>
      <c r="G37" s="9" t="s">
        <v>37</v>
      </c>
      <c r="H37" s="10">
        <v>4964</v>
      </c>
      <c r="I37" s="7" t="s">
        <v>22</v>
      </c>
      <c r="M37" s="12">
        <v>1701</v>
      </c>
      <c r="N37" s="13" t="s">
        <v>11</v>
      </c>
      <c r="O37" s="16" t="str">
        <f>TEXT(VLOOKUP(M37, News!A:C, 3, FALSE), "M/D/YYYY")</f>
        <v>9/27/2018</v>
      </c>
      <c r="P37" s="18">
        <f>DATE(YEAR(O37),MONTH(Metrics!$B$5), DAY(Metrics!$B$5))</f>
        <v>43344</v>
      </c>
      <c r="Q37" s="16">
        <f t="shared" si="0"/>
        <v>2019</v>
      </c>
    </row>
    <row r="38" spans="4:17" ht="16" x14ac:dyDescent="0.2">
      <c r="D38" s="10">
        <v>1914</v>
      </c>
      <c r="E38" s="7" t="s">
        <v>11</v>
      </c>
      <c r="F38" s="4">
        <v>1355</v>
      </c>
      <c r="G38" s="9" t="s">
        <v>37</v>
      </c>
      <c r="H38" s="10">
        <v>4998</v>
      </c>
      <c r="I38" s="7" t="s">
        <v>22</v>
      </c>
      <c r="M38" s="12">
        <v>1914</v>
      </c>
      <c r="N38" s="13" t="s">
        <v>11</v>
      </c>
      <c r="O38" s="16" t="str">
        <f>TEXT(VLOOKUP(M38, News!A:C, 3, FALSE), "M/D/YYYY")</f>
        <v>10/25/2018</v>
      </c>
      <c r="P38" s="18">
        <f>DATE(YEAR(O38),MONTH(Metrics!$B$5), DAY(Metrics!$B$5))</f>
        <v>43344</v>
      </c>
      <c r="Q38" s="16">
        <f t="shared" si="0"/>
        <v>2019</v>
      </c>
    </row>
    <row r="39" spans="4:17" ht="16" x14ac:dyDescent="0.2">
      <c r="D39" s="10">
        <v>1928</v>
      </c>
      <c r="E39" s="7" t="s">
        <v>11</v>
      </c>
      <c r="F39" s="4">
        <v>1392</v>
      </c>
      <c r="G39" s="9" t="s">
        <v>37</v>
      </c>
      <c r="H39" s="10">
        <v>5003</v>
      </c>
      <c r="I39" s="7" t="s">
        <v>22</v>
      </c>
      <c r="M39" s="12">
        <v>1928</v>
      </c>
      <c r="N39" s="13" t="s">
        <v>11</v>
      </c>
      <c r="O39" s="16" t="str">
        <f>TEXT(VLOOKUP(M39, News!A:C, 3, FALSE), "M/D/YYYY")</f>
        <v>8/31/2017</v>
      </c>
      <c r="P39" s="18">
        <f>DATE(YEAR(O39),MONTH(Metrics!$B$5), DAY(Metrics!$B$5))</f>
        <v>42979</v>
      </c>
      <c r="Q39" s="16">
        <f t="shared" si="0"/>
        <v>2017</v>
      </c>
    </row>
    <row r="40" spans="4:17" ht="16" x14ac:dyDescent="0.2">
      <c r="D40" s="10">
        <v>1935</v>
      </c>
      <c r="E40" s="7" t="s">
        <v>11</v>
      </c>
      <c r="F40" s="4">
        <v>1399</v>
      </c>
      <c r="G40" s="9" t="s">
        <v>37</v>
      </c>
      <c r="H40" s="10">
        <v>5016</v>
      </c>
      <c r="I40" s="7" t="s">
        <v>22</v>
      </c>
      <c r="M40" s="12">
        <v>1935</v>
      </c>
      <c r="N40" s="13" t="s">
        <v>11</v>
      </c>
      <c r="O40" s="16" t="str">
        <f>TEXT(VLOOKUP(M40, News!A:C, 3, FALSE), "M/D/YYYY")</f>
        <v>10/26/2018</v>
      </c>
      <c r="P40" s="18">
        <f>DATE(YEAR(O40),MONTH(Metrics!$B$5), DAY(Metrics!$B$5))</f>
        <v>43344</v>
      </c>
      <c r="Q40" s="16">
        <f t="shared" si="0"/>
        <v>2019</v>
      </c>
    </row>
    <row r="41" spans="4:17" ht="16" x14ac:dyDescent="0.2">
      <c r="D41" s="10">
        <v>1940</v>
      </c>
      <c r="E41" s="7" t="s">
        <v>11</v>
      </c>
      <c r="F41" s="4">
        <v>1456</v>
      </c>
      <c r="G41" s="9" t="s">
        <v>37</v>
      </c>
      <c r="H41" s="10">
        <v>5070</v>
      </c>
      <c r="I41" s="7" t="s">
        <v>22</v>
      </c>
      <c r="M41" s="12">
        <v>1940</v>
      </c>
      <c r="N41" s="13" t="s">
        <v>11</v>
      </c>
      <c r="O41" s="16" t="str">
        <f>TEXT(VLOOKUP(M41, News!A:C, 3, FALSE), "M/D/YYYY")</f>
        <v>8/31/2017</v>
      </c>
      <c r="P41" s="18">
        <f>DATE(YEAR(O41),MONTH(Metrics!$B$5), DAY(Metrics!$B$5))</f>
        <v>42979</v>
      </c>
      <c r="Q41" s="16">
        <f t="shared" si="0"/>
        <v>2017</v>
      </c>
    </row>
    <row r="42" spans="4:17" ht="16" x14ac:dyDescent="0.2">
      <c r="D42" s="10">
        <v>1947</v>
      </c>
      <c r="E42" s="7" t="s">
        <v>11</v>
      </c>
      <c r="F42" s="4">
        <v>1493</v>
      </c>
      <c r="G42" s="9" t="s">
        <v>37</v>
      </c>
      <c r="H42" s="10">
        <v>5523</v>
      </c>
      <c r="I42" s="7" t="s">
        <v>22</v>
      </c>
      <c r="M42" s="12">
        <v>1947</v>
      </c>
      <c r="N42" s="13" t="s">
        <v>11</v>
      </c>
      <c r="O42" s="16" t="str">
        <f>TEXT(VLOOKUP(M42, News!A:C, 3, FALSE), "M/D/YYYY")</f>
        <v>10/26/2018</v>
      </c>
      <c r="P42" s="18">
        <f>DATE(YEAR(O42),MONTH(Metrics!$B$5), DAY(Metrics!$B$5))</f>
        <v>43344</v>
      </c>
      <c r="Q42" s="16">
        <f t="shared" si="0"/>
        <v>2019</v>
      </c>
    </row>
    <row r="43" spans="4:17" ht="16" x14ac:dyDescent="0.2">
      <c r="D43" s="10">
        <v>2012</v>
      </c>
      <c r="E43" s="7" t="s">
        <v>11</v>
      </c>
      <c r="F43" s="4">
        <v>1668</v>
      </c>
      <c r="G43" s="9" t="s">
        <v>37</v>
      </c>
      <c r="H43" s="10">
        <v>5732</v>
      </c>
      <c r="I43" s="7" t="s">
        <v>22</v>
      </c>
      <c r="M43" s="12">
        <v>2012</v>
      </c>
      <c r="N43" s="13" t="s">
        <v>11</v>
      </c>
      <c r="O43" s="16" t="str">
        <f>TEXT(VLOOKUP(M43, News!A:C, 3, FALSE), "M/D/YYYY")</f>
        <v>8/15/2017</v>
      </c>
      <c r="P43" s="18">
        <f>DATE(YEAR(O43),MONTH(Metrics!$B$5), DAY(Metrics!$B$5))</f>
        <v>42979</v>
      </c>
      <c r="Q43" s="16">
        <f t="shared" si="0"/>
        <v>2017</v>
      </c>
    </row>
    <row r="44" spans="4:17" ht="16" x14ac:dyDescent="0.2">
      <c r="D44" s="10">
        <v>2015</v>
      </c>
      <c r="E44" s="7" t="s">
        <v>11</v>
      </c>
      <c r="F44" s="4">
        <v>1681</v>
      </c>
      <c r="G44" s="9" t="s">
        <v>37</v>
      </c>
      <c r="H44" s="10">
        <v>5761</v>
      </c>
      <c r="I44" s="7" t="s">
        <v>22</v>
      </c>
      <c r="M44" s="12">
        <v>2015</v>
      </c>
      <c r="N44" s="13" t="s">
        <v>11</v>
      </c>
      <c r="O44" s="16" t="str">
        <f>TEXT(VLOOKUP(M44, News!A:C, 3, FALSE), "M/D/YYYY")</f>
        <v>8/18/2017</v>
      </c>
      <c r="P44" s="18">
        <f>DATE(YEAR(O44),MONTH(Metrics!$B$5), DAY(Metrics!$B$5))</f>
        <v>42979</v>
      </c>
      <c r="Q44" s="16">
        <f t="shared" si="0"/>
        <v>2017</v>
      </c>
    </row>
    <row r="45" spans="4:17" ht="16" x14ac:dyDescent="0.2">
      <c r="D45" s="10">
        <v>2032</v>
      </c>
      <c r="E45" s="7" t="s">
        <v>11</v>
      </c>
      <c r="F45" s="4">
        <v>1698</v>
      </c>
      <c r="G45" s="9" t="s">
        <v>37</v>
      </c>
      <c r="H45" s="10">
        <v>5904</v>
      </c>
      <c r="I45" s="7" t="s">
        <v>22</v>
      </c>
      <c r="M45" s="12">
        <v>2032</v>
      </c>
      <c r="N45" s="13" t="s">
        <v>11</v>
      </c>
      <c r="O45" s="16" t="str">
        <f>TEXT(VLOOKUP(M45, News!A:C, 3, FALSE), "M/D/YYYY")</f>
        <v>7/31/2017</v>
      </c>
      <c r="P45" s="18">
        <f>DATE(YEAR(O45),MONTH(Metrics!$B$5), DAY(Metrics!$B$5))</f>
        <v>42979</v>
      </c>
      <c r="Q45" s="16">
        <f t="shared" si="0"/>
        <v>2017</v>
      </c>
    </row>
    <row r="46" spans="4:17" ht="16" x14ac:dyDescent="0.2">
      <c r="D46" s="10">
        <v>2034</v>
      </c>
      <c r="E46" s="7" t="s">
        <v>11</v>
      </c>
      <c r="F46" s="4">
        <v>1950</v>
      </c>
      <c r="G46" s="9" t="s">
        <v>37</v>
      </c>
      <c r="H46" s="10">
        <v>5939</v>
      </c>
      <c r="I46" s="7" t="s">
        <v>22</v>
      </c>
      <c r="M46" s="12">
        <v>2034</v>
      </c>
      <c r="N46" s="13" t="s">
        <v>11</v>
      </c>
      <c r="O46" s="16" t="str">
        <f>TEXT(VLOOKUP(M46, News!A:C, 3, FALSE), "M/D/YYYY")</f>
        <v>7/30/2017</v>
      </c>
      <c r="P46" s="18">
        <f>DATE(YEAR(O46),MONTH(Metrics!$B$5), DAY(Metrics!$B$5))</f>
        <v>42979</v>
      </c>
      <c r="Q46" s="16">
        <f t="shared" si="0"/>
        <v>2017</v>
      </c>
    </row>
    <row r="47" spans="4:17" ht="16" x14ac:dyDescent="0.2">
      <c r="D47" s="10">
        <v>2089</v>
      </c>
      <c r="E47" s="7" t="s">
        <v>11</v>
      </c>
      <c r="F47" s="4">
        <v>2111</v>
      </c>
      <c r="G47" s="9" t="s">
        <v>37</v>
      </c>
      <c r="H47" s="10">
        <v>5979</v>
      </c>
      <c r="I47" s="7" t="s">
        <v>22</v>
      </c>
      <c r="M47" s="12">
        <v>2089</v>
      </c>
      <c r="N47" s="13" t="s">
        <v>11</v>
      </c>
      <c r="O47" s="16" t="str">
        <f>TEXT(VLOOKUP(M47, News!A:C, 3, FALSE), "M/D/YYYY")</f>
        <v>7/1/2017</v>
      </c>
      <c r="P47" s="18">
        <f>DATE(YEAR(O47),MONTH(Metrics!$B$5), DAY(Metrics!$B$5))</f>
        <v>42979</v>
      </c>
      <c r="Q47" s="16">
        <f t="shared" si="0"/>
        <v>2017</v>
      </c>
    </row>
    <row r="48" spans="4:17" ht="16" x14ac:dyDescent="0.2">
      <c r="D48" s="10">
        <v>2201</v>
      </c>
      <c r="E48" s="7" t="s">
        <v>11</v>
      </c>
      <c r="F48" s="4">
        <v>2321</v>
      </c>
      <c r="G48" s="9" t="s">
        <v>37</v>
      </c>
      <c r="H48" s="10">
        <v>6073</v>
      </c>
      <c r="I48" s="7" t="s">
        <v>22</v>
      </c>
      <c r="M48" s="12">
        <v>2201</v>
      </c>
      <c r="N48" s="13" t="s">
        <v>11</v>
      </c>
      <c r="O48" s="16" t="str">
        <f>TEXT(VLOOKUP(M48, News!A:C, 3, FALSE), "M/D/YYYY")</f>
        <v>6/10/2017</v>
      </c>
      <c r="P48" s="18">
        <f>DATE(YEAR(O48),MONTH(Metrics!$B$5), DAY(Metrics!$B$5))</f>
        <v>42979</v>
      </c>
      <c r="Q48" s="16">
        <f t="shared" si="0"/>
        <v>2017</v>
      </c>
    </row>
    <row r="49" spans="4:17" ht="16" x14ac:dyDescent="0.2">
      <c r="D49" s="10">
        <v>2203</v>
      </c>
      <c r="E49" s="7" t="s">
        <v>11</v>
      </c>
      <c r="F49" s="4">
        <v>2437</v>
      </c>
      <c r="G49" s="9" t="s">
        <v>37</v>
      </c>
      <c r="H49" s="10">
        <v>6264</v>
      </c>
      <c r="I49" s="7" t="s">
        <v>22</v>
      </c>
      <c r="M49" s="12">
        <v>2203</v>
      </c>
      <c r="N49" s="13" t="s">
        <v>11</v>
      </c>
      <c r="O49" s="16" t="str">
        <f>TEXT(VLOOKUP(M49, News!A:C, 3, FALSE), "M/D/YYYY")</f>
        <v>6/3/2017</v>
      </c>
      <c r="P49" s="18">
        <f>DATE(YEAR(O49),MONTH(Metrics!$B$5), DAY(Metrics!$B$5))</f>
        <v>42979</v>
      </c>
      <c r="Q49" s="16">
        <f t="shared" si="0"/>
        <v>2017</v>
      </c>
    </row>
    <row r="50" spans="4:17" ht="16" x14ac:dyDescent="0.2">
      <c r="D50" s="10">
        <v>2210</v>
      </c>
      <c r="E50" s="7" t="s">
        <v>11</v>
      </c>
      <c r="F50" s="4">
        <v>2451</v>
      </c>
      <c r="G50" s="9" t="s">
        <v>37</v>
      </c>
      <c r="H50" s="10">
        <v>6267</v>
      </c>
      <c r="I50" s="7" t="s">
        <v>22</v>
      </c>
      <c r="M50" s="12">
        <v>2210</v>
      </c>
      <c r="N50" s="13" t="s">
        <v>11</v>
      </c>
      <c r="O50" s="16" t="str">
        <f>TEXT(VLOOKUP(M50, News!A:C, 3, FALSE), "M/D/YYYY")</f>
        <v>5/30/2017</v>
      </c>
      <c r="P50" s="18">
        <f>DATE(YEAR(O50),MONTH(Metrics!$B$5), DAY(Metrics!$B$5))</f>
        <v>42979</v>
      </c>
      <c r="Q50" s="16">
        <f t="shared" si="0"/>
        <v>2017</v>
      </c>
    </row>
    <row r="51" spans="4:17" ht="16" x14ac:dyDescent="0.2">
      <c r="D51" s="10">
        <v>2213</v>
      </c>
      <c r="E51" s="7" t="s">
        <v>11</v>
      </c>
      <c r="F51" s="4">
        <v>2519</v>
      </c>
      <c r="G51" s="9" t="s">
        <v>37</v>
      </c>
      <c r="H51" s="10">
        <v>6326</v>
      </c>
      <c r="I51" s="7" t="s">
        <v>22</v>
      </c>
      <c r="M51" s="12">
        <v>2213</v>
      </c>
      <c r="N51" s="13" t="s">
        <v>11</v>
      </c>
      <c r="O51" s="16" t="str">
        <f>TEXT(VLOOKUP(M51, News!A:C, 3, FALSE), "M/D/YYYY")</f>
        <v>5/23/2017</v>
      </c>
      <c r="P51" s="18">
        <f>DATE(YEAR(O51),MONTH(Metrics!$B$5), DAY(Metrics!$B$5))</f>
        <v>42979</v>
      </c>
      <c r="Q51" s="16">
        <f t="shared" si="0"/>
        <v>2017</v>
      </c>
    </row>
    <row r="52" spans="4:17" ht="16" x14ac:dyDescent="0.2">
      <c r="D52" s="10">
        <v>2305</v>
      </c>
      <c r="E52" s="7" t="s">
        <v>11</v>
      </c>
      <c r="F52" s="4">
        <v>2523</v>
      </c>
      <c r="G52" s="9" t="s">
        <v>37</v>
      </c>
      <c r="H52" s="10">
        <v>6553</v>
      </c>
      <c r="I52" s="7" t="s">
        <v>22</v>
      </c>
      <c r="M52" s="12">
        <v>2305</v>
      </c>
      <c r="N52" s="13" t="s">
        <v>11</v>
      </c>
      <c r="O52" s="16" t="str">
        <f>TEXT(VLOOKUP(M52, News!A:C, 3, FALSE), "M/D/YYYY")</f>
        <v>5/19/2017</v>
      </c>
      <c r="P52" s="18">
        <f>DATE(YEAR(O52),MONTH(Metrics!$B$5), DAY(Metrics!$B$5))</f>
        <v>42979</v>
      </c>
      <c r="Q52" s="16">
        <f t="shared" si="0"/>
        <v>2017</v>
      </c>
    </row>
    <row r="53" spans="4:17" ht="16" x14ac:dyDescent="0.2">
      <c r="D53" s="10">
        <v>2306</v>
      </c>
      <c r="E53" s="7" t="s">
        <v>11</v>
      </c>
      <c r="F53" s="4">
        <v>2642</v>
      </c>
      <c r="G53" s="9" t="s">
        <v>37</v>
      </c>
      <c r="H53" s="10">
        <v>6747</v>
      </c>
      <c r="I53" s="7" t="s">
        <v>22</v>
      </c>
      <c r="M53" s="12">
        <v>2306</v>
      </c>
      <c r="N53" s="13" t="s">
        <v>11</v>
      </c>
      <c r="O53" s="16" t="str">
        <f>TEXT(VLOOKUP(M53, News!A:C, 3, FALSE), "M/D/YYYY")</f>
        <v>5/18/2017</v>
      </c>
      <c r="P53" s="18">
        <f>DATE(YEAR(O53),MONTH(Metrics!$B$5), DAY(Metrics!$B$5))</f>
        <v>42979</v>
      </c>
      <c r="Q53" s="16">
        <f t="shared" si="0"/>
        <v>2017</v>
      </c>
    </row>
    <row r="54" spans="4:17" ht="16" x14ac:dyDescent="0.2">
      <c r="D54" s="10">
        <v>2323</v>
      </c>
      <c r="E54" s="7" t="s">
        <v>11</v>
      </c>
      <c r="F54" s="4">
        <v>2819</v>
      </c>
      <c r="G54" s="9" t="s">
        <v>37</v>
      </c>
      <c r="H54" s="10">
        <v>6776</v>
      </c>
      <c r="I54" s="7" t="s">
        <v>22</v>
      </c>
      <c r="M54" s="12">
        <v>2323</v>
      </c>
      <c r="N54" s="13" t="s">
        <v>11</v>
      </c>
      <c r="O54" s="16" t="str">
        <f>TEXT(VLOOKUP(M54, News!A:C, 3, FALSE), "M/D/YYYY")</f>
        <v>5/3/2017</v>
      </c>
      <c r="P54" s="18">
        <f>DATE(YEAR(O54),MONTH(Metrics!$B$5), DAY(Metrics!$B$5))</f>
        <v>42979</v>
      </c>
      <c r="Q54" s="16">
        <f t="shared" si="0"/>
        <v>2017</v>
      </c>
    </row>
    <row r="55" spans="4:17" ht="16" x14ac:dyDescent="0.2">
      <c r="D55" s="10">
        <v>2341</v>
      </c>
      <c r="E55" s="7" t="s">
        <v>11</v>
      </c>
      <c r="F55" s="4">
        <v>3002</v>
      </c>
      <c r="G55" s="9" t="s">
        <v>37</v>
      </c>
      <c r="H55" s="10">
        <v>6828</v>
      </c>
      <c r="I55" s="7" t="s">
        <v>22</v>
      </c>
      <c r="M55" s="12">
        <v>2341</v>
      </c>
      <c r="N55" s="13" t="s">
        <v>11</v>
      </c>
      <c r="O55" s="16" t="str">
        <f>TEXT(VLOOKUP(M55, News!A:C, 3, FALSE), "M/D/YYYY")</f>
        <v>4/28/2017</v>
      </c>
      <c r="P55" s="18">
        <f>DATE(YEAR(O55),MONTH(Metrics!$B$5), DAY(Metrics!$B$5))</f>
        <v>42979</v>
      </c>
      <c r="Q55" s="16">
        <f t="shared" si="0"/>
        <v>2017</v>
      </c>
    </row>
    <row r="56" spans="4:17" ht="16" x14ac:dyDescent="0.2">
      <c r="D56" s="10">
        <v>2343</v>
      </c>
      <c r="E56" s="7" t="s">
        <v>11</v>
      </c>
      <c r="F56" s="4">
        <v>3208</v>
      </c>
      <c r="G56" s="9" t="s">
        <v>37</v>
      </c>
      <c r="H56" s="10">
        <v>6871</v>
      </c>
      <c r="I56" s="7" t="s">
        <v>22</v>
      </c>
      <c r="M56" s="12">
        <v>2343</v>
      </c>
      <c r="N56" s="13" t="s">
        <v>11</v>
      </c>
      <c r="O56" s="16" t="str">
        <f>TEXT(VLOOKUP(M56, News!A:C, 3, FALSE), "M/D/YYYY")</f>
        <v>4/27/2017</v>
      </c>
      <c r="P56" s="18">
        <f>DATE(YEAR(O56),MONTH(Metrics!$B$5), DAY(Metrics!$B$5))</f>
        <v>42979</v>
      </c>
      <c r="Q56" s="16">
        <f t="shared" si="0"/>
        <v>2017</v>
      </c>
    </row>
    <row r="57" spans="4:17" ht="16" x14ac:dyDescent="0.2">
      <c r="D57" s="10">
        <v>2344</v>
      </c>
      <c r="E57" s="7" t="s">
        <v>11</v>
      </c>
      <c r="F57" s="4">
        <v>3316</v>
      </c>
      <c r="G57" s="9" t="s">
        <v>37</v>
      </c>
      <c r="H57" s="10">
        <v>6885</v>
      </c>
      <c r="I57" s="7" t="s">
        <v>22</v>
      </c>
      <c r="M57" s="12">
        <v>2344</v>
      </c>
      <c r="N57" s="13" t="s">
        <v>11</v>
      </c>
      <c r="O57" s="16" t="str">
        <f>TEXT(VLOOKUP(M57, News!A:C, 3, FALSE), "M/D/YYYY")</f>
        <v>3/17/2017</v>
      </c>
      <c r="P57" s="18">
        <f>DATE(YEAR(O57),MONTH(Metrics!$B$5), DAY(Metrics!$B$5))</f>
        <v>42979</v>
      </c>
      <c r="Q57" s="16">
        <f t="shared" si="0"/>
        <v>2017</v>
      </c>
    </row>
    <row r="58" spans="4:17" ht="16" x14ac:dyDescent="0.2">
      <c r="D58" s="10">
        <v>2408</v>
      </c>
      <c r="E58" s="7" t="s">
        <v>11</v>
      </c>
      <c r="F58" s="4">
        <v>3376</v>
      </c>
      <c r="G58" s="9" t="s">
        <v>37</v>
      </c>
      <c r="H58" s="10">
        <v>6944</v>
      </c>
      <c r="I58" s="7" t="s">
        <v>22</v>
      </c>
      <c r="M58" s="12">
        <v>2408</v>
      </c>
      <c r="N58" s="13" t="s">
        <v>11</v>
      </c>
      <c r="O58" s="16" t="str">
        <f>TEXT(VLOOKUP(M58, News!A:C, 3, FALSE), "M/D/YYYY")</f>
        <v>11/12/2018</v>
      </c>
      <c r="P58" s="18">
        <f>DATE(YEAR(O58),MONTH(Metrics!$B$5), DAY(Metrics!$B$5))</f>
        <v>43344</v>
      </c>
      <c r="Q58" s="16">
        <f t="shared" si="0"/>
        <v>2019</v>
      </c>
    </row>
    <row r="59" spans="4:17" ht="16" x14ac:dyDescent="0.2">
      <c r="D59" s="10">
        <v>2439</v>
      </c>
      <c r="E59" s="7" t="s">
        <v>11</v>
      </c>
      <c r="F59" s="4">
        <v>3507</v>
      </c>
      <c r="G59" s="9" t="s">
        <v>37</v>
      </c>
      <c r="H59" s="10">
        <v>7223</v>
      </c>
      <c r="I59" s="7" t="s">
        <v>22</v>
      </c>
      <c r="M59" s="12">
        <v>2439</v>
      </c>
      <c r="N59" s="13" t="s">
        <v>11</v>
      </c>
      <c r="O59" s="16" t="str">
        <f>TEXT(VLOOKUP(M59, News!A:C, 3, FALSE), "M/D/YYYY")</f>
        <v>3/13/2017</v>
      </c>
      <c r="P59" s="18">
        <f>DATE(YEAR(O59),MONTH(Metrics!$B$5), DAY(Metrics!$B$5))</f>
        <v>42979</v>
      </c>
      <c r="Q59" s="16">
        <f t="shared" si="0"/>
        <v>2017</v>
      </c>
    </row>
    <row r="60" spans="4:17" ht="16" x14ac:dyDescent="0.2">
      <c r="D60" s="10">
        <v>2442</v>
      </c>
      <c r="E60" s="7" t="s">
        <v>11</v>
      </c>
      <c r="F60" s="4">
        <v>3549</v>
      </c>
      <c r="G60" s="9" t="s">
        <v>37</v>
      </c>
      <c r="H60" s="10">
        <v>7265</v>
      </c>
      <c r="I60" s="7" t="s">
        <v>22</v>
      </c>
      <c r="M60" s="12">
        <v>2442</v>
      </c>
      <c r="N60" s="13" t="s">
        <v>11</v>
      </c>
      <c r="O60" s="16" t="str">
        <f>TEXT(VLOOKUP(M60, News!A:C, 3, FALSE), "M/D/YYYY")</f>
        <v>3/12/2017</v>
      </c>
      <c r="P60" s="18">
        <f>DATE(YEAR(O60),MONTH(Metrics!$B$5), DAY(Metrics!$B$5))</f>
        <v>42979</v>
      </c>
      <c r="Q60" s="16">
        <f t="shared" si="0"/>
        <v>2017</v>
      </c>
    </row>
    <row r="61" spans="4:17" ht="16" x14ac:dyDescent="0.2">
      <c r="D61" s="10">
        <v>2444</v>
      </c>
      <c r="E61" s="7" t="s">
        <v>11</v>
      </c>
      <c r="F61" s="4">
        <v>3634</v>
      </c>
      <c r="G61" s="9" t="s">
        <v>37</v>
      </c>
      <c r="H61" s="10">
        <v>7285</v>
      </c>
      <c r="I61" s="7" t="s">
        <v>22</v>
      </c>
      <c r="M61" s="12">
        <v>2444</v>
      </c>
      <c r="N61" s="13" t="s">
        <v>11</v>
      </c>
      <c r="O61" s="16" t="str">
        <f>TEXT(VLOOKUP(M61, News!A:C, 3, FALSE), "M/D/YYYY")</f>
        <v>3/2/2017</v>
      </c>
      <c r="P61" s="18">
        <f>DATE(YEAR(O61),MONTH(Metrics!$B$5), DAY(Metrics!$B$5))</f>
        <v>42979</v>
      </c>
      <c r="Q61" s="16">
        <f t="shared" si="0"/>
        <v>2017</v>
      </c>
    </row>
    <row r="62" spans="4:17" ht="16" x14ac:dyDescent="0.2">
      <c r="D62" s="10">
        <v>2515</v>
      </c>
      <c r="E62" s="7" t="s">
        <v>11</v>
      </c>
      <c r="F62" s="4">
        <v>3717</v>
      </c>
      <c r="G62" s="9" t="s">
        <v>37</v>
      </c>
      <c r="H62" s="10">
        <v>7325</v>
      </c>
      <c r="I62" s="7" t="s">
        <v>22</v>
      </c>
      <c r="M62" s="12">
        <v>2515</v>
      </c>
      <c r="N62" s="13" t="s">
        <v>11</v>
      </c>
      <c r="O62" s="16" t="str">
        <f>TEXT(VLOOKUP(M62, News!A:C, 3, FALSE), "M/D/YYYY")</f>
        <v>2/25/2017</v>
      </c>
      <c r="P62" s="18">
        <f>DATE(YEAR(O62),MONTH(Metrics!$B$5), DAY(Metrics!$B$5))</f>
        <v>42979</v>
      </c>
      <c r="Q62" s="16">
        <f t="shared" si="0"/>
        <v>2017</v>
      </c>
    </row>
    <row r="63" spans="4:17" ht="16" x14ac:dyDescent="0.2">
      <c r="D63" s="10">
        <v>2521</v>
      </c>
      <c r="E63" s="7" t="s">
        <v>11</v>
      </c>
      <c r="F63" s="4">
        <v>3724</v>
      </c>
      <c r="G63" s="9" t="s">
        <v>37</v>
      </c>
      <c r="H63" s="10">
        <v>7359</v>
      </c>
      <c r="I63" s="7" t="s">
        <v>22</v>
      </c>
      <c r="M63" s="12">
        <v>2521</v>
      </c>
      <c r="N63" s="13" t="s">
        <v>11</v>
      </c>
      <c r="O63" s="16" t="str">
        <f>TEXT(VLOOKUP(M63, News!A:C, 3, FALSE), "M/D/YYYY")</f>
        <v>1/30/2017</v>
      </c>
      <c r="P63" s="18">
        <f>DATE(YEAR(O63),MONTH(Metrics!$B$5), DAY(Metrics!$B$5))</f>
        <v>42979</v>
      </c>
      <c r="Q63" s="16">
        <f t="shared" si="0"/>
        <v>2017</v>
      </c>
    </row>
    <row r="64" spans="4:17" ht="16" x14ac:dyDescent="0.2">
      <c r="D64" s="10">
        <v>2525</v>
      </c>
      <c r="E64" s="7" t="s">
        <v>11</v>
      </c>
      <c r="F64" s="4">
        <v>3737</v>
      </c>
      <c r="G64" s="9" t="s">
        <v>37</v>
      </c>
      <c r="H64" s="10">
        <v>7449</v>
      </c>
      <c r="I64" s="7" t="s">
        <v>22</v>
      </c>
      <c r="M64" s="12">
        <v>2525</v>
      </c>
      <c r="N64" s="13" t="s">
        <v>11</v>
      </c>
      <c r="O64" s="16" t="str">
        <f>TEXT(VLOOKUP(M64, News!A:C, 3, FALSE), "M/D/YYYY")</f>
        <v>1/28/2017</v>
      </c>
      <c r="P64" s="18">
        <f>DATE(YEAR(O64),MONTH(Metrics!$B$5), DAY(Metrics!$B$5))</f>
        <v>42979</v>
      </c>
      <c r="Q64" s="16">
        <f t="shared" si="0"/>
        <v>2017</v>
      </c>
    </row>
    <row r="65" spans="4:17" ht="16" x14ac:dyDescent="0.2">
      <c r="D65" s="10">
        <v>2536</v>
      </c>
      <c r="E65" s="7" t="s">
        <v>11</v>
      </c>
      <c r="F65" s="4">
        <v>3815</v>
      </c>
      <c r="G65" s="9" t="s">
        <v>37</v>
      </c>
      <c r="H65" s="10">
        <v>7744</v>
      </c>
      <c r="I65" s="7" t="s">
        <v>22</v>
      </c>
      <c r="M65" s="12">
        <v>2536</v>
      </c>
      <c r="N65" s="13" t="s">
        <v>11</v>
      </c>
      <c r="O65" s="16" t="str">
        <f>TEXT(VLOOKUP(M65, News!A:C, 3, FALSE), "M/D/YYYY")</f>
        <v>1/27/2017</v>
      </c>
      <c r="P65" s="18">
        <f>DATE(YEAR(O65),MONTH(Metrics!$B$5), DAY(Metrics!$B$5))</f>
        <v>42979</v>
      </c>
      <c r="Q65" s="16">
        <f t="shared" si="0"/>
        <v>2017</v>
      </c>
    </row>
    <row r="66" spans="4:17" ht="16" x14ac:dyDescent="0.2">
      <c r="D66" s="10">
        <v>2551</v>
      </c>
      <c r="E66" s="7" t="s">
        <v>11</v>
      </c>
      <c r="F66" s="4">
        <v>3856</v>
      </c>
      <c r="G66" s="9" t="s">
        <v>37</v>
      </c>
      <c r="H66" s="10">
        <v>7768</v>
      </c>
      <c r="I66" s="7" t="s">
        <v>22</v>
      </c>
      <c r="M66" s="12">
        <v>2551</v>
      </c>
      <c r="N66" s="13" t="s">
        <v>11</v>
      </c>
      <c r="O66" s="16" t="str">
        <f>TEXT(VLOOKUP(M66, News!A:C, 3, FALSE), "M/D/YYYY")</f>
        <v>1/1/2017</v>
      </c>
      <c r="P66" s="18">
        <f>DATE(YEAR(O66),MONTH(Metrics!$B$5), DAY(Metrics!$B$5))</f>
        <v>42979</v>
      </c>
      <c r="Q66" s="16">
        <f t="shared" si="0"/>
        <v>2017</v>
      </c>
    </row>
    <row r="67" spans="4:17" ht="16" x14ac:dyDescent="0.2">
      <c r="D67" s="10">
        <v>2825</v>
      </c>
      <c r="E67" s="7" t="s">
        <v>11</v>
      </c>
      <c r="F67" s="4">
        <v>3868</v>
      </c>
      <c r="G67" s="9" t="s">
        <v>37</v>
      </c>
      <c r="H67" s="10">
        <v>7918</v>
      </c>
      <c r="I67" s="7" t="s">
        <v>22</v>
      </c>
      <c r="M67" s="12">
        <v>2825</v>
      </c>
      <c r="N67" s="13" t="s">
        <v>11</v>
      </c>
      <c r="O67" s="16" t="str">
        <f>TEXT(VLOOKUP(M67, News!A:C, 3, FALSE), "M/D/YYYY")</f>
        <v>12/29/2016</v>
      </c>
      <c r="P67" s="18">
        <f>DATE(YEAR(O67),MONTH(Metrics!$B$5), DAY(Metrics!$B$5))</f>
        <v>42614</v>
      </c>
      <c r="Q67" s="16">
        <f t="shared" ref="Q67:Q130" si="1">IF(MONTH(O67) &gt;= MONTH(P67), YEAR(O67)+1, YEAR(O67))</f>
        <v>2017</v>
      </c>
    </row>
    <row r="68" spans="4:17" ht="16" x14ac:dyDescent="0.2">
      <c r="D68" s="10">
        <v>2829</v>
      </c>
      <c r="E68" s="7" t="s">
        <v>11</v>
      </c>
      <c r="F68" s="4">
        <v>3934</v>
      </c>
      <c r="G68" s="9" t="s">
        <v>37</v>
      </c>
      <c r="H68" s="10">
        <v>7996</v>
      </c>
      <c r="I68" s="7" t="s">
        <v>22</v>
      </c>
      <c r="M68" s="12">
        <v>2829</v>
      </c>
      <c r="N68" s="13" t="s">
        <v>11</v>
      </c>
      <c r="O68" s="16" t="str">
        <f>TEXT(VLOOKUP(M68, News!A:C, 3, FALSE), "M/D/YYYY")</f>
        <v>12/15/2016</v>
      </c>
      <c r="P68" s="18">
        <f>DATE(YEAR(O68),MONTH(Metrics!$B$5), DAY(Metrics!$B$5))</f>
        <v>42614</v>
      </c>
      <c r="Q68" s="16">
        <f t="shared" si="1"/>
        <v>2017</v>
      </c>
    </row>
    <row r="69" spans="4:17" ht="16" x14ac:dyDescent="0.2">
      <c r="D69" s="10">
        <v>2996</v>
      </c>
      <c r="E69" s="7" t="s">
        <v>11</v>
      </c>
      <c r="F69" s="4">
        <v>4096</v>
      </c>
      <c r="G69" s="9" t="s">
        <v>37</v>
      </c>
      <c r="H69" s="10">
        <v>8131</v>
      </c>
      <c r="I69" s="7" t="s">
        <v>22</v>
      </c>
      <c r="M69" s="12">
        <v>2996</v>
      </c>
      <c r="N69" s="13" t="s">
        <v>11</v>
      </c>
      <c r="O69" s="16" t="str">
        <f>TEXT(VLOOKUP(M69, News!A:C, 3, FALSE), "M/D/YYYY")</f>
        <v>11/29/2016</v>
      </c>
      <c r="P69" s="18">
        <f>DATE(YEAR(O69),MONTH(Metrics!$B$5), DAY(Metrics!$B$5))</f>
        <v>42614</v>
      </c>
      <c r="Q69" s="16">
        <f t="shared" si="1"/>
        <v>2017</v>
      </c>
    </row>
    <row r="70" spans="4:17" ht="16" x14ac:dyDescent="0.2">
      <c r="D70" s="10">
        <v>3000</v>
      </c>
      <c r="E70" s="7" t="s">
        <v>11</v>
      </c>
      <c r="F70" s="4">
        <v>4100</v>
      </c>
      <c r="G70" s="9" t="s">
        <v>37</v>
      </c>
      <c r="H70" s="10">
        <v>8247</v>
      </c>
      <c r="I70" s="7" t="s">
        <v>22</v>
      </c>
      <c r="M70" s="12">
        <v>3000</v>
      </c>
      <c r="N70" s="13" t="s">
        <v>11</v>
      </c>
      <c r="O70" s="16" t="str">
        <f>TEXT(VLOOKUP(M70, News!A:C, 3, FALSE), "M/D/YYYY")</f>
        <v>11/27/2016</v>
      </c>
      <c r="P70" s="18">
        <f>DATE(YEAR(O70),MONTH(Metrics!$B$5), DAY(Metrics!$B$5))</f>
        <v>42614</v>
      </c>
      <c r="Q70" s="16">
        <f t="shared" si="1"/>
        <v>2017</v>
      </c>
    </row>
    <row r="71" spans="4:17" ht="16" x14ac:dyDescent="0.2">
      <c r="D71" s="10">
        <v>3003</v>
      </c>
      <c r="E71" s="7" t="s">
        <v>11</v>
      </c>
      <c r="F71" s="4">
        <v>4127</v>
      </c>
      <c r="G71" s="9" t="s">
        <v>37</v>
      </c>
      <c r="H71" s="10">
        <v>8250</v>
      </c>
      <c r="I71" s="7" t="s">
        <v>22</v>
      </c>
      <c r="M71" s="12">
        <v>3003</v>
      </c>
      <c r="N71" s="13" t="s">
        <v>11</v>
      </c>
      <c r="O71" s="16" t="str">
        <f>TEXT(VLOOKUP(M71, News!A:C, 3, FALSE), "M/D/YYYY")</f>
        <v>11/1/2016</v>
      </c>
      <c r="P71" s="18">
        <f>DATE(YEAR(O71),MONTH(Metrics!$B$5), DAY(Metrics!$B$5))</f>
        <v>42614</v>
      </c>
      <c r="Q71" s="16">
        <f t="shared" si="1"/>
        <v>2017</v>
      </c>
    </row>
    <row r="72" spans="4:17" ht="16" x14ac:dyDescent="0.2">
      <c r="D72" s="10">
        <v>3005</v>
      </c>
      <c r="E72" s="7" t="s">
        <v>11</v>
      </c>
      <c r="F72" s="4">
        <v>4167</v>
      </c>
      <c r="G72" s="9" t="s">
        <v>37</v>
      </c>
      <c r="H72" s="10">
        <v>1372</v>
      </c>
      <c r="I72" s="7" t="s">
        <v>22</v>
      </c>
      <c r="M72" s="12">
        <v>3005</v>
      </c>
      <c r="N72" s="13" t="s">
        <v>11</v>
      </c>
      <c r="O72" s="16" t="str">
        <f>TEXT(VLOOKUP(M72, News!A:C, 3, FALSE), "M/D/YYYY")</f>
        <v>10/31/2016</v>
      </c>
      <c r="P72" s="18">
        <f>DATE(YEAR(O72),MONTH(Metrics!$B$5), DAY(Metrics!$B$5))</f>
        <v>42614</v>
      </c>
      <c r="Q72" s="16">
        <f t="shared" si="1"/>
        <v>2017</v>
      </c>
    </row>
    <row r="73" spans="4:17" ht="16" x14ac:dyDescent="0.2">
      <c r="D73" s="10">
        <v>3007</v>
      </c>
      <c r="E73" s="7" t="s">
        <v>11</v>
      </c>
      <c r="F73" s="4">
        <v>4170</v>
      </c>
      <c r="G73" s="9" t="s">
        <v>37</v>
      </c>
      <c r="H73" s="10">
        <v>2338</v>
      </c>
      <c r="I73" s="7" t="s">
        <v>22</v>
      </c>
      <c r="M73" s="12">
        <v>3007</v>
      </c>
      <c r="N73" s="13" t="s">
        <v>11</v>
      </c>
      <c r="O73" s="16" t="str">
        <f>TEXT(VLOOKUP(M73, News!A:C, 3, FALSE), "M/D/YYYY")</f>
        <v>10/30/2016</v>
      </c>
      <c r="P73" s="18">
        <f>DATE(YEAR(O73),MONTH(Metrics!$B$5), DAY(Metrics!$B$5))</f>
        <v>42614</v>
      </c>
      <c r="Q73" s="16">
        <f t="shared" si="1"/>
        <v>2017</v>
      </c>
    </row>
    <row r="74" spans="4:17" ht="16" x14ac:dyDescent="0.2">
      <c r="D74" s="10">
        <v>3062</v>
      </c>
      <c r="E74" s="7" t="s">
        <v>11</v>
      </c>
      <c r="F74" s="4">
        <v>4172</v>
      </c>
      <c r="G74" s="9" t="s">
        <v>37</v>
      </c>
      <c r="H74" s="10">
        <v>2989</v>
      </c>
      <c r="I74" s="7" t="s">
        <v>22</v>
      </c>
      <c r="M74" s="12">
        <v>3062</v>
      </c>
      <c r="N74" s="13" t="s">
        <v>11</v>
      </c>
      <c r="O74" s="16" t="str">
        <f>TEXT(VLOOKUP(M74, News!A:C, 3, FALSE), "M/D/YYYY")</f>
        <v>10/3/2016</v>
      </c>
      <c r="P74" s="18">
        <f>DATE(YEAR(O74),MONTH(Metrics!$B$5), DAY(Metrics!$B$5))</f>
        <v>42614</v>
      </c>
      <c r="Q74" s="16">
        <f t="shared" si="1"/>
        <v>2017</v>
      </c>
    </row>
    <row r="75" spans="4:17" ht="16" x14ac:dyDescent="0.2">
      <c r="D75" s="10">
        <v>3063</v>
      </c>
      <c r="E75" s="7" t="s">
        <v>11</v>
      </c>
      <c r="F75" s="4">
        <v>4291</v>
      </c>
      <c r="G75" s="9" t="s">
        <v>37</v>
      </c>
      <c r="H75" s="10">
        <v>3053</v>
      </c>
      <c r="I75" s="7" t="s">
        <v>22</v>
      </c>
      <c r="M75" s="12">
        <v>3063</v>
      </c>
      <c r="N75" s="13" t="s">
        <v>11</v>
      </c>
      <c r="O75" s="16" t="str">
        <f>TEXT(VLOOKUP(M75, News!A:C, 3, FALSE), "M/D/YYYY")</f>
        <v>10/1/2016</v>
      </c>
      <c r="P75" s="18">
        <f>DATE(YEAR(O75),MONTH(Metrics!$B$5), DAY(Metrics!$B$5))</f>
        <v>42614</v>
      </c>
      <c r="Q75" s="16">
        <f t="shared" si="1"/>
        <v>2017</v>
      </c>
    </row>
    <row r="76" spans="4:17" ht="16" x14ac:dyDescent="0.2">
      <c r="D76" s="10">
        <v>3065</v>
      </c>
      <c r="E76" s="7" t="s">
        <v>11</v>
      </c>
      <c r="F76" s="4">
        <v>4336</v>
      </c>
      <c r="G76" s="9" t="s">
        <v>37</v>
      </c>
      <c r="H76" s="10">
        <v>3250</v>
      </c>
      <c r="I76" s="7" t="s">
        <v>22</v>
      </c>
      <c r="M76" s="12">
        <v>3065</v>
      </c>
      <c r="N76" s="13" t="s">
        <v>11</v>
      </c>
      <c r="O76" s="16" t="str">
        <f>TEXT(VLOOKUP(M76, News!A:C, 3, FALSE), "M/D/YYYY")</f>
        <v>9/30/2016</v>
      </c>
      <c r="P76" s="18">
        <f>DATE(YEAR(O76),MONTH(Metrics!$B$5), DAY(Metrics!$B$5))</f>
        <v>42614</v>
      </c>
      <c r="Q76" s="16">
        <f t="shared" si="1"/>
        <v>2017</v>
      </c>
    </row>
    <row r="77" spans="4:17" ht="16" x14ac:dyDescent="0.2">
      <c r="D77" s="10">
        <v>3212</v>
      </c>
      <c r="E77" s="7" t="s">
        <v>11</v>
      </c>
      <c r="F77" s="4">
        <v>4373</v>
      </c>
      <c r="G77" s="9" t="s">
        <v>37</v>
      </c>
      <c r="H77" s="10">
        <v>3332</v>
      </c>
      <c r="I77" s="7" t="s">
        <v>22</v>
      </c>
      <c r="M77" s="12">
        <v>3212</v>
      </c>
      <c r="N77" s="13" t="s">
        <v>11</v>
      </c>
      <c r="O77" s="16" t="str">
        <f>TEXT(VLOOKUP(M77, News!A:C, 3, FALSE), "M/D/YYYY")</f>
        <v>9/14/2016</v>
      </c>
      <c r="P77" s="18">
        <f>DATE(YEAR(O77),MONTH(Metrics!$B$5), DAY(Metrics!$B$5))</f>
        <v>42614</v>
      </c>
      <c r="Q77" s="16">
        <f t="shared" si="1"/>
        <v>2017</v>
      </c>
    </row>
    <row r="78" spans="4:17" ht="16" x14ac:dyDescent="0.2">
      <c r="D78" s="10">
        <v>3218</v>
      </c>
      <c r="E78" s="7" t="s">
        <v>11</v>
      </c>
      <c r="F78" s="4">
        <v>4531</v>
      </c>
      <c r="G78" s="9" t="s">
        <v>37</v>
      </c>
      <c r="H78" s="10">
        <v>3338</v>
      </c>
      <c r="I78" s="7" t="s">
        <v>22</v>
      </c>
      <c r="M78" s="12">
        <v>3218</v>
      </c>
      <c r="N78" s="13" t="s">
        <v>11</v>
      </c>
      <c r="O78" s="16" t="str">
        <f>TEXT(VLOOKUP(M78, News!A:C, 3, FALSE), "M/D/YYYY")</f>
        <v>9/13/2016</v>
      </c>
      <c r="P78" s="18">
        <f>DATE(YEAR(O78),MONTH(Metrics!$B$5), DAY(Metrics!$B$5))</f>
        <v>42614</v>
      </c>
      <c r="Q78" s="16">
        <f t="shared" si="1"/>
        <v>2017</v>
      </c>
    </row>
    <row r="79" spans="4:17" ht="16" x14ac:dyDescent="0.2">
      <c r="D79" s="10">
        <v>3224</v>
      </c>
      <c r="E79" s="7" t="s">
        <v>11</v>
      </c>
      <c r="F79" s="4">
        <v>4650</v>
      </c>
      <c r="G79" s="9" t="s">
        <v>37</v>
      </c>
      <c r="H79" s="10">
        <v>3532</v>
      </c>
      <c r="I79" s="7" t="s">
        <v>22</v>
      </c>
      <c r="M79" s="12">
        <v>3224</v>
      </c>
      <c r="N79" s="13" t="s">
        <v>11</v>
      </c>
      <c r="O79" s="16" t="str">
        <f>TEXT(VLOOKUP(M79, News!A:C, 3, FALSE), "M/D/YYYY")</f>
        <v>9/2/2016</v>
      </c>
      <c r="P79" s="18">
        <f>DATE(YEAR(O79),MONTH(Metrics!$B$5), DAY(Metrics!$B$5))</f>
        <v>42614</v>
      </c>
      <c r="Q79" s="16">
        <f t="shared" si="1"/>
        <v>2017</v>
      </c>
    </row>
    <row r="80" spans="4:17" ht="16" x14ac:dyDescent="0.2">
      <c r="D80" s="10">
        <v>3254</v>
      </c>
      <c r="E80" s="7" t="s">
        <v>11</v>
      </c>
      <c r="F80" s="4">
        <v>4656</v>
      </c>
      <c r="G80" s="9" t="s">
        <v>37</v>
      </c>
      <c r="H80" s="10">
        <v>3534</v>
      </c>
      <c r="I80" s="7" t="s">
        <v>22</v>
      </c>
      <c r="M80" s="12">
        <v>3254</v>
      </c>
      <c r="N80" s="13" t="s">
        <v>11</v>
      </c>
      <c r="O80" s="16" t="str">
        <f>TEXT(VLOOKUP(M80, News!A:C, 3, FALSE), "M/D/YYYY")</f>
        <v>12/18/2018</v>
      </c>
      <c r="P80" s="18">
        <f>DATE(YEAR(O80),MONTH(Metrics!$B$5), DAY(Metrics!$B$5))</f>
        <v>43344</v>
      </c>
      <c r="Q80" s="16">
        <f t="shared" si="1"/>
        <v>2019</v>
      </c>
    </row>
    <row r="81" spans="4:17" ht="16" x14ac:dyDescent="0.2">
      <c r="D81" s="10">
        <v>3278</v>
      </c>
      <c r="E81" s="7" t="s">
        <v>11</v>
      </c>
      <c r="F81" s="4">
        <v>4713</v>
      </c>
      <c r="G81" s="9" t="s">
        <v>37</v>
      </c>
      <c r="H81" s="10">
        <v>3537</v>
      </c>
      <c r="I81" s="7" t="s">
        <v>22</v>
      </c>
      <c r="M81" s="12">
        <v>3278</v>
      </c>
      <c r="N81" s="13" t="s">
        <v>11</v>
      </c>
      <c r="O81" s="16" t="str">
        <f>TEXT(VLOOKUP(M81, News!A:C, 3, FALSE), "M/D/YYYY")</f>
        <v>8/31/2016</v>
      </c>
      <c r="P81" s="18">
        <f>DATE(YEAR(O81),MONTH(Metrics!$B$5), DAY(Metrics!$B$5))</f>
        <v>42614</v>
      </c>
      <c r="Q81" s="16">
        <f t="shared" si="1"/>
        <v>2016</v>
      </c>
    </row>
    <row r="82" spans="4:17" ht="16" x14ac:dyDescent="0.2">
      <c r="D82" s="10">
        <v>3280</v>
      </c>
      <c r="E82" s="7" t="s">
        <v>11</v>
      </c>
      <c r="F82" s="4">
        <v>4833</v>
      </c>
      <c r="G82" s="9" t="s">
        <v>37</v>
      </c>
      <c r="H82" s="10">
        <v>3941</v>
      </c>
      <c r="I82" s="7" t="s">
        <v>22</v>
      </c>
      <c r="M82" s="12">
        <v>3280</v>
      </c>
      <c r="N82" s="13" t="s">
        <v>11</v>
      </c>
      <c r="O82" s="16" t="str">
        <f>TEXT(VLOOKUP(M82, News!A:C, 3, FALSE), "M/D/YYYY")</f>
        <v>8/30/2016</v>
      </c>
      <c r="P82" s="18">
        <f>DATE(YEAR(O82),MONTH(Metrics!$B$5), DAY(Metrics!$B$5))</f>
        <v>42614</v>
      </c>
      <c r="Q82" s="16">
        <f t="shared" si="1"/>
        <v>2016</v>
      </c>
    </row>
    <row r="83" spans="4:17" ht="16" x14ac:dyDescent="0.2">
      <c r="D83" s="10">
        <v>3301</v>
      </c>
      <c r="E83" s="7" t="s">
        <v>11</v>
      </c>
      <c r="F83" s="4">
        <v>4881</v>
      </c>
      <c r="G83" s="9" t="s">
        <v>37</v>
      </c>
      <c r="H83" s="10">
        <v>3972</v>
      </c>
      <c r="I83" s="7" t="s">
        <v>22</v>
      </c>
      <c r="M83" s="12">
        <v>3301</v>
      </c>
      <c r="N83" s="13" t="s">
        <v>11</v>
      </c>
      <c r="O83" s="16" t="str">
        <f>TEXT(VLOOKUP(M83, News!A:C, 3, FALSE), "M/D/YYYY")</f>
        <v>8/29/2016</v>
      </c>
      <c r="P83" s="18">
        <f>DATE(YEAR(O83),MONTH(Metrics!$B$5), DAY(Metrics!$B$5))</f>
        <v>42614</v>
      </c>
      <c r="Q83" s="16">
        <f t="shared" si="1"/>
        <v>2016</v>
      </c>
    </row>
    <row r="84" spans="4:17" ht="16" x14ac:dyDescent="0.2">
      <c r="D84" s="10">
        <v>3308</v>
      </c>
      <c r="E84" s="7" t="s">
        <v>11</v>
      </c>
      <c r="F84" s="4">
        <v>4889</v>
      </c>
      <c r="G84" s="9" t="s">
        <v>37</v>
      </c>
      <c r="H84" s="10">
        <v>4045</v>
      </c>
      <c r="I84" s="7" t="s">
        <v>22</v>
      </c>
      <c r="M84" s="12">
        <v>3308</v>
      </c>
      <c r="N84" s="13" t="s">
        <v>11</v>
      </c>
      <c r="O84" s="16" t="str">
        <f>TEXT(VLOOKUP(M84, News!A:C, 3, FALSE), "M/D/YYYY")</f>
        <v>8/28/2016</v>
      </c>
      <c r="P84" s="18">
        <f>DATE(YEAR(O84),MONTH(Metrics!$B$5), DAY(Metrics!$B$5))</f>
        <v>42614</v>
      </c>
      <c r="Q84" s="16">
        <f t="shared" si="1"/>
        <v>2016</v>
      </c>
    </row>
    <row r="85" spans="4:17" ht="16" x14ac:dyDescent="0.2">
      <c r="D85" s="10">
        <v>3311</v>
      </c>
      <c r="E85" s="7" t="s">
        <v>11</v>
      </c>
      <c r="F85" s="4">
        <v>4899</v>
      </c>
      <c r="G85" s="9" t="s">
        <v>37</v>
      </c>
      <c r="H85" s="10">
        <v>4048</v>
      </c>
      <c r="I85" s="7" t="s">
        <v>22</v>
      </c>
      <c r="M85" s="12">
        <v>3311</v>
      </c>
      <c r="N85" s="13" t="s">
        <v>11</v>
      </c>
      <c r="O85" s="16" t="str">
        <f>TEXT(VLOOKUP(M85, News!A:C, 3, FALSE), "M/D/YYYY")</f>
        <v>8/27/2016</v>
      </c>
      <c r="P85" s="18">
        <f>DATE(YEAR(O85),MONTH(Metrics!$B$5), DAY(Metrics!$B$5))</f>
        <v>42614</v>
      </c>
      <c r="Q85" s="16">
        <f t="shared" si="1"/>
        <v>2016</v>
      </c>
    </row>
    <row r="86" spans="4:17" ht="16" x14ac:dyDescent="0.2">
      <c r="D86" s="10">
        <v>3317</v>
      </c>
      <c r="E86" s="7" t="s">
        <v>11</v>
      </c>
      <c r="F86" s="4">
        <v>4915</v>
      </c>
      <c r="G86" s="9" t="s">
        <v>37</v>
      </c>
      <c r="H86" s="10">
        <v>4073</v>
      </c>
      <c r="I86" s="7" t="s">
        <v>22</v>
      </c>
      <c r="M86" s="12">
        <v>3317</v>
      </c>
      <c r="N86" s="13" t="s">
        <v>11</v>
      </c>
      <c r="O86" s="16" t="str">
        <f>TEXT(VLOOKUP(M86, News!A:C, 3, FALSE), "M/D/YYYY")</f>
        <v>7/14/2016</v>
      </c>
      <c r="P86" s="18">
        <f>DATE(YEAR(O86),MONTH(Metrics!$B$5), DAY(Metrics!$B$5))</f>
        <v>42614</v>
      </c>
      <c r="Q86" s="16">
        <f t="shared" si="1"/>
        <v>2016</v>
      </c>
    </row>
    <row r="87" spans="4:17" ht="16" x14ac:dyDescent="0.2">
      <c r="D87" s="10">
        <v>3329</v>
      </c>
      <c r="E87" s="7" t="s">
        <v>11</v>
      </c>
      <c r="F87" s="4">
        <v>4921</v>
      </c>
      <c r="G87" s="9" t="s">
        <v>37</v>
      </c>
      <c r="H87" s="10">
        <v>4075</v>
      </c>
      <c r="I87" s="7" t="s">
        <v>22</v>
      </c>
      <c r="M87" s="12">
        <v>3329</v>
      </c>
      <c r="N87" s="13" t="s">
        <v>11</v>
      </c>
      <c r="O87" s="16" t="str">
        <f>TEXT(VLOOKUP(M87, News!A:C, 3, FALSE), "M/D/YYYY")</f>
        <v>7/13/2016</v>
      </c>
      <c r="P87" s="18">
        <f>DATE(YEAR(O87),MONTH(Metrics!$B$5), DAY(Metrics!$B$5))</f>
        <v>42614</v>
      </c>
      <c r="Q87" s="16">
        <f t="shared" si="1"/>
        <v>2016</v>
      </c>
    </row>
    <row r="88" spans="4:17" ht="16" x14ac:dyDescent="0.2">
      <c r="D88" s="10">
        <v>3330</v>
      </c>
      <c r="E88" s="7" t="s">
        <v>11</v>
      </c>
      <c r="F88" s="4">
        <v>5578</v>
      </c>
      <c r="G88" s="9" t="s">
        <v>37</v>
      </c>
      <c r="H88" s="10">
        <v>4468</v>
      </c>
      <c r="I88" s="7" t="s">
        <v>22</v>
      </c>
      <c r="M88" s="12">
        <v>3330</v>
      </c>
      <c r="N88" s="13" t="s">
        <v>11</v>
      </c>
      <c r="O88" s="16" t="str">
        <f>TEXT(VLOOKUP(M88, News!A:C, 3, FALSE), "M/D/YYYY")</f>
        <v>7/13/2016</v>
      </c>
      <c r="P88" s="18">
        <f>DATE(YEAR(O88),MONTH(Metrics!$B$5), DAY(Metrics!$B$5))</f>
        <v>42614</v>
      </c>
      <c r="Q88" s="16">
        <f t="shared" si="1"/>
        <v>2016</v>
      </c>
    </row>
    <row r="89" spans="4:17" ht="16" x14ac:dyDescent="0.2">
      <c r="D89" s="10">
        <v>3339</v>
      </c>
      <c r="E89" s="7" t="s">
        <v>11</v>
      </c>
      <c r="F89" s="4">
        <v>5678</v>
      </c>
      <c r="G89" s="9" t="s">
        <v>37</v>
      </c>
      <c r="H89" s="10">
        <v>1361</v>
      </c>
      <c r="I89" s="7" t="s">
        <v>22</v>
      </c>
      <c r="M89" s="12">
        <v>3339</v>
      </c>
      <c r="N89" s="13" t="s">
        <v>11</v>
      </c>
      <c r="O89" s="16" t="str">
        <f>TEXT(VLOOKUP(M89, News!A:C, 3, FALSE), "M/D/YYYY")</f>
        <v>6/24/2016</v>
      </c>
      <c r="P89" s="18">
        <f>DATE(YEAR(O89),MONTH(Metrics!$B$5), DAY(Metrics!$B$5))</f>
        <v>42614</v>
      </c>
      <c r="Q89" s="16">
        <f t="shared" si="1"/>
        <v>2016</v>
      </c>
    </row>
    <row r="90" spans="4:17" ht="16" x14ac:dyDescent="0.2">
      <c r="D90" s="10">
        <v>3343</v>
      </c>
      <c r="E90" s="7" t="s">
        <v>11</v>
      </c>
      <c r="F90" s="4">
        <v>5726</v>
      </c>
      <c r="G90" s="9" t="s">
        <v>37</v>
      </c>
      <c r="H90" s="10">
        <v>2007</v>
      </c>
      <c r="I90" s="7" t="s">
        <v>22</v>
      </c>
      <c r="M90" s="12">
        <v>3343</v>
      </c>
      <c r="N90" s="13" t="s">
        <v>11</v>
      </c>
      <c r="O90" s="16" t="str">
        <f>TEXT(VLOOKUP(M90, News!A:C, 3, FALSE), "M/D/YYYY")</f>
        <v>6/1/2016</v>
      </c>
      <c r="P90" s="18">
        <f>DATE(YEAR(O90),MONTH(Metrics!$B$5), DAY(Metrics!$B$5))</f>
        <v>42614</v>
      </c>
      <c r="Q90" s="16">
        <f t="shared" si="1"/>
        <v>2016</v>
      </c>
    </row>
    <row r="91" spans="4:17" ht="16" x14ac:dyDescent="0.2">
      <c r="D91" s="10">
        <v>3345</v>
      </c>
      <c r="E91" s="7" t="s">
        <v>11</v>
      </c>
      <c r="F91" s="4">
        <v>5795</v>
      </c>
      <c r="G91" s="9" t="s">
        <v>37</v>
      </c>
      <c r="H91" s="10">
        <v>2311</v>
      </c>
      <c r="I91" s="7" t="s">
        <v>22</v>
      </c>
      <c r="M91" s="12">
        <v>3345</v>
      </c>
      <c r="N91" s="13" t="s">
        <v>11</v>
      </c>
      <c r="O91" s="16" t="str">
        <f>TEXT(VLOOKUP(M91, News!A:C, 3, FALSE), "M/D/YYYY")</f>
        <v>5/29/2016</v>
      </c>
      <c r="P91" s="18">
        <f>DATE(YEAR(O91),MONTH(Metrics!$B$5), DAY(Metrics!$B$5))</f>
        <v>42614</v>
      </c>
      <c r="Q91" s="16">
        <f t="shared" si="1"/>
        <v>2016</v>
      </c>
    </row>
    <row r="92" spans="4:17" ht="16" x14ac:dyDescent="0.2">
      <c r="D92" s="10">
        <v>3400</v>
      </c>
      <c r="E92" s="7" t="s">
        <v>11</v>
      </c>
      <c r="F92" s="4">
        <v>5842</v>
      </c>
      <c r="G92" s="9" t="s">
        <v>37</v>
      </c>
      <c r="H92" s="10">
        <v>3334</v>
      </c>
      <c r="I92" s="7" t="s">
        <v>22</v>
      </c>
      <c r="M92" s="12">
        <v>3400</v>
      </c>
      <c r="N92" s="13" t="s">
        <v>11</v>
      </c>
      <c r="O92" s="16" t="str">
        <f>TEXT(VLOOKUP(M92, News!A:C, 3, FALSE), "M/D/YYYY")</f>
        <v>5/25/2016</v>
      </c>
      <c r="P92" s="18">
        <f>DATE(YEAR(O92),MONTH(Metrics!$B$5), DAY(Metrics!$B$5))</f>
        <v>42614</v>
      </c>
      <c r="Q92" s="16">
        <f t="shared" si="1"/>
        <v>2016</v>
      </c>
    </row>
    <row r="93" spans="4:17" ht="16" x14ac:dyDescent="0.2">
      <c r="D93" s="10">
        <v>3410</v>
      </c>
      <c r="E93" s="7" t="s">
        <v>11</v>
      </c>
      <c r="F93" s="4">
        <v>5864</v>
      </c>
      <c r="G93" s="9" t="s">
        <v>37</v>
      </c>
      <c r="H93" s="10">
        <v>3336</v>
      </c>
      <c r="I93" s="7" t="s">
        <v>22</v>
      </c>
      <c r="M93" s="12">
        <v>3410</v>
      </c>
      <c r="N93" s="13" t="s">
        <v>11</v>
      </c>
      <c r="O93" s="16" t="str">
        <f>TEXT(VLOOKUP(M93, News!A:C, 3, FALSE), "M/D/YYYY")</f>
        <v>1/15/2019</v>
      </c>
      <c r="P93" s="18">
        <f>DATE(YEAR(O93),MONTH(Metrics!$B$5), DAY(Metrics!$B$5))</f>
        <v>43709</v>
      </c>
      <c r="Q93" s="16">
        <f t="shared" si="1"/>
        <v>2019</v>
      </c>
    </row>
    <row r="94" spans="4:17" ht="16" x14ac:dyDescent="0.2">
      <c r="D94" s="10">
        <v>3415</v>
      </c>
      <c r="E94" s="7" t="s">
        <v>11</v>
      </c>
      <c r="F94" s="4">
        <v>7243</v>
      </c>
      <c r="G94" s="9" t="s">
        <v>37</v>
      </c>
      <c r="H94" s="10">
        <v>3562</v>
      </c>
      <c r="I94" s="7" t="s">
        <v>22</v>
      </c>
      <c r="M94" s="12">
        <v>3415</v>
      </c>
      <c r="N94" s="13" t="s">
        <v>11</v>
      </c>
      <c r="O94" s="16" t="str">
        <f>TEXT(VLOOKUP(M94, News!A:C, 3, FALSE), "M/D/YYYY")</f>
        <v>1/20/2019</v>
      </c>
      <c r="P94" s="18">
        <f>DATE(YEAR(O94),MONTH(Metrics!$B$5), DAY(Metrics!$B$5))</f>
        <v>43709</v>
      </c>
      <c r="Q94" s="16">
        <f t="shared" si="1"/>
        <v>2019</v>
      </c>
    </row>
    <row r="95" spans="4:17" ht="16" x14ac:dyDescent="0.2">
      <c r="D95" s="10">
        <v>3421</v>
      </c>
      <c r="E95" s="7" t="s">
        <v>11</v>
      </c>
      <c r="F95" s="4">
        <v>7711</v>
      </c>
      <c r="G95" s="9" t="s">
        <v>37</v>
      </c>
      <c r="H95" s="10">
        <v>3739</v>
      </c>
      <c r="I95" s="7" t="s">
        <v>22</v>
      </c>
      <c r="M95" s="12">
        <v>3421</v>
      </c>
      <c r="N95" s="13" t="s">
        <v>11</v>
      </c>
      <c r="O95" s="16" t="str">
        <f>TEXT(VLOOKUP(M95, News!A:C, 3, FALSE), "M/D/YYYY")</f>
        <v>1/22/2019</v>
      </c>
      <c r="P95" s="18">
        <f>DATE(YEAR(O95),MONTH(Metrics!$B$5), DAY(Metrics!$B$5))</f>
        <v>43709</v>
      </c>
      <c r="Q95" s="16">
        <f t="shared" si="1"/>
        <v>2019</v>
      </c>
    </row>
    <row r="96" spans="4:17" ht="16" x14ac:dyDescent="0.2">
      <c r="D96" s="10">
        <v>3426</v>
      </c>
      <c r="E96" s="7" t="s">
        <v>11</v>
      </c>
      <c r="F96" s="4">
        <v>8015</v>
      </c>
      <c r="G96" s="9" t="s">
        <v>37</v>
      </c>
      <c r="H96" s="10">
        <v>3791</v>
      </c>
      <c r="I96" s="7" t="s">
        <v>22</v>
      </c>
      <c r="M96" s="12">
        <v>3426</v>
      </c>
      <c r="N96" s="13" t="s">
        <v>11</v>
      </c>
      <c r="O96" s="16" t="str">
        <f>TEXT(VLOOKUP(M96, News!A:C, 3, FALSE), "M/D/YYYY")</f>
        <v>5/20/2016</v>
      </c>
      <c r="P96" s="18">
        <f>DATE(YEAR(O96),MONTH(Metrics!$B$5), DAY(Metrics!$B$5))</f>
        <v>42614</v>
      </c>
      <c r="Q96" s="16">
        <f t="shared" si="1"/>
        <v>2016</v>
      </c>
    </row>
    <row r="97" spans="4:17" ht="16" x14ac:dyDescent="0.2">
      <c r="D97" s="10">
        <v>3428</v>
      </c>
      <c r="E97" s="7" t="s">
        <v>11</v>
      </c>
      <c r="F97" s="4">
        <v>1361</v>
      </c>
      <c r="G97" s="9" t="s">
        <v>37</v>
      </c>
      <c r="H97" s="10">
        <v>4008</v>
      </c>
      <c r="I97" s="7" t="s">
        <v>22</v>
      </c>
      <c r="M97" s="12">
        <v>3428</v>
      </c>
      <c r="N97" s="13" t="s">
        <v>11</v>
      </c>
      <c r="O97" s="16" t="str">
        <f>TEXT(VLOOKUP(M97, News!A:C, 3, FALSE), "M/D/YYYY")</f>
        <v>5/19/2016</v>
      </c>
      <c r="P97" s="18">
        <f>DATE(YEAR(O97),MONTH(Metrics!$B$5), DAY(Metrics!$B$5))</f>
        <v>42614</v>
      </c>
      <c r="Q97" s="16">
        <f t="shared" si="1"/>
        <v>2016</v>
      </c>
    </row>
    <row r="98" spans="4:17" ht="16" x14ac:dyDescent="0.2">
      <c r="D98" s="10">
        <v>3442</v>
      </c>
      <c r="E98" s="7" t="s">
        <v>11</v>
      </c>
      <c r="F98" s="4">
        <v>2007</v>
      </c>
      <c r="G98" s="9" t="s">
        <v>37</v>
      </c>
      <c r="H98" s="10">
        <v>4058</v>
      </c>
      <c r="I98" s="7" t="s">
        <v>22</v>
      </c>
      <c r="M98" s="12">
        <v>3442</v>
      </c>
      <c r="N98" s="13" t="s">
        <v>11</v>
      </c>
      <c r="O98" s="16" t="str">
        <f>TEXT(VLOOKUP(M98, News!A:C, 3, FALSE), "M/D/YYYY")</f>
        <v>1/21/2019</v>
      </c>
      <c r="P98" s="18">
        <f>DATE(YEAR(O98),MONTH(Metrics!$B$5), DAY(Metrics!$B$5))</f>
        <v>43709</v>
      </c>
      <c r="Q98" s="16">
        <f t="shared" si="1"/>
        <v>2019</v>
      </c>
    </row>
    <row r="99" spans="4:17" ht="16" x14ac:dyDescent="0.2">
      <c r="D99" s="10">
        <v>3452</v>
      </c>
      <c r="E99" s="7" t="s">
        <v>11</v>
      </c>
      <c r="F99" s="4">
        <v>2311</v>
      </c>
      <c r="G99" s="9" t="s">
        <v>37</v>
      </c>
      <c r="H99" s="10">
        <v>1357</v>
      </c>
      <c r="I99" s="7" t="s">
        <v>22</v>
      </c>
      <c r="M99" s="12">
        <v>3452</v>
      </c>
      <c r="N99" s="13" t="s">
        <v>11</v>
      </c>
      <c r="O99" s="16" t="str">
        <f>TEXT(VLOOKUP(M99, News!A:C, 3, FALSE), "M/D/YYYY")</f>
        <v>5/10/2016</v>
      </c>
      <c r="P99" s="18">
        <f>DATE(YEAR(O99),MONTH(Metrics!$B$5), DAY(Metrics!$B$5))</f>
        <v>42614</v>
      </c>
      <c r="Q99" s="16">
        <f t="shared" si="1"/>
        <v>2016</v>
      </c>
    </row>
    <row r="100" spans="4:17" ht="16" x14ac:dyDescent="0.2">
      <c r="D100" s="10">
        <v>3458</v>
      </c>
      <c r="E100" s="7" t="s">
        <v>11</v>
      </c>
      <c r="F100" s="4">
        <v>3334</v>
      </c>
      <c r="G100" s="9" t="s">
        <v>37</v>
      </c>
      <c r="H100" s="10">
        <v>1436</v>
      </c>
      <c r="I100" s="7" t="s">
        <v>22</v>
      </c>
      <c r="M100" s="12">
        <v>3458</v>
      </c>
      <c r="N100" s="13" t="s">
        <v>11</v>
      </c>
      <c r="O100" s="16" t="str">
        <f>TEXT(VLOOKUP(M100, News!A:C, 3, FALSE), "M/D/YYYY")</f>
        <v>5/6/2016</v>
      </c>
      <c r="P100" s="18">
        <f>DATE(YEAR(O100),MONTH(Metrics!$B$5), DAY(Metrics!$B$5))</f>
        <v>42614</v>
      </c>
      <c r="Q100" s="16">
        <f t="shared" si="1"/>
        <v>2016</v>
      </c>
    </row>
    <row r="101" spans="4:17" ht="16" x14ac:dyDescent="0.2">
      <c r="D101" s="10">
        <v>3460</v>
      </c>
      <c r="E101" s="7" t="s">
        <v>11</v>
      </c>
      <c r="F101" s="4">
        <v>3336</v>
      </c>
      <c r="G101" s="9" t="s">
        <v>37</v>
      </c>
      <c r="H101" s="10">
        <v>1453</v>
      </c>
      <c r="I101" s="7" t="s">
        <v>22</v>
      </c>
      <c r="M101" s="12">
        <v>3460</v>
      </c>
      <c r="N101" s="13" t="s">
        <v>11</v>
      </c>
      <c r="O101" s="16" t="str">
        <f>TEXT(VLOOKUP(M101, News!A:C, 3, FALSE), "M/D/YYYY")</f>
        <v>5/1/2016</v>
      </c>
      <c r="P101" s="18">
        <f>DATE(YEAR(O101),MONTH(Metrics!$B$5), DAY(Metrics!$B$5))</f>
        <v>42614</v>
      </c>
      <c r="Q101" s="16">
        <f t="shared" si="1"/>
        <v>2016</v>
      </c>
    </row>
    <row r="102" spans="4:17" ht="16" x14ac:dyDescent="0.2">
      <c r="D102" s="10">
        <v>3529</v>
      </c>
      <c r="E102" s="7" t="s">
        <v>11</v>
      </c>
      <c r="F102" s="4">
        <v>3562</v>
      </c>
      <c r="G102" s="9" t="s">
        <v>37</v>
      </c>
      <c r="H102" s="10">
        <v>1465</v>
      </c>
      <c r="I102" s="7" t="s">
        <v>22</v>
      </c>
      <c r="M102" s="12">
        <v>3529</v>
      </c>
      <c r="N102" s="13" t="s">
        <v>11</v>
      </c>
      <c r="O102" s="16" t="str">
        <f>TEXT(VLOOKUP(M102, News!A:C, 3, FALSE), "M/D/YYYY")</f>
        <v>4/30/2016</v>
      </c>
      <c r="P102" s="18">
        <f>DATE(YEAR(O102),MONTH(Metrics!$B$5), DAY(Metrics!$B$5))</f>
        <v>42614</v>
      </c>
      <c r="Q102" s="16">
        <f t="shared" si="1"/>
        <v>2016</v>
      </c>
    </row>
    <row r="103" spans="4:17" ht="16" x14ac:dyDescent="0.2">
      <c r="D103" s="10">
        <v>3539</v>
      </c>
      <c r="E103" s="7" t="s">
        <v>11</v>
      </c>
      <c r="F103" s="4">
        <v>3739</v>
      </c>
      <c r="G103" s="9" t="s">
        <v>37</v>
      </c>
      <c r="H103" s="10">
        <v>2084</v>
      </c>
      <c r="I103" s="7" t="s">
        <v>22</v>
      </c>
      <c r="M103" s="12">
        <v>3539</v>
      </c>
      <c r="N103" s="13" t="s">
        <v>11</v>
      </c>
      <c r="O103" s="16" t="str">
        <f>TEXT(VLOOKUP(M103, News!A:C, 3, FALSE), "M/D/YYYY")</f>
        <v>4/22/2016</v>
      </c>
      <c r="P103" s="18">
        <f>DATE(YEAR(O103),MONTH(Metrics!$B$5), DAY(Metrics!$B$5))</f>
        <v>42614</v>
      </c>
      <c r="Q103" s="16">
        <f t="shared" si="1"/>
        <v>2016</v>
      </c>
    </row>
    <row r="104" spans="4:17" ht="16" x14ac:dyDescent="0.2">
      <c r="D104" s="10">
        <v>3542</v>
      </c>
      <c r="E104" s="7" t="s">
        <v>11</v>
      </c>
      <c r="F104" s="4">
        <v>3791</v>
      </c>
      <c r="G104" s="9" t="s">
        <v>37</v>
      </c>
      <c r="H104" s="10">
        <v>2087</v>
      </c>
      <c r="I104" s="7" t="s">
        <v>22</v>
      </c>
      <c r="M104" s="12">
        <v>3542</v>
      </c>
      <c r="N104" s="13" t="s">
        <v>11</v>
      </c>
      <c r="O104" s="16" t="str">
        <f>TEXT(VLOOKUP(M104, News!A:C, 3, FALSE), "M/D/YYYY")</f>
        <v>4/3/2016</v>
      </c>
      <c r="P104" s="18">
        <f>DATE(YEAR(O104),MONTH(Metrics!$B$5), DAY(Metrics!$B$5))</f>
        <v>42614</v>
      </c>
      <c r="Q104" s="16">
        <f t="shared" si="1"/>
        <v>2016</v>
      </c>
    </row>
    <row r="105" spans="4:17" ht="16" x14ac:dyDescent="0.2">
      <c r="D105" s="10">
        <v>3551</v>
      </c>
      <c r="E105" s="7" t="s">
        <v>11</v>
      </c>
      <c r="F105" s="4">
        <v>4008</v>
      </c>
      <c r="G105" s="9" t="s">
        <v>37</v>
      </c>
      <c r="H105" s="10">
        <v>2209</v>
      </c>
      <c r="I105" s="7" t="s">
        <v>22</v>
      </c>
      <c r="M105" s="12">
        <v>3551</v>
      </c>
      <c r="N105" s="13" t="s">
        <v>11</v>
      </c>
      <c r="O105" s="16" t="str">
        <f>TEXT(VLOOKUP(M105, News!A:C, 3, FALSE), "M/D/YYYY")</f>
        <v>3/29/2016</v>
      </c>
      <c r="P105" s="18">
        <f>DATE(YEAR(O105),MONTH(Metrics!$B$5), DAY(Metrics!$B$5))</f>
        <v>42614</v>
      </c>
      <c r="Q105" s="16">
        <f t="shared" si="1"/>
        <v>2016</v>
      </c>
    </row>
    <row r="106" spans="4:17" ht="16" x14ac:dyDescent="0.2">
      <c r="D106" s="10">
        <v>3554</v>
      </c>
      <c r="E106" s="7" t="s">
        <v>11</v>
      </c>
      <c r="F106" s="4">
        <v>4058</v>
      </c>
      <c r="G106" s="9" t="s">
        <v>37</v>
      </c>
      <c r="H106" s="10">
        <v>2783</v>
      </c>
      <c r="I106" s="7" t="s">
        <v>22</v>
      </c>
      <c r="M106" s="12">
        <v>3554</v>
      </c>
      <c r="N106" s="13" t="s">
        <v>11</v>
      </c>
      <c r="O106" s="16" t="str">
        <f>TEXT(VLOOKUP(M106, News!A:C, 3, FALSE), "M/D/YYYY")</f>
        <v>3/1/2016</v>
      </c>
      <c r="P106" s="18">
        <f>DATE(YEAR(O106),MONTH(Metrics!$B$5), DAY(Metrics!$B$5))</f>
        <v>42614</v>
      </c>
      <c r="Q106" s="16">
        <f t="shared" si="1"/>
        <v>2016</v>
      </c>
    </row>
    <row r="107" spans="4:17" ht="16" x14ac:dyDescent="0.2">
      <c r="D107" s="10">
        <v>3556</v>
      </c>
      <c r="E107" s="7" t="s">
        <v>11</v>
      </c>
      <c r="F107" s="4">
        <v>1357</v>
      </c>
      <c r="G107" s="9" t="s">
        <v>37</v>
      </c>
      <c r="H107" s="10">
        <v>2977</v>
      </c>
      <c r="I107" s="7" t="s">
        <v>22</v>
      </c>
      <c r="M107" s="12">
        <v>3556</v>
      </c>
      <c r="N107" s="13" t="s">
        <v>11</v>
      </c>
      <c r="O107" s="16" t="str">
        <f>TEXT(VLOOKUP(M107, News!A:C, 3, FALSE), "M/D/YYYY")</f>
        <v>2/28/2016</v>
      </c>
      <c r="P107" s="18">
        <f>DATE(YEAR(O107),MONTH(Metrics!$B$5), DAY(Metrics!$B$5))</f>
        <v>42614</v>
      </c>
      <c r="Q107" s="16">
        <f t="shared" si="1"/>
        <v>2016</v>
      </c>
    </row>
    <row r="108" spans="4:17" ht="16" x14ac:dyDescent="0.2">
      <c r="D108" s="10">
        <v>3558</v>
      </c>
      <c r="E108" s="7" t="s">
        <v>11</v>
      </c>
      <c r="F108" s="4">
        <v>1436</v>
      </c>
      <c r="G108" s="9" t="s">
        <v>37</v>
      </c>
      <c r="H108" s="10">
        <v>3274</v>
      </c>
      <c r="I108" s="7" t="s">
        <v>22</v>
      </c>
      <c r="M108" s="12">
        <v>3558</v>
      </c>
      <c r="N108" s="13" t="s">
        <v>11</v>
      </c>
      <c r="O108" s="16" t="str">
        <f>TEXT(VLOOKUP(M108, News!A:C, 3, FALSE), "M/D/YYYY")</f>
        <v>2/20/2016</v>
      </c>
      <c r="P108" s="18">
        <f>DATE(YEAR(O108),MONTH(Metrics!$B$5), DAY(Metrics!$B$5))</f>
        <v>42614</v>
      </c>
      <c r="Q108" s="16">
        <f t="shared" si="1"/>
        <v>2016</v>
      </c>
    </row>
    <row r="109" spans="4:17" ht="16" x14ac:dyDescent="0.2">
      <c r="D109" s="10">
        <v>3563</v>
      </c>
      <c r="E109" s="7" t="s">
        <v>11</v>
      </c>
      <c r="F109" s="4">
        <v>1453</v>
      </c>
      <c r="G109" s="9" t="s">
        <v>37</v>
      </c>
      <c r="H109" s="10">
        <v>3629</v>
      </c>
      <c r="I109" s="7" t="s">
        <v>22</v>
      </c>
      <c r="M109" s="12">
        <v>3563</v>
      </c>
      <c r="N109" s="13" t="s">
        <v>11</v>
      </c>
      <c r="O109" s="16" t="str">
        <f>TEXT(VLOOKUP(M109, News!A:C, 3, FALSE), "M/D/YYYY")</f>
        <v>2/11/2016</v>
      </c>
      <c r="P109" s="18">
        <f>DATE(YEAR(O109),MONTH(Metrics!$B$5), DAY(Metrics!$B$5))</f>
        <v>42614</v>
      </c>
      <c r="Q109" s="16">
        <f t="shared" si="1"/>
        <v>2016</v>
      </c>
    </row>
    <row r="110" spans="4:17" ht="16" x14ac:dyDescent="0.2">
      <c r="D110" s="10">
        <v>3604</v>
      </c>
      <c r="E110" s="7" t="s">
        <v>11</v>
      </c>
      <c r="F110" s="4">
        <v>1465</v>
      </c>
      <c r="G110" s="9" t="s">
        <v>37</v>
      </c>
      <c r="H110" s="10">
        <v>3823</v>
      </c>
      <c r="I110" s="7" t="s">
        <v>22</v>
      </c>
      <c r="M110" s="12">
        <v>3604</v>
      </c>
      <c r="N110" s="13" t="s">
        <v>11</v>
      </c>
      <c r="O110" s="16" t="str">
        <f>TEXT(VLOOKUP(M110, News!A:C, 3, FALSE), "M/D/YYYY")</f>
        <v>2/4/2016</v>
      </c>
      <c r="P110" s="18">
        <f>DATE(YEAR(O110),MONTH(Metrics!$B$5), DAY(Metrics!$B$5))</f>
        <v>42614</v>
      </c>
      <c r="Q110" s="16">
        <f t="shared" si="1"/>
        <v>2016</v>
      </c>
    </row>
    <row r="111" spans="4:17" ht="16" x14ac:dyDescent="0.2">
      <c r="D111" s="10">
        <v>3609</v>
      </c>
      <c r="E111" s="7" t="s">
        <v>11</v>
      </c>
      <c r="F111" s="4">
        <v>2084</v>
      </c>
      <c r="G111" s="9" t="s">
        <v>37</v>
      </c>
      <c r="H111" s="10">
        <v>4195</v>
      </c>
      <c r="I111" s="7" t="s">
        <v>22</v>
      </c>
      <c r="M111" s="12">
        <v>3609</v>
      </c>
      <c r="N111" s="13" t="s">
        <v>11</v>
      </c>
      <c r="O111" s="16" t="str">
        <f>TEXT(VLOOKUP(M111, News!A:C, 3, FALSE), "M/D/YYYY")</f>
        <v>1/30/2016</v>
      </c>
      <c r="P111" s="18">
        <f>DATE(YEAR(O111),MONTH(Metrics!$B$5), DAY(Metrics!$B$5))</f>
        <v>42614</v>
      </c>
      <c r="Q111" s="16">
        <f t="shared" si="1"/>
        <v>2016</v>
      </c>
    </row>
    <row r="112" spans="4:17" ht="16" x14ac:dyDescent="0.2">
      <c r="D112" s="10">
        <v>3612</v>
      </c>
      <c r="E112" s="7" t="s">
        <v>11</v>
      </c>
      <c r="F112" s="4">
        <v>2087</v>
      </c>
      <c r="G112" s="9" t="s">
        <v>37</v>
      </c>
      <c r="H112" s="10">
        <v>4411</v>
      </c>
      <c r="I112" s="7" t="s">
        <v>22</v>
      </c>
      <c r="M112" s="12">
        <v>3612</v>
      </c>
      <c r="N112" s="13" t="s">
        <v>11</v>
      </c>
      <c r="O112" s="16" t="str">
        <f>TEXT(VLOOKUP(M112, News!A:C, 3, FALSE), "M/D/YYYY")</f>
        <v>1/29/2016</v>
      </c>
      <c r="P112" s="18">
        <f>DATE(YEAR(O112),MONTH(Metrics!$B$5), DAY(Metrics!$B$5))</f>
        <v>42614</v>
      </c>
      <c r="Q112" s="16">
        <f t="shared" si="1"/>
        <v>2016</v>
      </c>
    </row>
    <row r="113" spans="4:17" ht="16" x14ac:dyDescent="0.2">
      <c r="D113" s="10">
        <v>3614</v>
      </c>
      <c r="E113" s="7" t="s">
        <v>11</v>
      </c>
      <c r="F113" s="4">
        <v>2209</v>
      </c>
      <c r="G113" s="9" t="s">
        <v>37</v>
      </c>
      <c r="H113" s="10">
        <v>4574</v>
      </c>
      <c r="I113" s="7" t="s">
        <v>22</v>
      </c>
      <c r="M113" s="12">
        <v>3614</v>
      </c>
      <c r="N113" s="13" t="s">
        <v>11</v>
      </c>
      <c r="O113" s="16" t="str">
        <f>TEXT(VLOOKUP(M113, News!A:C, 3, FALSE), "M/D/YYYY")</f>
        <v>1/27/2016</v>
      </c>
      <c r="P113" s="18">
        <f>DATE(YEAR(O113),MONTH(Metrics!$B$5), DAY(Metrics!$B$5))</f>
        <v>42614</v>
      </c>
      <c r="Q113" s="16">
        <f t="shared" si="1"/>
        <v>2016</v>
      </c>
    </row>
    <row r="114" spans="4:17" ht="16" x14ac:dyDescent="0.2">
      <c r="D114" s="10">
        <v>3620</v>
      </c>
      <c r="E114" s="7" t="s">
        <v>11</v>
      </c>
      <c r="F114" s="4">
        <v>2783</v>
      </c>
      <c r="G114" s="9" t="s">
        <v>37</v>
      </c>
      <c r="H114" s="10">
        <v>6033</v>
      </c>
      <c r="I114" s="7" t="s">
        <v>22</v>
      </c>
      <c r="M114" s="12">
        <v>3620</v>
      </c>
      <c r="N114" s="13" t="s">
        <v>11</v>
      </c>
      <c r="O114" s="16" t="str">
        <f>TEXT(VLOOKUP(M114, News!A:C, 3, FALSE), "M/D/YYYY")</f>
        <v>1/5/2016</v>
      </c>
      <c r="P114" s="18">
        <f>DATE(YEAR(O114),MONTH(Metrics!$B$5), DAY(Metrics!$B$5))</f>
        <v>42614</v>
      </c>
      <c r="Q114" s="16">
        <f t="shared" si="1"/>
        <v>2016</v>
      </c>
    </row>
    <row r="115" spans="4:17" ht="16" x14ac:dyDescent="0.2">
      <c r="D115" s="10">
        <v>3622</v>
      </c>
      <c r="E115" s="7" t="s">
        <v>11</v>
      </c>
      <c r="F115" s="4">
        <v>2977</v>
      </c>
      <c r="G115" s="9" t="s">
        <v>37</v>
      </c>
      <c r="H115" s="10">
        <v>6078</v>
      </c>
      <c r="I115" s="7" t="s">
        <v>22</v>
      </c>
      <c r="M115" s="12">
        <v>3622</v>
      </c>
      <c r="N115" s="13" t="s">
        <v>11</v>
      </c>
      <c r="O115" s="16" t="str">
        <f>TEXT(VLOOKUP(M115, News!A:C, 3, FALSE), "M/D/YYYY")</f>
        <v>1/1/2016</v>
      </c>
      <c r="P115" s="18">
        <f>DATE(YEAR(O115),MONTH(Metrics!$B$5), DAY(Metrics!$B$5))</f>
        <v>42614</v>
      </c>
      <c r="Q115" s="16">
        <f t="shared" si="1"/>
        <v>2016</v>
      </c>
    </row>
    <row r="116" spans="4:17" ht="16" x14ac:dyDescent="0.2">
      <c r="D116" s="10">
        <v>3624</v>
      </c>
      <c r="E116" s="7" t="s">
        <v>11</v>
      </c>
      <c r="F116" s="4">
        <v>3274</v>
      </c>
      <c r="G116" s="9" t="s">
        <v>37</v>
      </c>
      <c r="H116" s="10">
        <v>6094</v>
      </c>
      <c r="I116" s="7" t="s">
        <v>22</v>
      </c>
      <c r="M116" s="12">
        <v>3624</v>
      </c>
      <c r="N116" s="13" t="s">
        <v>11</v>
      </c>
      <c r="O116" s="16" t="str">
        <f>TEXT(VLOOKUP(M116, News!A:C, 3, FALSE), "M/D/YYYY")</f>
        <v>12/6/2015</v>
      </c>
      <c r="P116" s="18">
        <f>DATE(YEAR(O116),MONTH(Metrics!$B$5), DAY(Metrics!$B$5))</f>
        <v>42248</v>
      </c>
      <c r="Q116" s="16">
        <f t="shared" si="1"/>
        <v>2016</v>
      </c>
    </row>
    <row r="117" spans="4:17" ht="16" x14ac:dyDescent="0.2">
      <c r="D117" s="10">
        <v>3637</v>
      </c>
      <c r="E117" s="7" t="s">
        <v>11</v>
      </c>
      <c r="F117" s="4">
        <v>3629</v>
      </c>
      <c r="G117" s="9" t="s">
        <v>37</v>
      </c>
      <c r="H117" s="10">
        <v>6180</v>
      </c>
      <c r="I117" s="7" t="s">
        <v>22</v>
      </c>
      <c r="M117" s="12">
        <v>3637</v>
      </c>
      <c r="N117" s="13" t="s">
        <v>11</v>
      </c>
      <c r="O117" s="16" t="str">
        <f>TEXT(VLOOKUP(M117, News!A:C, 3, FALSE), "M/D/YYYY")</f>
        <v>11/30/2015</v>
      </c>
      <c r="P117" s="18">
        <f>DATE(YEAR(O117),MONTH(Metrics!$B$5), DAY(Metrics!$B$5))</f>
        <v>42248</v>
      </c>
      <c r="Q117" s="16">
        <f t="shared" si="1"/>
        <v>2016</v>
      </c>
    </row>
    <row r="118" spans="4:17" ht="16" x14ac:dyDescent="0.2">
      <c r="D118" s="10">
        <v>3639</v>
      </c>
      <c r="E118" s="7" t="s">
        <v>11</v>
      </c>
      <c r="F118" s="4">
        <v>3823</v>
      </c>
      <c r="G118" s="9" t="s">
        <v>37</v>
      </c>
      <c r="H118" s="10">
        <v>6642</v>
      </c>
      <c r="I118" s="7" t="s">
        <v>22</v>
      </c>
      <c r="M118" s="12">
        <v>3639</v>
      </c>
      <c r="N118" s="13" t="s">
        <v>11</v>
      </c>
      <c r="O118" s="16" t="str">
        <f>TEXT(VLOOKUP(M118, News!A:C, 3, FALSE), "M/D/YYYY")</f>
        <v>11/25/2015</v>
      </c>
      <c r="P118" s="18">
        <f>DATE(YEAR(O118),MONTH(Metrics!$B$5), DAY(Metrics!$B$5))</f>
        <v>42248</v>
      </c>
      <c r="Q118" s="16">
        <f t="shared" si="1"/>
        <v>2016</v>
      </c>
    </row>
    <row r="119" spans="4:17" ht="16" x14ac:dyDescent="0.2">
      <c r="D119" s="10">
        <v>3654</v>
      </c>
      <c r="E119" s="7" t="s">
        <v>11</v>
      </c>
      <c r="F119" s="4">
        <v>4195</v>
      </c>
      <c r="G119" s="9" t="s">
        <v>37</v>
      </c>
      <c r="H119" s="10">
        <v>7066</v>
      </c>
      <c r="I119" s="7" t="s">
        <v>22</v>
      </c>
      <c r="M119" s="12">
        <v>3654</v>
      </c>
      <c r="N119" s="13" t="s">
        <v>11</v>
      </c>
      <c r="O119" s="16" t="str">
        <f>TEXT(VLOOKUP(M119, News!A:C, 3, FALSE), "M/D/YYYY")</f>
        <v>11/13/2015</v>
      </c>
      <c r="P119" s="18">
        <f>DATE(YEAR(O119),MONTH(Metrics!$B$5), DAY(Metrics!$B$5))</f>
        <v>42248</v>
      </c>
      <c r="Q119" s="16">
        <f t="shared" si="1"/>
        <v>2016</v>
      </c>
    </row>
    <row r="120" spans="4:17" ht="16" x14ac:dyDescent="0.2">
      <c r="D120" s="10">
        <v>3659</v>
      </c>
      <c r="E120" s="7" t="s">
        <v>11</v>
      </c>
      <c r="F120" s="4">
        <v>4411</v>
      </c>
      <c r="G120" s="9" t="s">
        <v>37</v>
      </c>
      <c r="H120" s="10">
        <v>7177</v>
      </c>
      <c r="I120" s="7" t="s">
        <v>22</v>
      </c>
      <c r="M120" s="12">
        <v>3659</v>
      </c>
      <c r="N120" s="13" t="s">
        <v>11</v>
      </c>
      <c r="O120" s="16" t="str">
        <f>TEXT(VLOOKUP(M120, News!A:C, 3, FALSE), "M/D/YYYY")</f>
        <v>11/11/2015</v>
      </c>
      <c r="P120" s="18">
        <f>DATE(YEAR(O120),MONTH(Metrics!$B$5), DAY(Metrics!$B$5))</f>
        <v>42248</v>
      </c>
      <c r="Q120" s="16">
        <f t="shared" si="1"/>
        <v>2016</v>
      </c>
    </row>
    <row r="121" spans="4:17" ht="16" x14ac:dyDescent="0.2">
      <c r="D121" s="10">
        <v>3661</v>
      </c>
      <c r="E121" s="7" t="s">
        <v>11</v>
      </c>
      <c r="F121" s="4">
        <v>4574</v>
      </c>
      <c r="G121" s="9" t="s">
        <v>37</v>
      </c>
      <c r="H121" s="10">
        <v>7296</v>
      </c>
      <c r="I121" s="7" t="s">
        <v>22</v>
      </c>
      <c r="M121" s="12">
        <v>3661</v>
      </c>
      <c r="N121" s="13" t="s">
        <v>11</v>
      </c>
      <c r="O121" s="16" t="str">
        <f>TEXT(VLOOKUP(M121, News!A:C, 3, FALSE), "M/D/YYYY")</f>
        <v>11/10/2015</v>
      </c>
      <c r="P121" s="18">
        <f>DATE(YEAR(O121),MONTH(Metrics!$B$5), DAY(Metrics!$B$5))</f>
        <v>42248</v>
      </c>
      <c r="Q121" s="16">
        <f t="shared" si="1"/>
        <v>2016</v>
      </c>
    </row>
    <row r="122" spans="4:17" ht="16" x14ac:dyDescent="0.2">
      <c r="D122" s="10">
        <v>3663</v>
      </c>
      <c r="E122" s="7" t="s">
        <v>11</v>
      </c>
      <c r="F122" s="4">
        <v>6033</v>
      </c>
      <c r="G122" s="9" t="s">
        <v>37</v>
      </c>
      <c r="H122" s="10">
        <v>7385</v>
      </c>
      <c r="I122" s="7" t="s">
        <v>22</v>
      </c>
      <c r="M122" s="12">
        <v>3663</v>
      </c>
      <c r="N122" s="13" t="s">
        <v>11</v>
      </c>
      <c r="O122" s="16" t="str">
        <f>TEXT(VLOOKUP(M122, News!A:C, 3, FALSE), "M/D/YYYY")</f>
        <v>11/3/2015</v>
      </c>
      <c r="P122" s="18">
        <f>DATE(YEAR(O122),MONTH(Metrics!$B$5), DAY(Metrics!$B$5))</f>
        <v>42248</v>
      </c>
      <c r="Q122" s="16">
        <f t="shared" si="1"/>
        <v>2016</v>
      </c>
    </row>
    <row r="123" spans="4:17" ht="16" x14ac:dyDescent="0.2">
      <c r="D123" s="10">
        <v>3732</v>
      </c>
      <c r="E123" s="7" t="s">
        <v>11</v>
      </c>
      <c r="F123" s="4">
        <v>6078</v>
      </c>
      <c r="G123" s="9" t="s">
        <v>37</v>
      </c>
      <c r="H123" s="10">
        <v>7643</v>
      </c>
      <c r="I123" s="7" t="s">
        <v>22</v>
      </c>
      <c r="M123" s="12">
        <v>3732</v>
      </c>
      <c r="N123" s="13" t="s">
        <v>11</v>
      </c>
      <c r="O123" s="16" t="str">
        <f>TEXT(VLOOKUP(M123, News!A:C, 3, FALSE), "M/D/YYYY")</f>
        <v>11/1/2015</v>
      </c>
      <c r="P123" s="18">
        <f>DATE(YEAR(O123),MONTH(Metrics!$B$5), DAY(Metrics!$B$5))</f>
        <v>42248</v>
      </c>
      <c r="Q123" s="16">
        <f t="shared" si="1"/>
        <v>2016</v>
      </c>
    </row>
    <row r="124" spans="4:17" ht="16" x14ac:dyDescent="0.2">
      <c r="D124" s="10">
        <v>3735</v>
      </c>
      <c r="E124" s="7" t="s">
        <v>11</v>
      </c>
      <c r="F124" s="4">
        <v>6094</v>
      </c>
      <c r="G124" s="9" t="s">
        <v>37</v>
      </c>
      <c r="H124" s="10">
        <v>7735</v>
      </c>
      <c r="I124" s="7" t="s">
        <v>22</v>
      </c>
      <c r="M124" s="12">
        <v>3735</v>
      </c>
      <c r="N124" s="13" t="s">
        <v>11</v>
      </c>
      <c r="O124" s="16" t="str">
        <f>TEXT(VLOOKUP(M124, News!A:C, 3, FALSE), "M/D/YYYY")</f>
        <v>10/31/2015</v>
      </c>
      <c r="P124" s="18">
        <f>DATE(YEAR(O124),MONTH(Metrics!$B$5), DAY(Metrics!$B$5))</f>
        <v>42248</v>
      </c>
      <c r="Q124" s="16">
        <f t="shared" si="1"/>
        <v>2016</v>
      </c>
    </row>
    <row r="125" spans="4:17" ht="16" x14ac:dyDescent="0.2">
      <c r="D125" s="10">
        <v>3741</v>
      </c>
      <c r="E125" s="7" t="s">
        <v>11</v>
      </c>
      <c r="F125" s="4">
        <v>6180</v>
      </c>
      <c r="G125" s="9" t="s">
        <v>37</v>
      </c>
      <c r="H125" s="10">
        <v>8061</v>
      </c>
      <c r="I125" s="7" t="s">
        <v>22</v>
      </c>
      <c r="M125" s="12">
        <v>3741</v>
      </c>
      <c r="N125" s="13" t="s">
        <v>11</v>
      </c>
      <c r="O125" s="16" t="str">
        <f>TEXT(VLOOKUP(M125, News!A:C, 3, FALSE), "M/D/YYYY")</f>
        <v>10/15/2015</v>
      </c>
      <c r="P125" s="18">
        <f>DATE(YEAR(O125),MONTH(Metrics!$B$5), DAY(Metrics!$B$5))</f>
        <v>42248</v>
      </c>
      <c r="Q125" s="16">
        <f t="shared" si="1"/>
        <v>2016</v>
      </c>
    </row>
    <row r="126" spans="4:17" ht="16" x14ac:dyDescent="0.2">
      <c r="D126" s="10">
        <v>3743</v>
      </c>
      <c r="E126" s="7" t="s">
        <v>11</v>
      </c>
      <c r="F126" s="4">
        <v>6642</v>
      </c>
      <c r="G126" s="9" t="s">
        <v>37</v>
      </c>
      <c r="M126" s="12">
        <v>3743</v>
      </c>
      <c r="N126" s="13" t="s">
        <v>11</v>
      </c>
      <c r="O126" s="16" t="str">
        <f>TEXT(VLOOKUP(M126, News!A:C, 3, FALSE), "M/D/YYYY")</f>
        <v>10/5/2015</v>
      </c>
      <c r="P126" s="18">
        <f>DATE(YEAR(O126),MONTH(Metrics!$B$5), DAY(Metrics!$B$5))</f>
        <v>42248</v>
      </c>
      <c r="Q126" s="16">
        <f t="shared" si="1"/>
        <v>2016</v>
      </c>
    </row>
    <row r="127" spans="4:17" ht="16" x14ac:dyDescent="0.2">
      <c r="D127" s="10">
        <v>3746</v>
      </c>
      <c r="E127" s="7" t="s">
        <v>11</v>
      </c>
      <c r="F127" s="4">
        <v>7066</v>
      </c>
      <c r="G127" s="9" t="s">
        <v>37</v>
      </c>
      <c r="M127" s="12">
        <v>3746</v>
      </c>
      <c r="N127" s="13" t="s">
        <v>11</v>
      </c>
      <c r="O127" s="16" t="str">
        <f>TEXT(VLOOKUP(M127, News!A:C, 3, FALSE), "M/D/YYYY")</f>
        <v>9/30/2015</v>
      </c>
      <c r="P127" s="18">
        <f>DATE(YEAR(O127),MONTH(Metrics!$B$5), DAY(Metrics!$B$5))</f>
        <v>42248</v>
      </c>
      <c r="Q127" s="16">
        <f t="shared" si="1"/>
        <v>2016</v>
      </c>
    </row>
    <row r="128" spans="4:17" ht="16" x14ac:dyDescent="0.2">
      <c r="D128" s="10">
        <v>3755</v>
      </c>
      <c r="E128" s="7" t="s">
        <v>11</v>
      </c>
      <c r="F128" s="4">
        <v>7177</v>
      </c>
      <c r="G128" s="9" t="s">
        <v>37</v>
      </c>
      <c r="M128" s="12">
        <v>3755</v>
      </c>
      <c r="N128" s="13" t="s">
        <v>11</v>
      </c>
      <c r="O128" s="16" t="str">
        <f>TEXT(VLOOKUP(M128, News!A:C, 3, FALSE), "M/D/YYYY")</f>
        <v>11/25/2015</v>
      </c>
      <c r="P128" s="18">
        <f>DATE(YEAR(O128),MONTH(Metrics!$B$5), DAY(Metrics!$B$5))</f>
        <v>42248</v>
      </c>
      <c r="Q128" s="16">
        <f t="shared" si="1"/>
        <v>2016</v>
      </c>
    </row>
    <row r="129" spans="4:17" ht="16" x14ac:dyDescent="0.2">
      <c r="D129" s="10">
        <v>3757</v>
      </c>
      <c r="E129" s="7" t="s">
        <v>11</v>
      </c>
      <c r="F129" s="4">
        <v>7296</v>
      </c>
      <c r="G129" s="9" t="s">
        <v>37</v>
      </c>
      <c r="M129" s="12">
        <v>3757</v>
      </c>
      <c r="N129" s="13" t="s">
        <v>11</v>
      </c>
      <c r="O129" s="16" t="str">
        <f>TEXT(VLOOKUP(M129, News!A:C, 3, FALSE), "M/D/YYYY")</f>
        <v>11/22/2015</v>
      </c>
      <c r="P129" s="18">
        <f>DATE(YEAR(O129),MONTH(Metrics!$B$5), DAY(Metrics!$B$5))</f>
        <v>42248</v>
      </c>
      <c r="Q129" s="16">
        <f t="shared" si="1"/>
        <v>2016</v>
      </c>
    </row>
    <row r="130" spans="4:17" ht="16" x14ac:dyDescent="0.2">
      <c r="D130" s="10">
        <v>3758</v>
      </c>
      <c r="E130" s="7" t="s">
        <v>11</v>
      </c>
      <c r="F130" s="4">
        <v>7385</v>
      </c>
      <c r="G130" s="9" t="s">
        <v>37</v>
      </c>
      <c r="M130" s="12">
        <v>3758</v>
      </c>
      <c r="N130" s="13" t="s">
        <v>11</v>
      </c>
      <c r="O130" s="16" t="str">
        <f>TEXT(VLOOKUP(M130, News!A:C, 3, FALSE), "M/D/YYYY")</f>
        <v>9/13/2015</v>
      </c>
      <c r="P130" s="18">
        <f>DATE(YEAR(O130),MONTH(Metrics!$B$5), DAY(Metrics!$B$5))</f>
        <v>42248</v>
      </c>
      <c r="Q130" s="16">
        <f t="shared" si="1"/>
        <v>2016</v>
      </c>
    </row>
    <row r="131" spans="4:17" ht="16" x14ac:dyDescent="0.2">
      <c r="D131" s="10">
        <v>3760</v>
      </c>
      <c r="E131" s="7" t="s">
        <v>11</v>
      </c>
      <c r="F131" s="4">
        <v>7643</v>
      </c>
      <c r="G131" s="9" t="s">
        <v>37</v>
      </c>
      <c r="M131" s="12">
        <v>3760</v>
      </c>
      <c r="N131" s="13" t="s">
        <v>11</v>
      </c>
      <c r="O131" s="16" t="str">
        <f>TEXT(VLOOKUP(M131, News!A:C, 3, FALSE), "M/D/YYYY")</f>
        <v>9/12/2015</v>
      </c>
      <c r="P131" s="18">
        <f>DATE(YEAR(O131),MONTH(Metrics!$B$5), DAY(Metrics!$B$5))</f>
        <v>42248</v>
      </c>
      <c r="Q131" s="16">
        <f t="shared" ref="Q131:Q194" si="2">IF(MONTH(O131) &gt;= MONTH(P131), YEAR(O131)+1, YEAR(O131))</f>
        <v>2016</v>
      </c>
    </row>
    <row r="132" spans="4:17" ht="16" x14ac:dyDescent="0.2">
      <c r="D132" s="10">
        <v>3784</v>
      </c>
      <c r="E132" s="7" t="s">
        <v>11</v>
      </c>
      <c r="F132" s="4">
        <v>7735</v>
      </c>
      <c r="G132" s="9" t="s">
        <v>37</v>
      </c>
      <c r="M132" s="12">
        <v>3784</v>
      </c>
      <c r="N132" s="13" t="s">
        <v>11</v>
      </c>
      <c r="O132" s="16" t="str">
        <f>TEXT(VLOOKUP(M132, News!A:C, 3, FALSE), "M/D/YYYY")</f>
        <v>8/31/2015</v>
      </c>
      <c r="P132" s="18">
        <f>DATE(YEAR(O132),MONTH(Metrics!$B$5), DAY(Metrics!$B$5))</f>
        <v>42248</v>
      </c>
      <c r="Q132" s="16">
        <f t="shared" si="2"/>
        <v>2015</v>
      </c>
    </row>
    <row r="133" spans="4:17" ht="16" x14ac:dyDescent="0.2">
      <c r="D133" s="10">
        <v>3787</v>
      </c>
      <c r="E133" s="7" t="s">
        <v>11</v>
      </c>
      <c r="F133" s="4">
        <v>8061</v>
      </c>
      <c r="G133" s="9" t="s">
        <v>37</v>
      </c>
      <c r="M133" s="12">
        <v>3787</v>
      </c>
      <c r="N133" s="13" t="s">
        <v>11</v>
      </c>
      <c r="O133" s="16" t="str">
        <f>TEXT(VLOOKUP(M133, News!A:C, 3, FALSE), "M/D/YYYY")</f>
        <v>8/30/2015</v>
      </c>
      <c r="P133" s="18">
        <f>DATE(YEAR(O133),MONTH(Metrics!$B$5), DAY(Metrics!$B$5))</f>
        <v>42248</v>
      </c>
      <c r="Q133" s="16">
        <f t="shared" si="2"/>
        <v>2015</v>
      </c>
    </row>
    <row r="134" spans="4:17" ht="16" x14ac:dyDescent="0.2">
      <c r="D134" s="10">
        <v>3793</v>
      </c>
      <c r="E134" s="7" t="s">
        <v>11</v>
      </c>
      <c r="M134" s="12">
        <v>3793</v>
      </c>
      <c r="N134" s="13" t="s">
        <v>11</v>
      </c>
      <c r="O134" s="16" t="str">
        <f>TEXT(VLOOKUP(M134, News!A:C, 3, FALSE), "M/D/YYYY")</f>
        <v>7/27/2015</v>
      </c>
      <c r="P134" s="18">
        <f>DATE(YEAR(O134),MONTH(Metrics!$B$5), DAY(Metrics!$B$5))</f>
        <v>42248</v>
      </c>
      <c r="Q134" s="16">
        <f t="shared" si="2"/>
        <v>2015</v>
      </c>
    </row>
    <row r="135" spans="4:17" ht="16" x14ac:dyDescent="0.2">
      <c r="D135" s="10">
        <v>3795</v>
      </c>
      <c r="E135" s="7" t="s">
        <v>11</v>
      </c>
      <c r="M135" s="12">
        <v>3795</v>
      </c>
      <c r="N135" s="13" t="s">
        <v>11</v>
      </c>
      <c r="O135" s="16" t="str">
        <f>TEXT(VLOOKUP(M135, News!A:C, 3, FALSE), "M/D/YYYY")</f>
        <v>7/22/2015</v>
      </c>
      <c r="P135" s="18">
        <f>DATE(YEAR(O135),MONTH(Metrics!$B$5), DAY(Metrics!$B$5))</f>
        <v>42248</v>
      </c>
      <c r="Q135" s="16">
        <f t="shared" si="2"/>
        <v>2015</v>
      </c>
    </row>
    <row r="136" spans="4:17" ht="16" x14ac:dyDescent="0.2">
      <c r="D136" s="10">
        <v>3799</v>
      </c>
      <c r="E136" s="7" t="s">
        <v>11</v>
      </c>
      <c r="M136" s="12">
        <v>3799</v>
      </c>
      <c r="N136" s="13" t="s">
        <v>11</v>
      </c>
      <c r="O136" s="16" t="str">
        <f>TEXT(VLOOKUP(M136, News!A:C, 3, FALSE), "M/D/YYYY")</f>
        <v>7/12/2015</v>
      </c>
      <c r="P136" s="18">
        <f>DATE(YEAR(O136),MONTH(Metrics!$B$5), DAY(Metrics!$B$5))</f>
        <v>42248</v>
      </c>
      <c r="Q136" s="16">
        <f t="shared" si="2"/>
        <v>2015</v>
      </c>
    </row>
    <row r="137" spans="4:17" ht="16" x14ac:dyDescent="0.2">
      <c r="D137" s="10">
        <v>3803</v>
      </c>
      <c r="E137" s="7" t="s">
        <v>11</v>
      </c>
      <c r="M137" s="12">
        <v>3803</v>
      </c>
      <c r="N137" s="13" t="s">
        <v>11</v>
      </c>
      <c r="O137" s="16" t="str">
        <f>TEXT(VLOOKUP(M137, News!A:C, 3, FALSE), "M/D/YYYY")</f>
        <v>6/30/2015</v>
      </c>
      <c r="P137" s="18">
        <f>DATE(YEAR(O137),MONTH(Metrics!$B$5), DAY(Metrics!$B$5))</f>
        <v>42248</v>
      </c>
      <c r="Q137" s="16">
        <f t="shared" si="2"/>
        <v>2015</v>
      </c>
    </row>
    <row r="138" spans="4:17" ht="16" x14ac:dyDescent="0.2">
      <c r="D138" s="10">
        <v>3817</v>
      </c>
      <c r="E138" s="7" t="s">
        <v>11</v>
      </c>
      <c r="M138" s="12">
        <v>3817</v>
      </c>
      <c r="N138" s="13" t="s">
        <v>11</v>
      </c>
      <c r="O138" s="16" t="str">
        <f>TEXT(VLOOKUP(M138, News!A:C, 3, FALSE), "M/D/YYYY")</f>
        <v>3/10/2019</v>
      </c>
      <c r="P138" s="18">
        <f>DATE(YEAR(O138),MONTH(Metrics!$B$5), DAY(Metrics!$B$5))</f>
        <v>43709</v>
      </c>
      <c r="Q138" s="16">
        <f t="shared" si="2"/>
        <v>2019</v>
      </c>
    </row>
    <row r="139" spans="4:17" ht="16" x14ac:dyDescent="0.2">
      <c r="D139" s="10">
        <v>3838</v>
      </c>
      <c r="E139" s="7" t="s">
        <v>11</v>
      </c>
      <c r="M139" s="12">
        <v>3838</v>
      </c>
      <c r="N139" s="13" t="s">
        <v>11</v>
      </c>
      <c r="O139" s="16" t="str">
        <f>TEXT(VLOOKUP(M139, News!A:C, 3, FALSE), "M/D/YYYY")</f>
        <v>3/25/2019</v>
      </c>
      <c r="P139" s="18">
        <f>DATE(YEAR(O139),MONTH(Metrics!$B$5), DAY(Metrics!$B$5))</f>
        <v>43709</v>
      </c>
      <c r="Q139" s="16">
        <f t="shared" si="2"/>
        <v>2019</v>
      </c>
    </row>
    <row r="140" spans="4:17" ht="16" x14ac:dyDescent="0.2">
      <c r="D140" s="10">
        <v>3843</v>
      </c>
      <c r="E140" s="7" t="s">
        <v>11</v>
      </c>
      <c r="M140" s="12">
        <v>3843</v>
      </c>
      <c r="N140" s="13" t="s">
        <v>11</v>
      </c>
      <c r="O140" s="16" t="str">
        <f>TEXT(VLOOKUP(M140, News!A:C, 3, FALSE), "M/D/YYYY")</f>
        <v>4/1/2019</v>
      </c>
      <c r="P140" s="18">
        <f>DATE(YEAR(O140),MONTH(Metrics!$B$5), DAY(Metrics!$B$5))</f>
        <v>43709</v>
      </c>
      <c r="Q140" s="16">
        <f t="shared" si="2"/>
        <v>2019</v>
      </c>
    </row>
    <row r="141" spans="4:17" ht="16" x14ac:dyDescent="0.2">
      <c r="D141" s="10">
        <v>3872</v>
      </c>
      <c r="E141" s="7" t="s">
        <v>11</v>
      </c>
      <c r="M141" s="12">
        <v>3872</v>
      </c>
      <c r="N141" s="13" t="s">
        <v>11</v>
      </c>
      <c r="O141" s="16" t="str">
        <f>TEXT(VLOOKUP(M141, News!A:C, 3, FALSE), "M/D/YYYY")</f>
        <v>4/3/2019</v>
      </c>
      <c r="P141" s="18">
        <f>DATE(YEAR(O141),MONTH(Metrics!$B$5), DAY(Metrics!$B$5))</f>
        <v>43709</v>
      </c>
      <c r="Q141" s="16">
        <f t="shared" si="2"/>
        <v>2019</v>
      </c>
    </row>
    <row r="142" spans="4:17" ht="16" x14ac:dyDescent="0.2">
      <c r="D142" s="10">
        <v>3881</v>
      </c>
      <c r="E142" s="7" t="s">
        <v>11</v>
      </c>
      <c r="M142" s="12">
        <v>3881</v>
      </c>
      <c r="N142" s="13" t="s">
        <v>11</v>
      </c>
      <c r="O142" s="16" t="str">
        <f>TEXT(VLOOKUP(M142, News!A:C, 3, FALSE), "M/D/YYYY")</f>
        <v>6/27/2015</v>
      </c>
      <c r="P142" s="18">
        <f>DATE(YEAR(O142),MONTH(Metrics!$B$5), DAY(Metrics!$B$5))</f>
        <v>42248</v>
      </c>
      <c r="Q142" s="16">
        <f t="shared" si="2"/>
        <v>2015</v>
      </c>
    </row>
    <row r="143" spans="4:17" ht="16" x14ac:dyDescent="0.2">
      <c r="D143" s="10">
        <v>3883</v>
      </c>
      <c r="E143" s="7" t="s">
        <v>11</v>
      </c>
      <c r="M143" s="12">
        <v>3883</v>
      </c>
      <c r="N143" s="13" t="s">
        <v>11</v>
      </c>
      <c r="O143" s="16" t="str">
        <f>TEXT(VLOOKUP(M143, News!A:C, 3, FALSE), "M/D/YYYY")</f>
        <v>6/15/2015</v>
      </c>
      <c r="P143" s="18">
        <f>DATE(YEAR(O143),MONTH(Metrics!$B$5), DAY(Metrics!$B$5))</f>
        <v>42248</v>
      </c>
      <c r="Q143" s="16">
        <f t="shared" si="2"/>
        <v>2015</v>
      </c>
    </row>
    <row r="144" spans="4:17" ht="16" x14ac:dyDescent="0.2">
      <c r="D144" s="10">
        <v>3885</v>
      </c>
      <c r="E144" s="7" t="s">
        <v>11</v>
      </c>
      <c r="M144" s="12">
        <v>3885</v>
      </c>
      <c r="N144" s="13" t="s">
        <v>11</v>
      </c>
      <c r="O144" s="16" t="str">
        <f>TEXT(VLOOKUP(M144, News!A:C, 3, FALSE), "M/D/YYYY")</f>
        <v>6/10/2015</v>
      </c>
      <c r="P144" s="18">
        <f>DATE(YEAR(O144),MONTH(Metrics!$B$5), DAY(Metrics!$B$5))</f>
        <v>42248</v>
      </c>
      <c r="Q144" s="16">
        <f t="shared" si="2"/>
        <v>2015</v>
      </c>
    </row>
    <row r="145" spans="4:17" ht="16" x14ac:dyDescent="0.2">
      <c r="D145" s="10">
        <v>3887</v>
      </c>
      <c r="E145" s="7" t="s">
        <v>11</v>
      </c>
      <c r="M145" s="12">
        <v>3887</v>
      </c>
      <c r="N145" s="13" t="s">
        <v>11</v>
      </c>
      <c r="O145" s="16" t="str">
        <f>TEXT(VLOOKUP(M145, News!A:C, 3, FALSE), "M/D/YYYY")</f>
        <v>6/5/2015</v>
      </c>
      <c r="P145" s="18">
        <f>DATE(YEAR(O145),MONTH(Metrics!$B$5), DAY(Metrics!$B$5))</f>
        <v>42248</v>
      </c>
      <c r="Q145" s="16">
        <f t="shared" si="2"/>
        <v>2015</v>
      </c>
    </row>
    <row r="146" spans="4:17" ht="16" x14ac:dyDescent="0.2">
      <c r="D146" s="10">
        <v>3895</v>
      </c>
      <c r="E146" s="7" t="s">
        <v>11</v>
      </c>
      <c r="M146" s="12">
        <v>3895</v>
      </c>
      <c r="N146" s="13" t="s">
        <v>11</v>
      </c>
      <c r="O146" s="16" t="str">
        <f>TEXT(VLOOKUP(M146, News!A:C, 3, FALSE), "M/D/YYYY")</f>
        <v>6/1/2015</v>
      </c>
      <c r="P146" s="18">
        <f>DATE(YEAR(O146),MONTH(Metrics!$B$5), DAY(Metrics!$B$5))</f>
        <v>42248</v>
      </c>
      <c r="Q146" s="16">
        <f t="shared" si="2"/>
        <v>2015</v>
      </c>
    </row>
    <row r="147" spans="4:17" ht="16" x14ac:dyDescent="0.2">
      <c r="D147" s="10">
        <v>3897</v>
      </c>
      <c r="E147" s="7" t="s">
        <v>11</v>
      </c>
      <c r="M147" s="12">
        <v>3897</v>
      </c>
      <c r="N147" s="13" t="s">
        <v>11</v>
      </c>
      <c r="O147" s="16" t="str">
        <f>TEXT(VLOOKUP(M147, News!A:C, 3, FALSE), "M/D/YYYY")</f>
        <v>5/31/2015</v>
      </c>
      <c r="P147" s="18">
        <f>DATE(YEAR(O147),MONTH(Metrics!$B$5), DAY(Metrics!$B$5))</f>
        <v>42248</v>
      </c>
      <c r="Q147" s="16">
        <f t="shared" si="2"/>
        <v>2015</v>
      </c>
    </row>
    <row r="148" spans="4:17" ht="16" x14ac:dyDescent="0.2">
      <c r="D148" s="10">
        <v>3899</v>
      </c>
      <c r="E148" s="7" t="s">
        <v>11</v>
      </c>
      <c r="M148" s="12">
        <v>3899</v>
      </c>
      <c r="N148" s="13" t="s">
        <v>11</v>
      </c>
      <c r="O148" s="16" t="str">
        <f>TEXT(VLOOKUP(M148, News!A:C, 3, FALSE), "M/D/YYYY")</f>
        <v>5/15/2015</v>
      </c>
      <c r="P148" s="18">
        <f>DATE(YEAR(O148),MONTH(Metrics!$B$5), DAY(Metrics!$B$5))</f>
        <v>42248</v>
      </c>
      <c r="Q148" s="16">
        <f t="shared" si="2"/>
        <v>2015</v>
      </c>
    </row>
    <row r="149" spans="4:17" ht="16" x14ac:dyDescent="0.2">
      <c r="D149" s="10">
        <v>3921</v>
      </c>
      <c r="E149" s="7" t="s">
        <v>11</v>
      </c>
      <c r="M149" s="12">
        <v>3921</v>
      </c>
      <c r="N149" s="13" t="s">
        <v>11</v>
      </c>
      <c r="O149" s="16" t="str">
        <f>TEXT(VLOOKUP(M149, News!A:C, 3, FALSE), "M/D/YYYY")</f>
        <v>4/30/2015</v>
      </c>
      <c r="P149" s="18">
        <f>DATE(YEAR(O149),MONTH(Metrics!$B$5), DAY(Metrics!$B$5))</f>
        <v>42248</v>
      </c>
      <c r="Q149" s="16">
        <f t="shared" si="2"/>
        <v>2015</v>
      </c>
    </row>
    <row r="150" spans="4:17" ht="16" x14ac:dyDescent="0.2">
      <c r="D150" s="10">
        <v>3931</v>
      </c>
      <c r="E150" s="7" t="s">
        <v>11</v>
      </c>
      <c r="M150" s="12">
        <v>3931</v>
      </c>
      <c r="N150" s="13" t="s">
        <v>11</v>
      </c>
      <c r="O150" s="16" t="str">
        <f>TEXT(VLOOKUP(M150, News!A:C, 3, FALSE), "M/D/YYYY")</f>
        <v>4/29/2015</v>
      </c>
      <c r="P150" s="18">
        <f>DATE(YEAR(O150),MONTH(Metrics!$B$5), DAY(Metrics!$B$5))</f>
        <v>42248</v>
      </c>
      <c r="Q150" s="16">
        <f t="shared" si="2"/>
        <v>2015</v>
      </c>
    </row>
    <row r="151" spans="4:17" ht="16" x14ac:dyDescent="0.2">
      <c r="D151" s="10">
        <v>3939</v>
      </c>
      <c r="E151" s="7" t="s">
        <v>11</v>
      </c>
      <c r="M151" s="12">
        <v>3939</v>
      </c>
      <c r="N151" s="13" t="s">
        <v>11</v>
      </c>
      <c r="O151" s="16" t="str">
        <f>TEXT(VLOOKUP(M151, News!A:C, 3, FALSE), "M/D/YYYY")</f>
        <v>4/16/2019</v>
      </c>
      <c r="P151" s="18">
        <f>DATE(YEAR(O151),MONTH(Metrics!$B$5), DAY(Metrics!$B$5))</f>
        <v>43709</v>
      </c>
      <c r="Q151" s="16">
        <f t="shared" si="2"/>
        <v>2019</v>
      </c>
    </row>
    <row r="152" spans="4:17" ht="16" x14ac:dyDescent="0.2">
      <c r="D152" s="10">
        <v>3943</v>
      </c>
      <c r="E152" s="7" t="s">
        <v>11</v>
      </c>
      <c r="M152" s="12">
        <v>3943</v>
      </c>
      <c r="N152" s="13" t="s">
        <v>11</v>
      </c>
      <c r="O152" s="16" t="str">
        <f>TEXT(VLOOKUP(M152, News!A:C, 3, FALSE), "M/D/YYYY")</f>
        <v>4/24/2015</v>
      </c>
      <c r="P152" s="18">
        <f>DATE(YEAR(O152),MONTH(Metrics!$B$5), DAY(Metrics!$B$5))</f>
        <v>42248</v>
      </c>
      <c r="Q152" s="16">
        <f t="shared" si="2"/>
        <v>2015</v>
      </c>
    </row>
    <row r="153" spans="4:17" ht="16" x14ac:dyDescent="0.2">
      <c r="D153" s="10">
        <v>3945</v>
      </c>
      <c r="E153" s="7" t="s">
        <v>11</v>
      </c>
      <c r="M153" s="12">
        <v>3945</v>
      </c>
      <c r="N153" s="13" t="s">
        <v>11</v>
      </c>
      <c r="O153" s="16" t="str">
        <f>TEXT(VLOOKUP(M153, News!A:C, 3, FALSE), "M/D/YYYY")</f>
        <v>4/18/2015</v>
      </c>
      <c r="P153" s="18">
        <f>DATE(YEAR(O153),MONTH(Metrics!$B$5), DAY(Metrics!$B$5))</f>
        <v>42248</v>
      </c>
      <c r="Q153" s="16">
        <f t="shared" si="2"/>
        <v>2015</v>
      </c>
    </row>
    <row r="154" spans="4:17" ht="16" x14ac:dyDescent="0.2">
      <c r="D154" s="10">
        <v>3949</v>
      </c>
      <c r="E154" s="7" t="s">
        <v>11</v>
      </c>
      <c r="M154" s="12">
        <v>3949</v>
      </c>
      <c r="N154" s="13" t="s">
        <v>11</v>
      </c>
      <c r="O154" s="16" t="str">
        <f>TEXT(VLOOKUP(M154, News!A:C, 3, FALSE), "M/D/YYYY")</f>
        <v>4/18/2019</v>
      </c>
      <c r="P154" s="18">
        <f>DATE(YEAR(O154),MONTH(Metrics!$B$5), DAY(Metrics!$B$5))</f>
        <v>43709</v>
      </c>
      <c r="Q154" s="16">
        <f t="shared" si="2"/>
        <v>2019</v>
      </c>
    </row>
    <row r="155" spans="4:17" ht="16" x14ac:dyDescent="0.2">
      <c r="D155" s="10">
        <v>3951</v>
      </c>
      <c r="E155" s="7" t="s">
        <v>11</v>
      </c>
      <c r="M155" s="12">
        <v>3951</v>
      </c>
      <c r="N155" s="13" t="s">
        <v>11</v>
      </c>
      <c r="O155" s="16" t="str">
        <f>TEXT(VLOOKUP(M155, News!A:C, 3, FALSE), "M/D/YYYY")</f>
        <v>1/31/2019</v>
      </c>
      <c r="P155" s="18">
        <f>DATE(YEAR(O155),MONTH(Metrics!$B$5), DAY(Metrics!$B$5))</f>
        <v>43709</v>
      </c>
      <c r="Q155" s="16">
        <f t="shared" si="2"/>
        <v>2019</v>
      </c>
    </row>
    <row r="156" spans="4:17" ht="16" x14ac:dyDescent="0.2">
      <c r="D156" s="10">
        <v>3964</v>
      </c>
      <c r="E156" s="7" t="s">
        <v>11</v>
      </c>
      <c r="M156" s="12">
        <v>3964</v>
      </c>
      <c r="N156" s="13" t="s">
        <v>11</v>
      </c>
      <c r="O156" s="16" t="str">
        <f>TEXT(VLOOKUP(M156, News!A:C, 3, FALSE), "M/D/YYYY")</f>
        <v>4/19/2019</v>
      </c>
      <c r="P156" s="18">
        <f>DATE(YEAR(O156),MONTH(Metrics!$B$5), DAY(Metrics!$B$5))</f>
        <v>43709</v>
      </c>
      <c r="Q156" s="16">
        <f t="shared" si="2"/>
        <v>2019</v>
      </c>
    </row>
    <row r="157" spans="4:17" ht="16" x14ac:dyDescent="0.2">
      <c r="D157" s="10">
        <v>3970</v>
      </c>
      <c r="E157" s="7" t="s">
        <v>11</v>
      </c>
      <c r="M157" s="12">
        <v>3970</v>
      </c>
      <c r="N157" s="13" t="s">
        <v>11</v>
      </c>
      <c r="O157" s="16" t="str">
        <f>TEXT(VLOOKUP(M157, News!A:C, 3, FALSE), "M/D/YYYY")</f>
        <v>3/31/2015</v>
      </c>
      <c r="P157" s="18">
        <f>DATE(YEAR(O157),MONTH(Metrics!$B$5), DAY(Metrics!$B$5))</f>
        <v>42248</v>
      </c>
      <c r="Q157" s="16">
        <f t="shared" si="2"/>
        <v>2015</v>
      </c>
    </row>
    <row r="158" spans="4:17" ht="16" x14ac:dyDescent="0.2">
      <c r="D158" s="10">
        <v>3974</v>
      </c>
      <c r="E158" s="7" t="s">
        <v>11</v>
      </c>
      <c r="M158" s="12">
        <v>3974</v>
      </c>
      <c r="N158" s="13" t="s">
        <v>11</v>
      </c>
      <c r="O158" s="16" t="str">
        <f>TEXT(VLOOKUP(M158, News!A:C, 3, FALSE), "M/D/YYYY")</f>
        <v>3/19/2015</v>
      </c>
      <c r="P158" s="18">
        <f>DATE(YEAR(O158),MONTH(Metrics!$B$5), DAY(Metrics!$B$5))</f>
        <v>42248</v>
      </c>
      <c r="Q158" s="16">
        <f t="shared" si="2"/>
        <v>2015</v>
      </c>
    </row>
    <row r="159" spans="4:17" ht="16" x14ac:dyDescent="0.2">
      <c r="D159" s="10">
        <v>3976</v>
      </c>
      <c r="E159" s="7" t="s">
        <v>11</v>
      </c>
      <c r="M159" s="12">
        <v>3976</v>
      </c>
      <c r="N159" s="13" t="s">
        <v>11</v>
      </c>
      <c r="O159" s="16" t="str">
        <f>TEXT(VLOOKUP(M159, News!A:C, 3, FALSE), "M/D/YYYY")</f>
        <v>3/1/2015</v>
      </c>
      <c r="P159" s="18">
        <f>DATE(YEAR(O159),MONTH(Metrics!$B$5), DAY(Metrics!$B$5))</f>
        <v>42248</v>
      </c>
      <c r="Q159" s="16">
        <f t="shared" si="2"/>
        <v>2015</v>
      </c>
    </row>
    <row r="160" spans="4:17" ht="16" x14ac:dyDescent="0.2">
      <c r="D160" s="10">
        <v>3980</v>
      </c>
      <c r="E160" s="7" t="s">
        <v>11</v>
      </c>
      <c r="M160" s="12">
        <v>3980</v>
      </c>
      <c r="N160" s="13" t="s">
        <v>11</v>
      </c>
      <c r="O160" s="16" t="str">
        <f>TEXT(VLOOKUP(M160, News!A:C, 3, FALSE), "M/D/YYYY")</f>
        <v>2/26/2015</v>
      </c>
      <c r="P160" s="18">
        <f>DATE(YEAR(O160),MONTH(Metrics!$B$5), DAY(Metrics!$B$5))</f>
        <v>42248</v>
      </c>
      <c r="Q160" s="16">
        <f t="shared" si="2"/>
        <v>2015</v>
      </c>
    </row>
    <row r="161" spans="4:17" ht="16" x14ac:dyDescent="0.2">
      <c r="D161" s="10">
        <v>4006</v>
      </c>
      <c r="E161" s="7" t="s">
        <v>11</v>
      </c>
      <c r="M161" s="12">
        <v>4006</v>
      </c>
      <c r="N161" s="13" t="s">
        <v>11</v>
      </c>
      <c r="O161" s="16" t="str">
        <f>TEXT(VLOOKUP(M161, News!A:C, 3, FALSE), "M/D/YYYY")</f>
        <v>2/20/2015</v>
      </c>
      <c r="P161" s="18">
        <f>DATE(YEAR(O161),MONTH(Metrics!$B$5), DAY(Metrics!$B$5))</f>
        <v>42248</v>
      </c>
      <c r="Q161" s="16">
        <f t="shared" si="2"/>
        <v>2015</v>
      </c>
    </row>
    <row r="162" spans="4:17" ht="16" x14ac:dyDescent="0.2">
      <c r="D162" s="10">
        <v>4013</v>
      </c>
      <c r="E162" s="7" t="s">
        <v>11</v>
      </c>
      <c r="M162" s="12">
        <v>4013</v>
      </c>
      <c r="N162" s="13" t="s">
        <v>11</v>
      </c>
      <c r="O162" s="16" t="str">
        <f>TEXT(VLOOKUP(M162, News!A:C, 3, FALSE), "M/D/YYYY")</f>
        <v>2/5/2015</v>
      </c>
      <c r="P162" s="18">
        <f>DATE(YEAR(O162),MONTH(Metrics!$B$5), DAY(Metrics!$B$5))</f>
        <v>42248</v>
      </c>
      <c r="Q162" s="16">
        <f t="shared" si="2"/>
        <v>2015</v>
      </c>
    </row>
    <row r="163" spans="4:17" ht="16" x14ac:dyDescent="0.2">
      <c r="D163" s="10">
        <v>4016</v>
      </c>
      <c r="E163" s="7" t="s">
        <v>11</v>
      </c>
      <c r="M163" s="12">
        <v>4016</v>
      </c>
      <c r="N163" s="13" t="s">
        <v>11</v>
      </c>
      <c r="O163" s="16" t="str">
        <f>TEXT(VLOOKUP(M163, News!A:C, 3, FALSE), "M/D/YYYY")</f>
        <v>1/25/2015</v>
      </c>
      <c r="P163" s="18">
        <f>DATE(YEAR(O163),MONTH(Metrics!$B$5), DAY(Metrics!$B$5))</f>
        <v>42248</v>
      </c>
      <c r="Q163" s="16">
        <f t="shared" si="2"/>
        <v>2015</v>
      </c>
    </row>
    <row r="164" spans="4:17" ht="16" x14ac:dyDescent="0.2">
      <c r="D164" s="10">
        <v>4028</v>
      </c>
      <c r="E164" s="7" t="s">
        <v>11</v>
      </c>
      <c r="M164" s="12">
        <v>4028</v>
      </c>
      <c r="N164" s="13" t="s">
        <v>11</v>
      </c>
      <c r="O164" s="16" t="str">
        <f>TEXT(VLOOKUP(M164, News!A:C, 3, FALSE), "M/D/YYYY")</f>
        <v>12/15/2014</v>
      </c>
      <c r="P164" s="18">
        <f>DATE(YEAR(O164),MONTH(Metrics!$B$5), DAY(Metrics!$B$5))</f>
        <v>41883</v>
      </c>
      <c r="Q164" s="16">
        <f t="shared" si="2"/>
        <v>2015</v>
      </c>
    </row>
    <row r="165" spans="4:17" ht="16" x14ac:dyDescent="0.2">
      <c r="D165" s="10">
        <v>4036</v>
      </c>
      <c r="E165" s="7" t="s">
        <v>11</v>
      </c>
      <c r="M165" s="12">
        <v>4036</v>
      </c>
      <c r="N165" s="13" t="s">
        <v>11</v>
      </c>
      <c r="O165" s="16" t="str">
        <f>TEXT(VLOOKUP(M165, News!A:C, 3, FALSE), "M/D/YYYY")</f>
        <v>11/16/2014</v>
      </c>
      <c r="P165" s="18">
        <f>DATE(YEAR(O165),MONTH(Metrics!$B$5), DAY(Metrics!$B$5))</f>
        <v>41883</v>
      </c>
      <c r="Q165" s="16">
        <f t="shared" si="2"/>
        <v>2015</v>
      </c>
    </row>
    <row r="166" spans="4:17" ht="16" x14ac:dyDescent="0.2">
      <c r="D166" s="10">
        <v>4040</v>
      </c>
      <c r="E166" s="7" t="s">
        <v>11</v>
      </c>
      <c r="M166" s="12">
        <v>4040</v>
      </c>
      <c r="N166" s="13" t="s">
        <v>11</v>
      </c>
      <c r="O166" s="16" t="str">
        <f>TEXT(VLOOKUP(M166, News!A:C, 3, FALSE), "M/D/YYYY")</f>
        <v>4/29/2019</v>
      </c>
      <c r="P166" s="18">
        <f>DATE(YEAR(O166),MONTH(Metrics!$B$5), DAY(Metrics!$B$5))</f>
        <v>43709</v>
      </c>
      <c r="Q166" s="16">
        <f t="shared" si="2"/>
        <v>2019</v>
      </c>
    </row>
    <row r="167" spans="4:17" ht="16" x14ac:dyDescent="0.2">
      <c r="D167" s="10">
        <v>4052</v>
      </c>
      <c r="E167" s="7" t="s">
        <v>11</v>
      </c>
      <c r="M167" s="12">
        <v>4052</v>
      </c>
      <c r="N167" s="13" t="s">
        <v>11</v>
      </c>
      <c r="O167" s="16" t="str">
        <f>TEXT(VLOOKUP(M167, News!A:C, 3, FALSE), "M/D/YYYY")</f>
        <v>10/31/2014</v>
      </c>
      <c r="P167" s="18">
        <f>DATE(YEAR(O167),MONTH(Metrics!$B$5), DAY(Metrics!$B$5))</f>
        <v>41883</v>
      </c>
      <c r="Q167" s="16">
        <f t="shared" si="2"/>
        <v>2015</v>
      </c>
    </row>
    <row r="168" spans="4:17" ht="16" x14ac:dyDescent="0.2">
      <c r="D168" s="10">
        <v>4071</v>
      </c>
      <c r="E168" s="7" t="s">
        <v>11</v>
      </c>
      <c r="M168" s="12">
        <v>4071</v>
      </c>
      <c r="N168" s="13" t="s">
        <v>11</v>
      </c>
      <c r="O168" s="16" t="str">
        <f>TEXT(VLOOKUP(M168, News!A:C, 3, FALSE), "M/D/YYYY")</f>
        <v>10/3/2014</v>
      </c>
      <c r="P168" s="18">
        <f>DATE(YEAR(O168),MONTH(Metrics!$B$5), DAY(Metrics!$B$5))</f>
        <v>41883</v>
      </c>
      <c r="Q168" s="16">
        <f t="shared" si="2"/>
        <v>2015</v>
      </c>
    </row>
    <row r="169" spans="4:17" ht="16" x14ac:dyDescent="0.2">
      <c r="D169" s="10">
        <v>4081</v>
      </c>
      <c r="E169" s="7" t="s">
        <v>11</v>
      </c>
      <c r="M169" s="12">
        <v>4081</v>
      </c>
      <c r="N169" s="13" t="s">
        <v>11</v>
      </c>
      <c r="O169" s="16" t="str">
        <f>TEXT(VLOOKUP(M169, News!A:C, 3, FALSE), "M/D/YYYY")</f>
        <v>9/25/2014</v>
      </c>
      <c r="P169" s="18">
        <f>DATE(YEAR(O169),MONTH(Metrics!$B$5), DAY(Metrics!$B$5))</f>
        <v>41883</v>
      </c>
      <c r="Q169" s="16">
        <f t="shared" si="2"/>
        <v>2015</v>
      </c>
    </row>
    <row r="170" spans="4:17" ht="16" x14ac:dyDescent="0.2">
      <c r="D170" s="10">
        <v>4082</v>
      </c>
      <c r="E170" s="7" t="s">
        <v>11</v>
      </c>
      <c r="M170" s="12">
        <v>4082</v>
      </c>
      <c r="N170" s="13" t="s">
        <v>11</v>
      </c>
      <c r="O170" s="16" t="str">
        <f>TEXT(VLOOKUP(M170, News!A:C, 3, FALSE), "M/D/YYYY")</f>
        <v>9/9/2014</v>
      </c>
      <c r="P170" s="18">
        <f>DATE(YEAR(O170),MONTH(Metrics!$B$5), DAY(Metrics!$B$5))</f>
        <v>41883</v>
      </c>
      <c r="Q170" s="16">
        <f t="shared" si="2"/>
        <v>2015</v>
      </c>
    </row>
    <row r="171" spans="4:17" ht="16" x14ac:dyDescent="0.2">
      <c r="D171" s="10">
        <v>4087</v>
      </c>
      <c r="E171" s="7" t="s">
        <v>11</v>
      </c>
      <c r="M171" s="12">
        <v>4087</v>
      </c>
      <c r="N171" s="13" t="s">
        <v>11</v>
      </c>
      <c r="O171" s="16" t="str">
        <f>TEXT(VLOOKUP(M171, News!A:C, 3, FALSE), "M/D/YYYY")</f>
        <v>8/27/2014</v>
      </c>
      <c r="P171" s="18">
        <f>DATE(YEAR(O171),MONTH(Metrics!$B$5), DAY(Metrics!$B$5))</f>
        <v>41883</v>
      </c>
      <c r="Q171" s="16">
        <f t="shared" si="2"/>
        <v>2014</v>
      </c>
    </row>
    <row r="172" spans="4:17" ht="16" x14ac:dyDescent="0.2">
      <c r="D172" s="10">
        <v>4091</v>
      </c>
      <c r="E172" s="7" t="s">
        <v>11</v>
      </c>
      <c r="M172" s="12">
        <v>4091</v>
      </c>
      <c r="N172" s="13" t="s">
        <v>11</v>
      </c>
      <c r="O172" s="16" t="str">
        <f>TEXT(VLOOKUP(M172, News!A:C, 3, FALSE), "M/D/YYYY")</f>
        <v>8/17/2014</v>
      </c>
      <c r="P172" s="18">
        <f>DATE(YEAR(O172),MONTH(Metrics!$B$5), DAY(Metrics!$B$5))</f>
        <v>41883</v>
      </c>
      <c r="Q172" s="16">
        <f t="shared" si="2"/>
        <v>2014</v>
      </c>
    </row>
    <row r="173" spans="4:17" ht="16" x14ac:dyDescent="0.2">
      <c r="D173" s="10">
        <v>4093</v>
      </c>
      <c r="E173" s="7" t="s">
        <v>11</v>
      </c>
      <c r="M173" s="12">
        <v>4093</v>
      </c>
      <c r="N173" s="13" t="s">
        <v>11</v>
      </c>
      <c r="O173" s="16" t="str">
        <f>TEXT(VLOOKUP(M173, News!A:C, 3, FALSE), "M/D/YYYY")</f>
        <v>8/1/2014</v>
      </c>
      <c r="P173" s="18">
        <f>DATE(YEAR(O173),MONTH(Metrics!$B$5), DAY(Metrics!$B$5))</f>
        <v>41883</v>
      </c>
      <c r="Q173" s="16">
        <f t="shared" si="2"/>
        <v>2014</v>
      </c>
    </row>
    <row r="174" spans="4:17" ht="16" x14ac:dyDescent="0.2">
      <c r="D174" s="10">
        <v>4129</v>
      </c>
      <c r="E174" s="7" t="s">
        <v>11</v>
      </c>
      <c r="M174" s="12">
        <v>4129</v>
      </c>
      <c r="N174" s="13" t="s">
        <v>11</v>
      </c>
      <c r="O174" s="16" t="str">
        <f>TEXT(VLOOKUP(M174, News!A:C, 3, FALSE), "M/D/YYYY")</f>
        <v>7/15/2014</v>
      </c>
      <c r="P174" s="18">
        <f>DATE(YEAR(O174),MONTH(Metrics!$B$5), DAY(Metrics!$B$5))</f>
        <v>41883</v>
      </c>
      <c r="Q174" s="16">
        <f t="shared" si="2"/>
        <v>2014</v>
      </c>
    </row>
    <row r="175" spans="4:17" ht="16" x14ac:dyDescent="0.2">
      <c r="D175" s="10">
        <v>4132</v>
      </c>
      <c r="E175" s="7" t="s">
        <v>11</v>
      </c>
      <c r="M175" s="12">
        <v>4132</v>
      </c>
      <c r="N175" s="13" t="s">
        <v>11</v>
      </c>
      <c r="O175" s="16" t="str">
        <f>TEXT(VLOOKUP(M175, News!A:C, 3, FALSE), "M/D/YYYY")</f>
        <v>7/6/2014</v>
      </c>
      <c r="P175" s="18">
        <f>DATE(YEAR(O175),MONTH(Metrics!$B$5), DAY(Metrics!$B$5))</f>
        <v>41883</v>
      </c>
      <c r="Q175" s="16">
        <f t="shared" si="2"/>
        <v>2014</v>
      </c>
    </row>
    <row r="176" spans="4:17" ht="16" x14ac:dyDescent="0.2">
      <c r="D176" s="10">
        <v>4141</v>
      </c>
      <c r="E176" s="7" t="s">
        <v>11</v>
      </c>
      <c r="M176" s="12">
        <v>4141</v>
      </c>
      <c r="N176" s="13" t="s">
        <v>11</v>
      </c>
      <c r="O176" s="16" t="str">
        <f>TEXT(VLOOKUP(M176, News!A:C, 3, FALSE), "M/D/YYYY")</f>
        <v>5/28/2019</v>
      </c>
      <c r="P176" s="18">
        <f>DATE(YEAR(O176),MONTH(Metrics!$B$5), DAY(Metrics!$B$5))</f>
        <v>43709</v>
      </c>
      <c r="Q176" s="16">
        <f t="shared" si="2"/>
        <v>2019</v>
      </c>
    </row>
    <row r="177" spans="4:17" ht="16" x14ac:dyDescent="0.2">
      <c r="D177" s="10">
        <v>4154</v>
      </c>
      <c r="E177" s="7" t="s">
        <v>11</v>
      </c>
      <c r="M177" s="12">
        <v>4154</v>
      </c>
      <c r="N177" s="13" t="s">
        <v>11</v>
      </c>
      <c r="O177" s="16" t="str">
        <f>TEXT(VLOOKUP(M177, News!A:C, 3, FALSE), "M/D/YYYY")</f>
        <v>6/1/2014</v>
      </c>
      <c r="P177" s="18">
        <f>DATE(YEAR(O177),MONTH(Metrics!$B$5), DAY(Metrics!$B$5))</f>
        <v>41883</v>
      </c>
      <c r="Q177" s="16">
        <f t="shared" si="2"/>
        <v>2014</v>
      </c>
    </row>
    <row r="178" spans="4:17" ht="16" x14ac:dyDescent="0.2">
      <c r="D178" s="10">
        <v>4155</v>
      </c>
      <c r="E178" s="7" t="s">
        <v>11</v>
      </c>
      <c r="M178" s="12">
        <v>4155</v>
      </c>
      <c r="N178" s="13" t="s">
        <v>11</v>
      </c>
      <c r="O178" s="16" t="str">
        <f>TEXT(VLOOKUP(M178, News!A:C, 3, FALSE), "M/D/YYYY")</f>
        <v>5/31/2014</v>
      </c>
      <c r="P178" s="18">
        <f>DATE(YEAR(O178),MONTH(Metrics!$B$5), DAY(Metrics!$B$5))</f>
        <v>41883</v>
      </c>
      <c r="Q178" s="16">
        <f t="shared" si="2"/>
        <v>2014</v>
      </c>
    </row>
    <row r="179" spans="4:17" ht="16" x14ac:dyDescent="0.2">
      <c r="D179" s="10">
        <v>4160</v>
      </c>
      <c r="E179" s="7" t="s">
        <v>11</v>
      </c>
      <c r="M179" s="12">
        <v>4160</v>
      </c>
      <c r="N179" s="13" t="s">
        <v>11</v>
      </c>
      <c r="O179" s="16" t="str">
        <f>TEXT(VLOOKUP(M179, News!A:C, 3, FALSE), "M/D/YYYY")</f>
        <v>5/29/2014</v>
      </c>
      <c r="P179" s="18">
        <f>DATE(YEAR(O179),MONTH(Metrics!$B$5), DAY(Metrics!$B$5))</f>
        <v>41883</v>
      </c>
      <c r="Q179" s="16">
        <f t="shared" si="2"/>
        <v>2014</v>
      </c>
    </row>
    <row r="180" spans="4:17" ht="16" x14ac:dyDescent="0.2">
      <c r="D180" s="10">
        <v>4164</v>
      </c>
      <c r="E180" s="7" t="s">
        <v>11</v>
      </c>
      <c r="M180" s="12">
        <v>4164</v>
      </c>
      <c r="N180" s="13" t="s">
        <v>11</v>
      </c>
      <c r="O180" s="16" t="str">
        <f>TEXT(VLOOKUP(M180, News!A:C, 3, FALSE), "M/D/YYYY")</f>
        <v>6/4/2019</v>
      </c>
      <c r="P180" s="18">
        <f>DATE(YEAR(O180),MONTH(Metrics!$B$5), DAY(Metrics!$B$5))</f>
        <v>43709</v>
      </c>
      <c r="Q180" s="16">
        <f t="shared" si="2"/>
        <v>2019</v>
      </c>
    </row>
    <row r="181" spans="4:17" ht="16" x14ac:dyDescent="0.2">
      <c r="D181" s="10">
        <v>4174</v>
      </c>
      <c r="E181" s="7" t="s">
        <v>11</v>
      </c>
      <c r="M181" s="12">
        <v>4174</v>
      </c>
      <c r="N181" s="13" t="s">
        <v>11</v>
      </c>
      <c r="O181" s="16" t="str">
        <f>TEXT(VLOOKUP(M181, News!A:C, 3, FALSE), "M/D/YYYY")</f>
        <v>3/15/2019</v>
      </c>
      <c r="P181" s="18">
        <f>DATE(YEAR(O181),MONTH(Metrics!$B$5), DAY(Metrics!$B$5))</f>
        <v>43709</v>
      </c>
      <c r="Q181" s="16">
        <f t="shared" si="2"/>
        <v>2019</v>
      </c>
    </row>
    <row r="182" spans="4:17" ht="16" x14ac:dyDescent="0.2">
      <c r="D182" s="10">
        <v>4177</v>
      </c>
      <c r="E182" s="7" t="s">
        <v>11</v>
      </c>
      <c r="M182" s="12">
        <v>4177</v>
      </c>
      <c r="N182" s="13" t="s">
        <v>11</v>
      </c>
      <c r="O182" s="16" t="str">
        <f>TEXT(VLOOKUP(M182, News!A:C, 3, FALSE), "M/D/YYYY")</f>
        <v>4/1/2019</v>
      </c>
      <c r="P182" s="18">
        <f>DATE(YEAR(O182),MONTH(Metrics!$B$5), DAY(Metrics!$B$5))</f>
        <v>43709</v>
      </c>
      <c r="Q182" s="16">
        <f t="shared" si="2"/>
        <v>2019</v>
      </c>
    </row>
    <row r="183" spans="4:17" ht="16" x14ac:dyDescent="0.2">
      <c r="D183" s="10">
        <v>4200</v>
      </c>
      <c r="E183" s="7" t="s">
        <v>11</v>
      </c>
      <c r="M183" s="12">
        <v>4200</v>
      </c>
      <c r="N183" s="13" t="s">
        <v>11</v>
      </c>
      <c r="O183" s="16" t="str">
        <f>TEXT(VLOOKUP(M183, News!A:C, 3, FALSE), "M/D/YYYY")</f>
        <v>5/27/2014</v>
      </c>
      <c r="P183" s="18">
        <f>DATE(YEAR(O183),MONTH(Metrics!$B$5), DAY(Metrics!$B$5))</f>
        <v>41883</v>
      </c>
      <c r="Q183" s="16">
        <f t="shared" si="2"/>
        <v>2014</v>
      </c>
    </row>
    <row r="184" spans="4:17" ht="16" x14ac:dyDescent="0.2">
      <c r="D184" s="10">
        <v>4209</v>
      </c>
      <c r="E184" s="7" t="s">
        <v>11</v>
      </c>
      <c r="M184" s="12">
        <v>4209</v>
      </c>
      <c r="N184" s="13" t="s">
        <v>11</v>
      </c>
      <c r="O184" s="16" t="str">
        <f>TEXT(VLOOKUP(M184, News!A:C, 3, FALSE), "M/D/YYYY")</f>
        <v>5/9/2019</v>
      </c>
      <c r="P184" s="18">
        <f>DATE(YEAR(O184),MONTH(Metrics!$B$5), DAY(Metrics!$B$5))</f>
        <v>43709</v>
      </c>
      <c r="Q184" s="16">
        <f t="shared" si="2"/>
        <v>2019</v>
      </c>
    </row>
    <row r="185" spans="4:17" ht="16" x14ac:dyDescent="0.2">
      <c r="D185" s="10">
        <v>4239</v>
      </c>
      <c r="E185" s="7" t="s">
        <v>11</v>
      </c>
      <c r="M185" s="12">
        <v>4239</v>
      </c>
      <c r="N185" s="13" t="s">
        <v>11</v>
      </c>
      <c r="O185" s="16" t="str">
        <f>TEXT(VLOOKUP(M185, News!A:C, 3, FALSE), "M/D/YYYY")</f>
        <v>6/14/2019</v>
      </c>
      <c r="P185" s="18">
        <f>DATE(YEAR(O185),MONTH(Metrics!$B$5), DAY(Metrics!$B$5))</f>
        <v>43709</v>
      </c>
      <c r="Q185" s="16">
        <f t="shared" si="2"/>
        <v>2019</v>
      </c>
    </row>
    <row r="186" spans="4:17" ht="16" x14ac:dyDescent="0.2">
      <c r="D186" s="10">
        <v>4242</v>
      </c>
      <c r="E186" s="7" t="s">
        <v>11</v>
      </c>
      <c r="M186" s="12">
        <v>4242</v>
      </c>
      <c r="N186" s="13" t="s">
        <v>11</v>
      </c>
      <c r="O186" s="16" t="str">
        <f>TEXT(VLOOKUP(M186, News!A:C, 3, FALSE), "M/D/YYYY")</f>
        <v>6/21/2019</v>
      </c>
      <c r="P186" s="18">
        <f>DATE(YEAR(O186),MONTH(Metrics!$B$5), DAY(Metrics!$B$5))</f>
        <v>43709</v>
      </c>
      <c r="Q186" s="16">
        <f t="shared" si="2"/>
        <v>2019</v>
      </c>
    </row>
    <row r="187" spans="4:17" ht="16" x14ac:dyDescent="0.2">
      <c r="D187" s="10">
        <v>4244</v>
      </c>
      <c r="E187" s="7" t="s">
        <v>11</v>
      </c>
      <c r="M187" s="12">
        <v>4244</v>
      </c>
      <c r="N187" s="13" t="s">
        <v>11</v>
      </c>
      <c r="O187" s="16" t="str">
        <f>TEXT(VLOOKUP(M187, News!A:C, 3, FALSE), "M/D/YYYY")</f>
        <v>5/13/2019</v>
      </c>
      <c r="P187" s="18">
        <f>DATE(YEAR(O187),MONTH(Metrics!$B$5), DAY(Metrics!$B$5))</f>
        <v>43709</v>
      </c>
      <c r="Q187" s="16">
        <f t="shared" si="2"/>
        <v>2019</v>
      </c>
    </row>
    <row r="188" spans="4:17" ht="16" x14ac:dyDescent="0.2">
      <c r="D188" s="10">
        <v>4247</v>
      </c>
      <c r="E188" s="7" t="s">
        <v>11</v>
      </c>
      <c r="M188" s="12">
        <v>4247</v>
      </c>
      <c r="N188" s="13" t="s">
        <v>11</v>
      </c>
      <c r="O188" s="16" t="str">
        <f>TEXT(VLOOKUP(M188, News!A:C, 3, FALSE), "M/D/YYYY")</f>
        <v>5/29/2019</v>
      </c>
      <c r="P188" s="18">
        <f>DATE(YEAR(O188),MONTH(Metrics!$B$5), DAY(Metrics!$B$5))</f>
        <v>43709</v>
      </c>
      <c r="Q188" s="16">
        <f t="shared" si="2"/>
        <v>2019</v>
      </c>
    </row>
    <row r="189" spans="4:17" ht="16" x14ac:dyDescent="0.2">
      <c r="D189" s="10">
        <v>4254</v>
      </c>
      <c r="E189" s="7" t="s">
        <v>11</v>
      </c>
      <c r="M189" s="12">
        <v>4254</v>
      </c>
      <c r="N189" s="13" t="s">
        <v>11</v>
      </c>
      <c r="O189" s="16" t="str">
        <f>TEXT(VLOOKUP(M189, News!A:C, 3, FALSE), "M/D/YYYY")</f>
        <v>6/21/2019</v>
      </c>
      <c r="P189" s="18">
        <f>DATE(YEAR(O189),MONTH(Metrics!$B$5), DAY(Metrics!$B$5))</f>
        <v>43709</v>
      </c>
      <c r="Q189" s="16">
        <f t="shared" si="2"/>
        <v>2019</v>
      </c>
    </row>
    <row r="190" spans="4:17" ht="16" x14ac:dyDescent="0.2">
      <c r="D190" s="10">
        <v>4280</v>
      </c>
      <c r="E190" s="7" t="s">
        <v>11</v>
      </c>
      <c r="M190" s="12">
        <v>4280</v>
      </c>
      <c r="N190" s="13" t="s">
        <v>11</v>
      </c>
      <c r="O190" s="16" t="str">
        <f>TEXT(VLOOKUP(M190, News!A:C, 3, FALSE), "M/D/YYYY")</f>
        <v>7/10/2019</v>
      </c>
      <c r="P190" s="18">
        <f>DATE(YEAR(O190),MONTH(Metrics!$B$5), DAY(Metrics!$B$5))</f>
        <v>43709</v>
      </c>
      <c r="Q190" s="16">
        <f t="shared" si="2"/>
        <v>2019</v>
      </c>
    </row>
    <row r="191" spans="4:17" ht="16" x14ac:dyDescent="0.2">
      <c r="D191" s="10">
        <v>4328</v>
      </c>
      <c r="E191" s="7" t="s">
        <v>11</v>
      </c>
      <c r="M191" s="12">
        <v>4328</v>
      </c>
      <c r="N191" s="13" t="s">
        <v>11</v>
      </c>
      <c r="O191" s="16" t="str">
        <f>TEXT(VLOOKUP(M191, News!A:C, 3, FALSE), "M/D/YYYY")</f>
        <v>8/15/2019</v>
      </c>
      <c r="P191" s="18">
        <f>DATE(YEAR(O191),MONTH(Metrics!$B$5), DAY(Metrics!$B$5))</f>
        <v>43709</v>
      </c>
      <c r="Q191" s="16">
        <f t="shared" si="2"/>
        <v>2019</v>
      </c>
    </row>
    <row r="192" spans="4:17" ht="16" x14ac:dyDescent="0.2">
      <c r="D192" s="10">
        <v>4354</v>
      </c>
      <c r="E192" s="7" t="s">
        <v>11</v>
      </c>
      <c r="M192" s="12">
        <v>4354</v>
      </c>
      <c r="N192" s="13" t="s">
        <v>11</v>
      </c>
      <c r="O192" s="16" t="str">
        <f>TEXT(VLOOKUP(M192, News!A:C, 3, FALSE), "M/D/YYYY")</f>
        <v>7/26/2019</v>
      </c>
      <c r="P192" s="18">
        <f>DATE(YEAR(O192),MONTH(Metrics!$B$5), DAY(Metrics!$B$5))</f>
        <v>43709</v>
      </c>
      <c r="Q192" s="16">
        <f t="shared" si="2"/>
        <v>2019</v>
      </c>
    </row>
    <row r="193" spans="4:17" ht="16" x14ac:dyDescent="0.2">
      <c r="D193" s="10">
        <v>4357</v>
      </c>
      <c r="E193" s="7" t="s">
        <v>11</v>
      </c>
      <c r="M193" s="12">
        <v>4357</v>
      </c>
      <c r="N193" s="13" t="s">
        <v>11</v>
      </c>
      <c r="O193" s="16" t="str">
        <f>TEXT(VLOOKUP(M193, News!A:C, 3, FALSE), "M/D/YYYY")</f>
        <v>7/18/2019</v>
      </c>
      <c r="P193" s="18">
        <f>DATE(YEAR(O193),MONTH(Metrics!$B$5), DAY(Metrics!$B$5))</f>
        <v>43709</v>
      </c>
      <c r="Q193" s="16">
        <f t="shared" si="2"/>
        <v>2019</v>
      </c>
    </row>
    <row r="194" spans="4:17" ht="16" x14ac:dyDescent="0.2">
      <c r="D194" s="10">
        <v>4359</v>
      </c>
      <c r="E194" s="7" t="s">
        <v>11</v>
      </c>
      <c r="M194" s="12">
        <v>4359</v>
      </c>
      <c r="N194" s="13" t="s">
        <v>11</v>
      </c>
      <c r="O194" s="16" t="str">
        <f>TEXT(VLOOKUP(M194, News!A:C, 3, FALSE), "M/D/YYYY")</f>
        <v>8/23/2019</v>
      </c>
      <c r="P194" s="18">
        <f>DATE(YEAR(O194),MONTH(Metrics!$B$5), DAY(Metrics!$B$5))</f>
        <v>43709</v>
      </c>
      <c r="Q194" s="16">
        <f t="shared" si="2"/>
        <v>2019</v>
      </c>
    </row>
    <row r="195" spans="4:17" ht="16" x14ac:dyDescent="0.2">
      <c r="D195" s="10">
        <v>4368</v>
      </c>
      <c r="E195" s="7" t="s">
        <v>11</v>
      </c>
      <c r="M195" s="12">
        <v>4368</v>
      </c>
      <c r="N195" s="13" t="s">
        <v>11</v>
      </c>
      <c r="O195" s="16" t="str">
        <f>TEXT(VLOOKUP(M195, News!A:C, 3, FALSE), "M/D/YYYY")</f>
        <v>9/5/2019</v>
      </c>
      <c r="P195" s="18">
        <f>DATE(YEAR(O195),MONTH(Metrics!$B$5), DAY(Metrics!$B$5))</f>
        <v>43709</v>
      </c>
      <c r="Q195" s="16">
        <f t="shared" ref="Q195:Q258" si="3">IF(MONTH(O195) &gt;= MONTH(P195), YEAR(O195)+1, YEAR(O195))</f>
        <v>2020</v>
      </c>
    </row>
    <row r="196" spans="4:17" ht="16" x14ac:dyDescent="0.2">
      <c r="D196" s="10">
        <v>4406</v>
      </c>
      <c r="E196" s="7" t="s">
        <v>11</v>
      </c>
      <c r="M196" s="12">
        <v>4406</v>
      </c>
      <c r="N196" s="13" t="s">
        <v>11</v>
      </c>
      <c r="O196" s="16" t="str">
        <f>TEXT(VLOOKUP(M196, News!A:C, 3, FALSE), "M/D/YYYY")</f>
        <v>6/1/2019</v>
      </c>
      <c r="P196" s="18">
        <f>DATE(YEAR(O196),MONTH(Metrics!$B$5), DAY(Metrics!$B$5))</f>
        <v>43709</v>
      </c>
      <c r="Q196" s="16">
        <f t="shared" si="3"/>
        <v>2019</v>
      </c>
    </row>
    <row r="197" spans="4:17" ht="16" x14ac:dyDescent="0.2">
      <c r="D197" s="10">
        <v>4435</v>
      </c>
      <c r="E197" s="7" t="s">
        <v>11</v>
      </c>
      <c r="M197" s="12">
        <v>4435</v>
      </c>
      <c r="N197" s="13" t="s">
        <v>11</v>
      </c>
      <c r="O197" s="16" t="str">
        <f>TEXT(VLOOKUP(M197, News!A:C, 3, FALSE), "M/D/YYYY")</f>
        <v>8/2/2019</v>
      </c>
      <c r="P197" s="18">
        <f>DATE(YEAR(O197),MONTH(Metrics!$B$5), DAY(Metrics!$B$5))</f>
        <v>43709</v>
      </c>
      <c r="Q197" s="16">
        <f t="shared" si="3"/>
        <v>2019</v>
      </c>
    </row>
    <row r="198" spans="4:17" ht="16" x14ac:dyDescent="0.2">
      <c r="D198" s="10">
        <v>4458</v>
      </c>
      <c r="E198" s="7" t="s">
        <v>11</v>
      </c>
      <c r="M198" s="12">
        <v>4458</v>
      </c>
      <c r="N198" s="13" t="s">
        <v>11</v>
      </c>
      <c r="O198" s="16" t="str">
        <f>TEXT(VLOOKUP(M198, News!A:C, 3, FALSE), "M/D/YYYY")</f>
        <v>6/3/2014</v>
      </c>
      <c r="P198" s="18">
        <f>DATE(YEAR(O198),MONTH(Metrics!$B$5), DAY(Metrics!$B$5))</f>
        <v>41883</v>
      </c>
      <c r="Q198" s="16">
        <f t="shared" si="3"/>
        <v>2014</v>
      </c>
    </row>
    <row r="199" spans="4:17" ht="16" x14ac:dyDescent="0.2">
      <c r="D199" s="10">
        <v>4460</v>
      </c>
      <c r="E199" s="7" t="s">
        <v>11</v>
      </c>
      <c r="M199" s="12">
        <v>4460</v>
      </c>
      <c r="N199" s="13" t="s">
        <v>11</v>
      </c>
      <c r="O199" s="16" t="str">
        <f>TEXT(VLOOKUP(M199, News!A:C, 3, FALSE), "M/D/YYYY")</f>
        <v>5/8/2014</v>
      </c>
      <c r="P199" s="18">
        <f>DATE(YEAR(O199),MONTH(Metrics!$B$5), DAY(Metrics!$B$5))</f>
        <v>41883</v>
      </c>
      <c r="Q199" s="16">
        <f t="shared" si="3"/>
        <v>2014</v>
      </c>
    </row>
    <row r="200" spans="4:17" ht="16" x14ac:dyDescent="0.2">
      <c r="D200" s="10">
        <v>4469</v>
      </c>
      <c r="E200" s="7" t="s">
        <v>11</v>
      </c>
      <c r="M200" s="12">
        <v>4469</v>
      </c>
      <c r="N200" s="13" t="s">
        <v>11</v>
      </c>
      <c r="O200" s="16" t="str">
        <f>TEXT(VLOOKUP(M200, News!A:C, 3, FALSE), "M/D/YYYY")</f>
        <v>5/2/2014</v>
      </c>
      <c r="P200" s="18">
        <f>DATE(YEAR(O200),MONTH(Metrics!$B$5), DAY(Metrics!$B$5))</f>
        <v>41883</v>
      </c>
      <c r="Q200" s="16">
        <f t="shared" si="3"/>
        <v>2014</v>
      </c>
    </row>
    <row r="201" spans="4:17" ht="16" x14ac:dyDescent="0.2">
      <c r="D201" s="10">
        <v>4471</v>
      </c>
      <c r="E201" s="7" t="s">
        <v>11</v>
      </c>
      <c r="M201" s="12">
        <v>4471</v>
      </c>
      <c r="N201" s="13" t="s">
        <v>11</v>
      </c>
      <c r="O201" s="16" t="str">
        <f>TEXT(VLOOKUP(M201, News!A:C, 3, FALSE), "M/D/YYYY")</f>
        <v>5/1/2014</v>
      </c>
      <c r="P201" s="18">
        <f>DATE(YEAR(O201),MONTH(Metrics!$B$5), DAY(Metrics!$B$5))</f>
        <v>41883</v>
      </c>
      <c r="Q201" s="16">
        <f t="shared" si="3"/>
        <v>2014</v>
      </c>
    </row>
    <row r="202" spans="4:17" ht="16" x14ac:dyDescent="0.2">
      <c r="D202" s="10">
        <v>4472</v>
      </c>
      <c r="E202" s="7" t="s">
        <v>11</v>
      </c>
      <c r="M202" s="12">
        <v>4472</v>
      </c>
      <c r="N202" s="13" t="s">
        <v>11</v>
      </c>
      <c r="O202" s="16" t="str">
        <f>TEXT(VLOOKUP(M202, News!A:C, 3, FALSE), "M/D/YYYY")</f>
        <v>4/30/2014</v>
      </c>
      <c r="P202" s="18">
        <f>DATE(YEAR(O202),MONTH(Metrics!$B$5), DAY(Metrics!$B$5))</f>
        <v>41883</v>
      </c>
      <c r="Q202" s="16">
        <f t="shared" si="3"/>
        <v>2014</v>
      </c>
    </row>
    <row r="203" spans="4:17" ht="16" x14ac:dyDescent="0.2">
      <c r="D203" s="10">
        <v>4474</v>
      </c>
      <c r="E203" s="7" t="s">
        <v>11</v>
      </c>
      <c r="M203" s="12">
        <v>4474</v>
      </c>
      <c r="N203" s="13" t="s">
        <v>11</v>
      </c>
      <c r="O203" s="16" t="str">
        <f>TEXT(VLOOKUP(M203, News!A:C, 3, FALSE), "M/D/YYYY")</f>
        <v>4/27/2014</v>
      </c>
      <c r="P203" s="18">
        <f>DATE(YEAR(O203),MONTH(Metrics!$B$5), DAY(Metrics!$B$5))</f>
        <v>41883</v>
      </c>
      <c r="Q203" s="16">
        <f t="shared" si="3"/>
        <v>2014</v>
      </c>
    </row>
    <row r="204" spans="4:17" ht="16" x14ac:dyDescent="0.2">
      <c r="D204" s="10">
        <v>4493</v>
      </c>
      <c r="E204" s="7" t="s">
        <v>11</v>
      </c>
      <c r="M204" s="12">
        <v>4493</v>
      </c>
      <c r="N204" s="13" t="s">
        <v>11</v>
      </c>
      <c r="O204" s="16" t="str">
        <f>TEXT(VLOOKUP(M204, News!A:C, 3, FALSE), "M/D/YYYY")</f>
        <v>10/10/2019</v>
      </c>
      <c r="P204" s="18">
        <f>DATE(YEAR(O204),MONTH(Metrics!$B$5), DAY(Metrics!$B$5))</f>
        <v>43709</v>
      </c>
      <c r="Q204" s="16">
        <f t="shared" si="3"/>
        <v>2020</v>
      </c>
    </row>
    <row r="205" spans="4:17" ht="16" x14ac:dyDescent="0.2">
      <c r="D205" s="10">
        <v>4577</v>
      </c>
      <c r="E205" s="7" t="s">
        <v>11</v>
      </c>
      <c r="M205" s="12">
        <v>4577</v>
      </c>
      <c r="N205" s="13" t="s">
        <v>11</v>
      </c>
      <c r="O205" s="16" t="str">
        <f>TEXT(VLOOKUP(M205, News!A:C, 3, FALSE), "M/D/YYYY")</f>
        <v>4/15/2019</v>
      </c>
      <c r="P205" s="18">
        <f>DATE(YEAR(O205),MONTH(Metrics!$B$5), DAY(Metrics!$B$5))</f>
        <v>43709</v>
      </c>
      <c r="Q205" s="16">
        <f t="shared" si="3"/>
        <v>2019</v>
      </c>
    </row>
    <row r="206" spans="4:17" ht="16" x14ac:dyDescent="0.2">
      <c r="D206" s="10">
        <v>4579</v>
      </c>
      <c r="E206" s="7" t="s">
        <v>11</v>
      </c>
      <c r="M206" s="12">
        <v>4579</v>
      </c>
      <c r="N206" s="13" t="s">
        <v>11</v>
      </c>
      <c r="O206" s="16" t="str">
        <f>TEXT(VLOOKUP(M206, News!A:C, 3, FALSE), "M/D/YYYY")</f>
        <v>9/30/2019</v>
      </c>
      <c r="P206" s="18">
        <f>DATE(YEAR(O206),MONTH(Metrics!$B$5), DAY(Metrics!$B$5))</f>
        <v>43709</v>
      </c>
      <c r="Q206" s="16">
        <f t="shared" si="3"/>
        <v>2020</v>
      </c>
    </row>
    <row r="207" spans="4:17" ht="16" x14ac:dyDescent="0.2">
      <c r="D207" s="10">
        <v>4591</v>
      </c>
      <c r="E207" s="7" t="s">
        <v>11</v>
      </c>
      <c r="M207" s="12">
        <v>4591</v>
      </c>
      <c r="N207" s="13" t="s">
        <v>11</v>
      </c>
      <c r="O207" s="16" t="str">
        <f>TEXT(VLOOKUP(M207, News!A:C, 3, FALSE), "M/D/YYYY")</f>
        <v>9/1/2019</v>
      </c>
      <c r="P207" s="18">
        <f>DATE(YEAR(O207),MONTH(Metrics!$B$5), DAY(Metrics!$B$5))</f>
        <v>43709</v>
      </c>
      <c r="Q207" s="16">
        <f t="shared" si="3"/>
        <v>2020</v>
      </c>
    </row>
    <row r="208" spans="4:17" ht="16" x14ac:dyDescent="0.2">
      <c r="D208" s="10">
        <v>4592</v>
      </c>
      <c r="E208" s="7" t="s">
        <v>11</v>
      </c>
      <c r="M208" s="12">
        <v>4592</v>
      </c>
      <c r="N208" s="13" t="s">
        <v>11</v>
      </c>
      <c r="O208" s="16" t="str">
        <f>TEXT(VLOOKUP(M208, News!A:C, 3, FALSE), "M/D/YYYY")</f>
        <v>10/8/2019</v>
      </c>
      <c r="P208" s="18">
        <f>DATE(YEAR(O208),MONTH(Metrics!$B$5), DAY(Metrics!$B$5))</f>
        <v>43709</v>
      </c>
      <c r="Q208" s="16">
        <f t="shared" si="3"/>
        <v>2020</v>
      </c>
    </row>
    <row r="209" spans="4:17" ht="16" x14ac:dyDescent="0.2">
      <c r="D209" s="10">
        <v>4594</v>
      </c>
      <c r="E209" s="7" t="s">
        <v>11</v>
      </c>
      <c r="M209" s="12">
        <v>4594</v>
      </c>
      <c r="N209" s="13" t="s">
        <v>11</v>
      </c>
      <c r="O209" s="16" t="str">
        <f>TEXT(VLOOKUP(M209, News!A:C, 3, FALSE), "M/D/YYYY")</f>
        <v>10/21/2019</v>
      </c>
      <c r="P209" s="18">
        <f>DATE(YEAR(O209),MONTH(Metrics!$B$5), DAY(Metrics!$B$5))</f>
        <v>43709</v>
      </c>
      <c r="Q209" s="16">
        <f t="shared" si="3"/>
        <v>2020</v>
      </c>
    </row>
    <row r="210" spans="4:17" ht="16" x14ac:dyDescent="0.2">
      <c r="D210" s="10">
        <v>4608</v>
      </c>
      <c r="E210" s="7" t="s">
        <v>11</v>
      </c>
      <c r="M210" s="12">
        <v>4608</v>
      </c>
      <c r="N210" s="13" t="s">
        <v>11</v>
      </c>
      <c r="O210" s="16" t="str">
        <f>TEXT(VLOOKUP(M210, News!A:C, 3, FALSE), "M/D/YYYY")</f>
        <v>10/25/2019</v>
      </c>
      <c r="P210" s="18">
        <f>DATE(YEAR(O210),MONTH(Metrics!$B$5), DAY(Metrics!$B$5))</f>
        <v>43709</v>
      </c>
      <c r="Q210" s="16">
        <f t="shared" si="3"/>
        <v>2020</v>
      </c>
    </row>
    <row r="211" spans="4:17" ht="16" x14ac:dyDescent="0.2">
      <c r="D211" s="10">
        <v>4619</v>
      </c>
      <c r="E211" s="7" t="s">
        <v>11</v>
      </c>
      <c r="M211" s="12">
        <v>4619</v>
      </c>
      <c r="N211" s="13" t="s">
        <v>11</v>
      </c>
      <c r="O211" s="16" t="str">
        <f>TEXT(VLOOKUP(M211, News!A:C, 3, FALSE), "M/D/YYYY")</f>
        <v>4/4/2014</v>
      </c>
      <c r="P211" s="18">
        <f>DATE(YEAR(O211),MONTH(Metrics!$B$5), DAY(Metrics!$B$5))</f>
        <v>41883</v>
      </c>
      <c r="Q211" s="16">
        <f t="shared" si="3"/>
        <v>2014</v>
      </c>
    </row>
    <row r="212" spans="4:17" ht="16" x14ac:dyDescent="0.2">
      <c r="D212" s="10">
        <v>4641</v>
      </c>
      <c r="E212" s="7" t="s">
        <v>11</v>
      </c>
      <c r="M212" s="12">
        <v>4641</v>
      </c>
      <c r="N212" s="13" t="s">
        <v>11</v>
      </c>
      <c r="O212" s="16" t="str">
        <f>TEXT(VLOOKUP(M212, News!A:C, 3, FALSE), "M/D/YYYY")</f>
        <v>12/2/2019</v>
      </c>
      <c r="P212" s="18">
        <f>DATE(YEAR(O212),MONTH(Metrics!$B$5), DAY(Metrics!$B$5))</f>
        <v>43709</v>
      </c>
      <c r="Q212" s="16">
        <f t="shared" si="3"/>
        <v>2020</v>
      </c>
    </row>
    <row r="213" spans="4:17" ht="16" x14ac:dyDescent="0.2">
      <c r="D213" s="10">
        <v>4762</v>
      </c>
      <c r="E213" s="7" t="s">
        <v>11</v>
      </c>
      <c r="M213" s="12">
        <v>4762</v>
      </c>
      <c r="N213" s="13" t="s">
        <v>11</v>
      </c>
      <c r="O213" s="16" t="str">
        <f>TEXT(VLOOKUP(M213, News!A:C, 3, FALSE), "M/D/YYYY")</f>
        <v>9/1/2019</v>
      </c>
      <c r="P213" s="18">
        <f>DATE(YEAR(O213),MONTH(Metrics!$B$5), DAY(Metrics!$B$5))</f>
        <v>43709</v>
      </c>
      <c r="Q213" s="16">
        <f t="shared" si="3"/>
        <v>2020</v>
      </c>
    </row>
    <row r="214" spans="4:17" ht="16" x14ac:dyDescent="0.2">
      <c r="D214" s="10">
        <v>4763</v>
      </c>
      <c r="E214" s="7" t="s">
        <v>11</v>
      </c>
      <c r="M214" s="12">
        <v>4763</v>
      </c>
      <c r="N214" s="13" t="s">
        <v>11</v>
      </c>
      <c r="O214" s="16" t="str">
        <f>TEXT(VLOOKUP(M214, News!A:C, 3, FALSE), "M/D/YYYY")</f>
        <v>12/9/2019</v>
      </c>
      <c r="P214" s="18">
        <f>DATE(YEAR(O214),MONTH(Metrics!$B$5), DAY(Metrics!$B$5))</f>
        <v>43709</v>
      </c>
      <c r="Q214" s="16">
        <f t="shared" si="3"/>
        <v>2020</v>
      </c>
    </row>
    <row r="215" spans="4:17" ht="16" x14ac:dyDescent="0.2">
      <c r="D215" s="10">
        <v>4765</v>
      </c>
      <c r="E215" s="7" t="s">
        <v>11</v>
      </c>
      <c r="M215" s="12">
        <v>4765</v>
      </c>
      <c r="N215" s="13" t="s">
        <v>11</v>
      </c>
      <c r="O215" s="16" t="str">
        <f>TEXT(VLOOKUP(M215, News!A:C, 3, FALSE), "M/D/YYYY")</f>
        <v>12/10/2019</v>
      </c>
      <c r="P215" s="18">
        <f>DATE(YEAR(O215),MONTH(Metrics!$B$5), DAY(Metrics!$B$5))</f>
        <v>43709</v>
      </c>
      <c r="Q215" s="16">
        <f t="shared" si="3"/>
        <v>2020</v>
      </c>
    </row>
    <row r="216" spans="4:17" ht="16" x14ac:dyDescent="0.2">
      <c r="D216" s="10">
        <v>4769</v>
      </c>
      <c r="E216" s="7" t="s">
        <v>11</v>
      </c>
      <c r="M216" s="12">
        <v>4769</v>
      </c>
      <c r="N216" s="13" t="s">
        <v>11</v>
      </c>
      <c r="O216" s="16" t="str">
        <f>TEXT(VLOOKUP(M216, News!A:C, 3, FALSE), "M/D/YYYY")</f>
        <v>1/22/2020</v>
      </c>
      <c r="P216" s="18">
        <f>DATE(YEAR(O216),MONTH(Metrics!$B$5), DAY(Metrics!$B$5))</f>
        <v>44075</v>
      </c>
      <c r="Q216" s="16">
        <f t="shared" si="3"/>
        <v>2020</v>
      </c>
    </row>
    <row r="217" spans="4:17" ht="16" x14ac:dyDescent="0.2">
      <c r="D217" s="10">
        <v>4816</v>
      </c>
      <c r="E217" s="7" t="s">
        <v>11</v>
      </c>
      <c r="M217" s="12">
        <v>4816</v>
      </c>
      <c r="N217" s="13" t="s">
        <v>11</v>
      </c>
      <c r="O217" s="16" t="str">
        <f>TEXT(VLOOKUP(M217, News!A:C, 3, FALSE), "M/D/YYYY")</f>
        <v>1/10/2020</v>
      </c>
      <c r="P217" s="18">
        <f>DATE(YEAR(O217),MONTH(Metrics!$B$5), DAY(Metrics!$B$5))</f>
        <v>44075</v>
      </c>
      <c r="Q217" s="16">
        <f t="shared" si="3"/>
        <v>2020</v>
      </c>
    </row>
    <row r="218" spans="4:17" ht="16" x14ac:dyDescent="0.2">
      <c r="D218" s="10">
        <v>4829</v>
      </c>
      <c r="E218" s="7" t="s">
        <v>11</v>
      </c>
      <c r="M218" s="12">
        <v>4829</v>
      </c>
      <c r="N218" s="13" t="s">
        <v>11</v>
      </c>
      <c r="O218" s="16" t="str">
        <f>TEXT(VLOOKUP(M218, News!A:C, 3, FALSE), "M/D/YYYY")</f>
        <v>2/18/2020</v>
      </c>
      <c r="P218" s="18">
        <f>DATE(YEAR(O218),MONTH(Metrics!$B$5), DAY(Metrics!$B$5))</f>
        <v>44075</v>
      </c>
      <c r="Q218" s="16">
        <f t="shared" si="3"/>
        <v>2020</v>
      </c>
    </row>
    <row r="219" spans="4:17" ht="16" x14ac:dyDescent="0.2">
      <c r="D219" s="10">
        <v>4855</v>
      </c>
      <c r="E219" s="7" t="s">
        <v>11</v>
      </c>
      <c r="M219" s="12">
        <v>4855</v>
      </c>
      <c r="N219" s="13" t="s">
        <v>11</v>
      </c>
      <c r="O219" s="16" t="str">
        <f>TEXT(VLOOKUP(M219, News!A:C, 3, FALSE), "M/D/YYYY")</f>
        <v>3/13/2020</v>
      </c>
      <c r="P219" s="18">
        <f>DATE(YEAR(O219),MONTH(Metrics!$B$5), DAY(Metrics!$B$5))</f>
        <v>44075</v>
      </c>
      <c r="Q219" s="16">
        <f t="shared" si="3"/>
        <v>2020</v>
      </c>
    </row>
    <row r="220" spans="4:17" ht="16" x14ac:dyDescent="0.2">
      <c r="D220" s="10">
        <v>4863</v>
      </c>
      <c r="E220" s="7" t="s">
        <v>11</v>
      </c>
      <c r="M220" s="12">
        <v>4863</v>
      </c>
      <c r="N220" s="13" t="s">
        <v>11</v>
      </c>
      <c r="O220" s="16" t="str">
        <f>TEXT(VLOOKUP(M220, News!A:C, 3, FALSE), "M/D/YYYY")</f>
        <v>2/6/2020</v>
      </c>
      <c r="P220" s="18">
        <f>DATE(YEAR(O220),MONTH(Metrics!$B$5), DAY(Metrics!$B$5))</f>
        <v>44075</v>
      </c>
      <c r="Q220" s="16">
        <f t="shared" si="3"/>
        <v>2020</v>
      </c>
    </row>
    <row r="221" spans="4:17" ht="16" x14ac:dyDescent="0.2">
      <c r="D221" s="10">
        <v>4870</v>
      </c>
      <c r="E221" s="7" t="s">
        <v>11</v>
      </c>
      <c r="M221" s="12">
        <v>4870</v>
      </c>
      <c r="N221" s="13" t="s">
        <v>11</v>
      </c>
      <c r="O221" s="16" t="str">
        <f>TEXT(VLOOKUP(M221, News!A:C, 3, FALSE), "M/D/YYYY")</f>
        <v>3/25/2020</v>
      </c>
      <c r="P221" s="18">
        <f>DATE(YEAR(O221),MONTH(Metrics!$B$5), DAY(Metrics!$B$5))</f>
        <v>44075</v>
      </c>
      <c r="Q221" s="16">
        <f t="shared" si="3"/>
        <v>2020</v>
      </c>
    </row>
    <row r="222" spans="4:17" ht="16" x14ac:dyDescent="0.2">
      <c r="D222" s="10">
        <v>4875</v>
      </c>
      <c r="E222" s="7" t="s">
        <v>11</v>
      </c>
      <c r="M222" s="12">
        <v>4875</v>
      </c>
      <c r="N222" s="13" t="s">
        <v>11</v>
      </c>
      <c r="O222" s="16" t="str">
        <f>TEXT(VLOOKUP(M222, News!A:C, 3, FALSE), "M/D/YYYY")</f>
        <v>4/1/2020</v>
      </c>
      <c r="P222" s="18">
        <f>DATE(YEAR(O222),MONTH(Metrics!$B$5), DAY(Metrics!$B$5))</f>
        <v>44075</v>
      </c>
      <c r="Q222" s="16">
        <f t="shared" si="3"/>
        <v>2020</v>
      </c>
    </row>
    <row r="223" spans="4:17" ht="16" x14ac:dyDescent="0.2">
      <c r="D223" s="10">
        <v>4901</v>
      </c>
      <c r="E223" s="7" t="s">
        <v>11</v>
      </c>
      <c r="M223" s="12">
        <v>4901</v>
      </c>
      <c r="N223" s="13" t="s">
        <v>11</v>
      </c>
      <c r="O223" s="16" t="str">
        <f>TEXT(VLOOKUP(M223, News!A:C, 3, FALSE), "M/D/YYYY")</f>
        <v>4/21/2020</v>
      </c>
      <c r="P223" s="18">
        <f>DATE(YEAR(O223),MONTH(Metrics!$B$5), DAY(Metrics!$B$5))</f>
        <v>44075</v>
      </c>
      <c r="Q223" s="16">
        <f t="shared" si="3"/>
        <v>2020</v>
      </c>
    </row>
    <row r="224" spans="4:17" ht="16" x14ac:dyDescent="0.2">
      <c r="D224" s="10">
        <v>4903</v>
      </c>
      <c r="E224" s="7" t="s">
        <v>11</v>
      </c>
      <c r="M224" s="12">
        <v>4903</v>
      </c>
      <c r="N224" s="13" t="s">
        <v>11</v>
      </c>
      <c r="O224" s="16" t="str">
        <f>TEXT(VLOOKUP(M224, News!A:C, 3, FALSE), "M/D/YYYY")</f>
        <v>4/21/2020</v>
      </c>
      <c r="P224" s="18">
        <f>DATE(YEAR(O224),MONTH(Metrics!$B$5), DAY(Metrics!$B$5))</f>
        <v>44075</v>
      </c>
      <c r="Q224" s="16">
        <f t="shared" si="3"/>
        <v>2020</v>
      </c>
    </row>
    <row r="225" spans="4:17" ht="16" x14ac:dyDescent="0.2">
      <c r="D225" s="10">
        <v>4910</v>
      </c>
      <c r="E225" s="7" t="s">
        <v>11</v>
      </c>
      <c r="M225" s="12">
        <v>4910</v>
      </c>
      <c r="N225" s="13" t="s">
        <v>11</v>
      </c>
      <c r="O225" s="16" t="str">
        <f>TEXT(VLOOKUP(M225, News!A:C, 3, FALSE), "M/D/YYYY")</f>
        <v>4/1/2020</v>
      </c>
      <c r="P225" s="18">
        <f>DATE(YEAR(O225),MONTH(Metrics!$B$5), DAY(Metrics!$B$5))</f>
        <v>44075</v>
      </c>
      <c r="Q225" s="16">
        <f t="shared" si="3"/>
        <v>2020</v>
      </c>
    </row>
    <row r="226" spans="4:17" ht="16" x14ac:dyDescent="0.2">
      <c r="D226" s="10">
        <v>4912</v>
      </c>
      <c r="E226" s="7" t="s">
        <v>11</v>
      </c>
      <c r="M226" s="12">
        <v>4912</v>
      </c>
      <c r="N226" s="13" t="s">
        <v>11</v>
      </c>
      <c r="O226" s="16" t="str">
        <f>TEXT(VLOOKUP(M226, News!A:C, 3, FALSE), "M/D/YYYY")</f>
        <v>3/24/2020</v>
      </c>
      <c r="P226" s="18">
        <f>DATE(YEAR(O226),MONTH(Metrics!$B$5), DAY(Metrics!$B$5))</f>
        <v>44075</v>
      </c>
      <c r="Q226" s="16">
        <f t="shared" si="3"/>
        <v>2020</v>
      </c>
    </row>
    <row r="227" spans="4:17" ht="16" x14ac:dyDescent="0.2">
      <c r="D227" s="10">
        <v>4934</v>
      </c>
      <c r="E227" s="7" t="s">
        <v>11</v>
      </c>
      <c r="M227" s="12">
        <v>4934</v>
      </c>
      <c r="N227" s="13" t="s">
        <v>11</v>
      </c>
      <c r="O227" s="16" t="str">
        <f>TEXT(VLOOKUP(M227, News!A:C, 3, FALSE), "M/D/YYYY")</f>
        <v>5/27/2020</v>
      </c>
      <c r="P227" s="18">
        <f>DATE(YEAR(O227),MONTH(Metrics!$B$5), DAY(Metrics!$B$5))</f>
        <v>44075</v>
      </c>
      <c r="Q227" s="16">
        <f t="shared" si="3"/>
        <v>2020</v>
      </c>
    </row>
    <row r="228" spans="4:17" ht="16" x14ac:dyDescent="0.2">
      <c r="D228" s="10">
        <v>4937</v>
      </c>
      <c r="E228" s="7" t="s">
        <v>11</v>
      </c>
      <c r="M228" s="12">
        <v>4937</v>
      </c>
      <c r="N228" s="13" t="s">
        <v>11</v>
      </c>
      <c r="O228" s="16" t="str">
        <f>TEXT(VLOOKUP(M228, News!A:C, 3, FALSE), "M/D/YYYY")</f>
        <v>5/7/2020</v>
      </c>
      <c r="P228" s="18">
        <f>DATE(YEAR(O228),MONTH(Metrics!$B$5), DAY(Metrics!$B$5))</f>
        <v>44075</v>
      </c>
      <c r="Q228" s="16">
        <f t="shared" si="3"/>
        <v>2020</v>
      </c>
    </row>
    <row r="229" spans="4:17" ht="16" x14ac:dyDescent="0.2">
      <c r="D229" s="10">
        <v>4942</v>
      </c>
      <c r="E229" s="7" t="s">
        <v>11</v>
      </c>
      <c r="M229" s="12">
        <v>4942</v>
      </c>
      <c r="N229" s="13" t="s">
        <v>11</v>
      </c>
      <c r="O229" s="16" t="str">
        <f>TEXT(VLOOKUP(M229, News!A:C, 3, FALSE), "M/D/YYYY")</f>
        <v>5/28/2020</v>
      </c>
      <c r="P229" s="18">
        <f>DATE(YEAR(O229),MONTH(Metrics!$B$5), DAY(Metrics!$B$5))</f>
        <v>44075</v>
      </c>
      <c r="Q229" s="16">
        <f t="shared" si="3"/>
        <v>2020</v>
      </c>
    </row>
    <row r="230" spans="4:17" ht="16" x14ac:dyDescent="0.2">
      <c r="D230" s="10">
        <v>4944</v>
      </c>
      <c r="E230" s="7" t="s">
        <v>11</v>
      </c>
      <c r="M230" s="12">
        <v>4944</v>
      </c>
      <c r="N230" s="13" t="s">
        <v>11</v>
      </c>
      <c r="O230" s="16" t="str">
        <f>TEXT(VLOOKUP(M230, News!A:C, 3, FALSE), "M/D/YYYY")</f>
        <v>6/1/2020</v>
      </c>
      <c r="P230" s="18">
        <f>DATE(YEAR(O230),MONTH(Metrics!$B$5), DAY(Metrics!$B$5))</f>
        <v>44075</v>
      </c>
      <c r="Q230" s="16">
        <f t="shared" si="3"/>
        <v>2020</v>
      </c>
    </row>
    <row r="231" spans="4:17" ht="16" x14ac:dyDescent="0.2">
      <c r="D231" s="10">
        <v>4948</v>
      </c>
      <c r="E231" s="7" t="s">
        <v>11</v>
      </c>
      <c r="M231" s="12">
        <v>4948</v>
      </c>
      <c r="N231" s="13" t="s">
        <v>11</v>
      </c>
      <c r="O231" s="16" t="str">
        <f>TEXT(VLOOKUP(M231, News!A:C, 3, FALSE), "M/D/YYYY")</f>
        <v>6/6/2020</v>
      </c>
      <c r="P231" s="18">
        <f>DATE(YEAR(O231),MONTH(Metrics!$B$5), DAY(Metrics!$B$5))</f>
        <v>44075</v>
      </c>
      <c r="Q231" s="16">
        <f t="shared" si="3"/>
        <v>2020</v>
      </c>
    </row>
    <row r="232" spans="4:17" ht="16" x14ac:dyDescent="0.2">
      <c r="D232" s="10">
        <v>4977</v>
      </c>
      <c r="E232" s="7" t="s">
        <v>11</v>
      </c>
      <c r="M232" s="12">
        <v>4977</v>
      </c>
      <c r="N232" s="13" t="s">
        <v>11</v>
      </c>
      <c r="O232" s="16" t="str">
        <f>TEXT(VLOOKUP(M232, News!A:C, 3, FALSE), "M/D/YYYY")</f>
        <v>6/18/2020</v>
      </c>
      <c r="P232" s="18">
        <f>DATE(YEAR(O232),MONTH(Metrics!$B$5), DAY(Metrics!$B$5))</f>
        <v>44075</v>
      </c>
      <c r="Q232" s="16">
        <f t="shared" si="3"/>
        <v>2020</v>
      </c>
    </row>
    <row r="233" spans="4:17" ht="16" x14ac:dyDescent="0.2">
      <c r="D233" s="10">
        <v>4978</v>
      </c>
      <c r="E233" s="7" t="s">
        <v>11</v>
      </c>
      <c r="M233" s="12">
        <v>4978</v>
      </c>
      <c r="N233" s="13" t="s">
        <v>11</v>
      </c>
      <c r="O233" s="16" t="str">
        <f>TEXT(VLOOKUP(M233, News!A:C, 3, FALSE), "M/D/YYYY")</f>
        <v>5/29/2020</v>
      </c>
      <c r="P233" s="18">
        <f>DATE(YEAR(O233),MONTH(Metrics!$B$5), DAY(Metrics!$B$5))</f>
        <v>44075</v>
      </c>
      <c r="Q233" s="16">
        <f t="shared" si="3"/>
        <v>2020</v>
      </c>
    </row>
    <row r="234" spans="4:17" ht="16" x14ac:dyDescent="0.2">
      <c r="D234" s="10">
        <v>4982</v>
      </c>
      <c r="E234" s="7" t="s">
        <v>11</v>
      </c>
      <c r="M234" s="12">
        <v>4982</v>
      </c>
      <c r="N234" s="13" t="s">
        <v>11</v>
      </c>
      <c r="O234" s="16" t="str">
        <f>TEXT(VLOOKUP(M234, News!A:C, 3, FALSE), "M/D/YYYY")</f>
        <v>6/19/2020</v>
      </c>
      <c r="P234" s="18">
        <f>DATE(YEAR(O234),MONTH(Metrics!$B$5), DAY(Metrics!$B$5))</f>
        <v>44075</v>
      </c>
      <c r="Q234" s="16">
        <f t="shared" si="3"/>
        <v>2020</v>
      </c>
    </row>
    <row r="235" spans="4:17" ht="16" x14ac:dyDescent="0.2">
      <c r="D235" s="10">
        <v>5025</v>
      </c>
      <c r="E235" s="7" t="s">
        <v>11</v>
      </c>
      <c r="M235" s="12">
        <v>5025</v>
      </c>
      <c r="N235" s="13" t="s">
        <v>11</v>
      </c>
      <c r="O235" s="16" t="str">
        <f>TEXT(VLOOKUP(M235, News!A:C, 3, FALSE), "M/D/YYYY")</f>
        <v>8/6/2020</v>
      </c>
      <c r="P235" s="18">
        <f>DATE(YEAR(O235),MONTH(Metrics!$B$5), DAY(Metrics!$B$5))</f>
        <v>44075</v>
      </c>
      <c r="Q235" s="16">
        <f t="shared" si="3"/>
        <v>2020</v>
      </c>
    </row>
    <row r="236" spans="4:17" ht="16" x14ac:dyDescent="0.2">
      <c r="D236" s="10">
        <v>5038</v>
      </c>
      <c r="E236" s="7" t="s">
        <v>11</v>
      </c>
      <c r="M236" s="12">
        <v>5038</v>
      </c>
      <c r="N236" s="13" t="s">
        <v>11</v>
      </c>
      <c r="O236" s="16" t="str">
        <f>TEXT(VLOOKUP(M236, News!A:C, 3, FALSE), "M/D/YYYY")</f>
        <v>9/1/2020</v>
      </c>
      <c r="P236" s="18">
        <f>DATE(YEAR(O236),MONTH(Metrics!$B$5), DAY(Metrics!$B$5))</f>
        <v>44075</v>
      </c>
      <c r="Q236" s="16">
        <f t="shared" si="3"/>
        <v>2021</v>
      </c>
    </row>
    <row r="237" spans="4:17" ht="16" x14ac:dyDescent="0.2">
      <c r="D237" s="10">
        <v>5078</v>
      </c>
      <c r="E237" s="7" t="s">
        <v>11</v>
      </c>
      <c r="M237" s="12">
        <v>5078</v>
      </c>
      <c r="N237" s="13" t="s">
        <v>11</v>
      </c>
      <c r="O237" s="16" t="str">
        <f>TEXT(VLOOKUP(M237, News!A:C, 3, FALSE), "M/D/YYYY")</f>
        <v>9/17/2020</v>
      </c>
      <c r="P237" s="18">
        <f>DATE(YEAR(O237),MONTH(Metrics!$B$5), DAY(Metrics!$B$5))</f>
        <v>44075</v>
      </c>
      <c r="Q237" s="16">
        <f t="shared" si="3"/>
        <v>2021</v>
      </c>
    </row>
    <row r="238" spans="4:17" ht="16" x14ac:dyDescent="0.2">
      <c r="D238" s="10">
        <v>5094</v>
      </c>
      <c r="E238" s="7" t="s">
        <v>11</v>
      </c>
      <c r="M238" s="12">
        <v>5094</v>
      </c>
      <c r="N238" s="13" t="s">
        <v>11</v>
      </c>
      <c r="O238" s="16" t="str">
        <f>TEXT(VLOOKUP(M238, News!A:C, 3, FALSE), "M/D/YYYY")</f>
        <v>9/8/2020</v>
      </c>
      <c r="P238" s="18">
        <f>DATE(YEAR(O238),MONTH(Metrics!$B$5), DAY(Metrics!$B$5))</f>
        <v>44075</v>
      </c>
      <c r="Q238" s="16">
        <f t="shared" si="3"/>
        <v>2021</v>
      </c>
    </row>
    <row r="239" spans="4:17" ht="16" x14ac:dyDescent="0.2">
      <c r="D239" s="10">
        <v>5112</v>
      </c>
      <c r="E239" s="7" t="s">
        <v>11</v>
      </c>
      <c r="M239" s="12">
        <v>5112</v>
      </c>
      <c r="N239" s="13" t="s">
        <v>11</v>
      </c>
      <c r="O239" s="16" t="str">
        <f>TEXT(VLOOKUP(M239, News!A:C, 3, FALSE), "M/D/YYYY")</f>
        <v>9/17/2020</v>
      </c>
      <c r="P239" s="18">
        <f>DATE(YEAR(O239),MONTH(Metrics!$B$5), DAY(Metrics!$B$5))</f>
        <v>44075</v>
      </c>
      <c r="Q239" s="16">
        <f t="shared" si="3"/>
        <v>2021</v>
      </c>
    </row>
    <row r="240" spans="4:17" ht="16" x14ac:dyDescent="0.2">
      <c r="D240" s="10">
        <v>5114</v>
      </c>
      <c r="E240" s="7" t="s">
        <v>11</v>
      </c>
      <c r="M240" s="12">
        <v>5114</v>
      </c>
      <c r="N240" s="13" t="s">
        <v>11</v>
      </c>
      <c r="O240" s="16" t="str">
        <f>TEXT(VLOOKUP(M240, News!A:C, 3, FALSE), "M/D/YYYY")</f>
        <v>8/14/2020</v>
      </c>
      <c r="P240" s="18">
        <f>DATE(YEAR(O240),MONTH(Metrics!$B$5), DAY(Metrics!$B$5))</f>
        <v>44075</v>
      </c>
      <c r="Q240" s="16">
        <f t="shared" si="3"/>
        <v>2020</v>
      </c>
    </row>
    <row r="241" spans="4:17" ht="16" x14ac:dyDescent="0.2">
      <c r="D241" s="10">
        <v>5129</v>
      </c>
      <c r="E241" s="7" t="s">
        <v>11</v>
      </c>
      <c r="M241" s="12">
        <v>5129</v>
      </c>
      <c r="N241" s="13" t="s">
        <v>11</v>
      </c>
      <c r="O241" s="16" t="str">
        <f>TEXT(VLOOKUP(M241, News!A:C, 3, FALSE), "M/D/YYYY")</f>
        <v>8/31/2020</v>
      </c>
      <c r="P241" s="18">
        <f>DATE(YEAR(O241),MONTH(Metrics!$B$5), DAY(Metrics!$B$5))</f>
        <v>44075</v>
      </c>
      <c r="Q241" s="16">
        <f t="shared" si="3"/>
        <v>2020</v>
      </c>
    </row>
    <row r="242" spans="4:17" ht="16" x14ac:dyDescent="0.2">
      <c r="D242" s="10">
        <v>5382</v>
      </c>
      <c r="E242" s="7" t="s">
        <v>11</v>
      </c>
      <c r="M242" s="12">
        <v>5382</v>
      </c>
      <c r="N242" s="13" t="s">
        <v>11</v>
      </c>
      <c r="O242" s="16" t="str">
        <f>TEXT(VLOOKUP(M242, News!A:C, 3, FALSE), "M/D/YYYY")</f>
        <v>10/1/2020</v>
      </c>
      <c r="P242" s="18">
        <f>DATE(YEAR(O242),MONTH(Metrics!$B$5), DAY(Metrics!$B$5))</f>
        <v>44075</v>
      </c>
      <c r="Q242" s="16">
        <f t="shared" si="3"/>
        <v>2021</v>
      </c>
    </row>
    <row r="243" spans="4:17" ht="16" x14ac:dyDescent="0.2">
      <c r="D243" s="10">
        <v>5446</v>
      </c>
      <c r="E243" s="7" t="s">
        <v>11</v>
      </c>
      <c r="M243" s="12">
        <v>5446</v>
      </c>
      <c r="N243" s="13" t="s">
        <v>11</v>
      </c>
      <c r="O243" s="16" t="str">
        <f>TEXT(VLOOKUP(M243, News!A:C, 3, FALSE), "M/D/YYYY")</f>
        <v>10/20/2020</v>
      </c>
      <c r="P243" s="18">
        <f>DATE(YEAR(O243),MONTH(Metrics!$B$5), DAY(Metrics!$B$5))</f>
        <v>44075</v>
      </c>
      <c r="Q243" s="16">
        <f t="shared" si="3"/>
        <v>2021</v>
      </c>
    </row>
    <row r="244" spans="4:17" ht="16" x14ac:dyDescent="0.2">
      <c r="D244" s="10">
        <v>5454</v>
      </c>
      <c r="E244" s="7" t="s">
        <v>11</v>
      </c>
      <c r="M244" s="12">
        <v>5454</v>
      </c>
      <c r="N244" s="13" t="s">
        <v>11</v>
      </c>
      <c r="O244" s="16" t="str">
        <f>TEXT(VLOOKUP(M244, News!A:C, 3, FALSE), "M/D/YYYY")</f>
        <v>10/12/2020</v>
      </c>
      <c r="P244" s="18">
        <f>DATE(YEAR(O244),MONTH(Metrics!$B$5), DAY(Metrics!$B$5))</f>
        <v>44075</v>
      </c>
      <c r="Q244" s="16">
        <f t="shared" si="3"/>
        <v>2021</v>
      </c>
    </row>
    <row r="245" spans="4:17" ht="16" x14ac:dyDescent="0.2">
      <c r="D245" s="10">
        <v>5526</v>
      </c>
      <c r="E245" s="7" t="s">
        <v>11</v>
      </c>
      <c r="M245" s="12">
        <v>5526</v>
      </c>
      <c r="N245" s="13" t="s">
        <v>11</v>
      </c>
      <c r="O245" s="16" t="str">
        <f>TEXT(VLOOKUP(M245, News!A:C, 3, FALSE), "M/D/YYYY")</f>
        <v>10/28/2020</v>
      </c>
      <c r="P245" s="18">
        <f>DATE(YEAR(O245),MONTH(Metrics!$B$5), DAY(Metrics!$B$5))</f>
        <v>44075</v>
      </c>
      <c r="Q245" s="16">
        <f t="shared" si="3"/>
        <v>2021</v>
      </c>
    </row>
    <row r="246" spans="4:17" ht="16" x14ac:dyDescent="0.2">
      <c r="D246" s="10">
        <v>5535</v>
      </c>
      <c r="E246" s="7" t="s">
        <v>11</v>
      </c>
      <c r="M246" s="12">
        <v>5535</v>
      </c>
      <c r="N246" s="13" t="s">
        <v>11</v>
      </c>
      <c r="O246" s="16" t="str">
        <f>TEXT(VLOOKUP(M246, News!A:C, 3, FALSE), "M/D/YYYY")</f>
        <v>10/30/2020</v>
      </c>
      <c r="P246" s="18">
        <f>DATE(YEAR(O246),MONTH(Metrics!$B$5), DAY(Metrics!$B$5))</f>
        <v>44075</v>
      </c>
      <c r="Q246" s="16">
        <f t="shared" si="3"/>
        <v>2021</v>
      </c>
    </row>
    <row r="247" spans="4:17" ht="16" x14ac:dyDescent="0.2">
      <c r="D247" s="10">
        <v>5537</v>
      </c>
      <c r="E247" s="7" t="s">
        <v>11</v>
      </c>
      <c r="M247" s="12">
        <v>5537</v>
      </c>
      <c r="N247" s="13" t="s">
        <v>11</v>
      </c>
      <c r="O247" s="16" t="str">
        <f>TEXT(VLOOKUP(M247, News!A:C, 3, FALSE), "M/D/YYYY")</f>
        <v>11/3/2020</v>
      </c>
      <c r="P247" s="18">
        <f>DATE(YEAR(O247),MONTH(Metrics!$B$5), DAY(Metrics!$B$5))</f>
        <v>44075</v>
      </c>
      <c r="Q247" s="16">
        <f t="shared" si="3"/>
        <v>2021</v>
      </c>
    </row>
    <row r="248" spans="4:17" ht="16" x14ac:dyDescent="0.2">
      <c r="D248" s="10">
        <v>5606</v>
      </c>
      <c r="E248" s="7" t="s">
        <v>11</v>
      </c>
      <c r="M248" s="12">
        <v>5606</v>
      </c>
      <c r="N248" s="13" t="s">
        <v>11</v>
      </c>
      <c r="O248" s="16" t="str">
        <f>TEXT(VLOOKUP(M248, News!A:C, 3, FALSE), "M/D/YYYY")</f>
        <v>11/23/2020</v>
      </c>
      <c r="P248" s="18">
        <f>DATE(YEAR(O248),MONTH(Metrics!$B$5), DAY(Metrics!$B$5))</f>
        <v>44075</v>
      </c>
      <c r="Q248" s="16">
        <f t="shared" si="3"/>
        <v>2021</v>
      </c>
    </row>
    <row r="249" spans="4:17" ht="16" x14ac:dyDescent="0.2">
      <c r="D249" s="10">
        <v>5624</v>
      </c>
      <c r="E249" s="7" t="s">
        <v>11</v>
      </c>
      <c r="M249" s="12">
        <v>5624</v>
      </c>
      <c r="N249" s="13" t="s">
        <v>11</v>
      </c>
      <c r="O249" s="16" t="str">
        <f>TEXT(VLOOKUP(M249, News!A:C, 3, FALSE), "M/D/YYYY")</f>
        <v>11/30/2020</v>
      </c>
      <c r="P249" s="18">
        <f>DATE(YEAR(O249),MONTH(Metrics!$B$5), DAY(Metrics!$B$5))</f>
        <v>44075</v>
      </c>
      <c r="Q249" s="16">
        <f t="shared" si="3"/>
        <v>2021</v>
      </c>
    </row>
    <row r="250" spans="4:17" ht="16" x14ac:dyDescent="0.2">
      <c r="D250" s="10">
        <v>5641</v>
      </c>
      <c r="E250" s="7" t="s">
        <v>11</v>
      </c>
      <c r="M250" s="12">
        <v>5641</v>
      </c>
      <c r="N250" s="13" t="s">
        <v>11</v>
      </c>
      <c r="O250" s="16" t="str">
        <f>TEXT(VLOOKUP(M250, News!A:C, 3, FALSE), "M/D/YYYY")</f>
        <v>11/16/2020</v>
      </c>
      <c r="P250" s="18">
        <f>DATE(YEAR(O250),MONTH(Metrics!$B$5), DAY(Metrics!$B$5))</f>
        <v>44075</v>
      </c>
      <c r="Q250" s="16">
        <f t="shared" si="3"/>
        <v>2021</v>
      </c>
    </row>
    <row r="251" spans="4:17" ht="16" x14ac:dyDescent="0.2">
      <c r="D251" s="10">
        <v>5759</v>
      </c>
      <c r="E251" s="7" t="s">
        <v>11</v>
      </c>
      <c r="M251" s="12">
        <v>5759</v>
      </c>
      <c r="N251" s="13" t="s">
        <v>11</v>
      </c>
      <c r="O251" s="16" t="str">
        <f>TEXT(VLOOKUP(M251, News!A:C, 3, FALSE), "M/D/YYYY")</f>
        <v>10/25/2020</v>
      </c>
      <c r="P251" s="18">
        <f>DATE(YEAR(O251),MONTH(Metrics!$B$5), DAY(Metrics!$B$5))</f>
        <v>44075</v>
      </c>
      <c r="Q251" s="16">
        <f t="shared" si="3"/>
        <v>2021</v>
      </c>
    </row>
    <row r="252" spans="4:17" ht="16" x14ac:dyDescent="0.2">
      <c r="D252" s="10">
        <v>5806</v>
      </c>
      <c r="E252" s="7" t="s">
        <v>11</v>
      </c>
      <c r="M252" s="12">
        <v>5806</v>
      </c>
      <c r="N252" s="13" t="s">
        <v>11</v>
      </c>
      <c r="O252" s="16" t="str">
        <f>TEXT(VLOOKUP(M252, News!A:C, 3, FALSE), "M/D/YYYY")</f>
        <v>2/1/2021</v>
      </c>
      <c r="P252" s="18">
        <f>DATE(YEAR(O252),MONTH(Metrics!$B$5), DAY(Metrics!$B$5))</f>
        <v>44440</v>
      </c>
      <c r="Q252" s="16">
        <f t="shared" si="3"/>
        <v>2021</v>
      </c>
    </row>
    <row r="253" spans="4:17" ht="16" x14ac:dyDescent="0.2">
      <c r="D253" s="10">
        <v>5863</v>
      </c>
      <c r="E253" s="7" t="s">
        <v>11</v>
      </c>
      <c r="M253" s="12">
        <v>5863</v>
      </c>
      <c r="N253" s="13" t="s">
        <v>11</v>
      </c>
      <c r="O253" s="16" t="str">
        <f>TEXT(VLOOKUP(M253, News!A:C, 3, FALSE), "M/D/YYYY")</f>
        <v>3/15/2021</v>
      </c>
      <c r="P253" s="18">
        <f>DATE(YEAR(O253),MONTH(Metrics!$B$5), DAY(Metrics!$B$5))</f>
        <v>44440</v>
      </c>
      <c r="Q253" s="16">
        <f t="shared" si="3"/>
        <v>2021</v>
      </c>
    </row>
    <row r="254" spans="4:17" ht="16" x14ac:dyDescent="0.2">
      <c r="D254" s="10">
        <v>5883</v>
      </c>
      <c r="E254" s="7" t="s">
        <v>11</v>
      </c>
      <c r="M254" s="12">
        <v>5883</v>
      </c>
      <c r="N254" s="13" t="s">
        <v>11</v>
      </c>
      <c r="O254" s="16" t="str">
        <f>TEXT(VLOOKUP(M254, News!A:C, 3, FALSE), "M/D/YYYY")</f>
        <v>3/18/2021</v>
      </c>
      <c r="P254" s="18">
        <f>DATE(YEAR(O254),MONTH(Metrics!$B$5), DAY(Metrics!$B$5))</f>
        <v>44440</v>
      </c>
      <c r="Q254" s="16">
        <f t="shared" si="3"/>
        <v>2021</v>
      </c>
    </row>
    <row r="255" spans="4:17" ht="16" x14ac:dyDescent="0.2">
      <c r="D255" s="10">
        <v>5906</v>
      </c>
      <c r="E255" s="7" t="s">
        <v>11</v>
      </c>
      <c r="M255" s="12">
        <v>5906</v>
      </c>
      <c r="N255" s="13" t="s">
        <v>11</v>
      </c>
      <c r="O255" s="16" t="str">
        <f>TEXT(VLOOKUP(M255, News!A:C, 3, FALSE), "M/D/YYYY")</f>
        <v>3/25/2021</v>
      </c>
      <c r="P255" s="18">
        <f>DATE(YEAR(O255),MONTH(Metrics!$B$5), DAY(Metrics!$B$5))</f>
        <v>44440</v>
      </c>
      <c r="Q255" s="16">
        <f t="shared" si="3"/>
        <v>2021</v>
      </c>
    </row>
    <row r="256" spans="4:17" ht="16" x14ac:dyDescent="0.2">
      <c r="D256" s="10">
        <v>5920</v>
      </c>
      <c r="E256" s="7" t="s">
        <v>11</v>
      </c>
      <c r="M256" s="12">
        <v>5920</v>
      </c>
      <c r="N256" s="13" t="s">
        <v>11</v>
      </c>
      <c r="O256" s="16" t="str">
        <f>TEXT(VLOOKUP(M256, News!A:C, 3, FALSE), "M/D/YYYY")</f>
        <v>4/2/2021</v>
      </c>
      <c r="P256" s="18">
        <f>DATE(YEAR(O256),MONTH(Metrics!$B$5), DAY(Metrics!$B$5))</f>
        <v>44440</v>
      </c>
      <c r="Q256" s="16">
        <f t="shared" si="3"/>
        <v>2021</v>
      </c>
    </row>
    <row r="257" spans="4:17" ht="16" x14ac:dyDescent="0.2">
      <c r="D257" s="10">
        <v>6010</v>
      </c>
      <c r="E257" s="7" t="s">
        <v>11</v>
      </c>
      <c r="M257" s="12">
        <v>6010</v>
      </c>
      <c r="N257" s="13" t="s">
        <v>11</v>
      </c>
      <c r="O257" s="16" t="str">
        <f>TEXT(VLOOKUP(M257, News!A:C, 3, FALSE), "M/D/YYYY")</f>
        <v>4/17/2021</v>
      </c>
      <c r="P257" s="18">
        <f>DATE(YEAR(O257),MONTH(Metrics!$B$5), DAY(Metrics!$B$5))</f>
        <v>44440</v>
      </c>
      <c r="Q257" s="16">
        <f t="shared" si="3"/>
        <v>2021</v>
      </c>
    </row>
    <row r="258" spans="4:17" ht="16" x14ac:dyDescent="0.2">
      <c r="D258" s="10">
        <v>5958</v>
      </c>
      <c r="E258" s="7" t="s">
        <v>11</v>
      </c>
      <c r="M258" s="12">
        <v>5958</v>
      </c>
      <c r="N258" s="13" t="s">
        <v>11</v>
      </c>
      <c r="O258" s="16" t="str">
        <f>TEXT(VLOOKUP(M258, News!A:C, 3, FALSE), "M/D/YYYY")</f>
        <v>4/19/2021</v>
      </c>
      <c r="P258" s="18">
        <f>DATE(YEAR(O258),MONTH(Metrics!$B$5), DAY(Metrics!$B$5))</f>
        <v>44440</v>
      </c>
      <c r="Q258" s="16">
        <f t="shared" si="3"/>
        <v>2021</v>
      </c>
    </row>
    <row r="259" spans="4:17" ht="16" x14ac:dyDescent="0.2">
      <c r="D259" s="10">
        <v>6008</v>
      </c>
      <c r="E259" s="7" t="s">
        <v>11</v>
      </c>
      <c r="M259" s="12">
        <v>6008</v>
      </c>
      <c r="N259" s="13" t="s">
        <v>11</v>
      </c>
      <c r="O259" s="16" t="str">
        <f>TEXT(VLOOKUP(M259, News!A:C, 3, FALSE), "M/D/YYYY")</f>
        <v>4/28/2021</v>
      </c>
      <c r="P259" s="18">
        <f>DATE(YEAR(O259),MONTH(Metrics!$B$5), DAY(Metrics!$B$5))</f>
        <v>44440</v>
      </c>
      <c r="Q259" s="16">
        <f t="shared" ref="Q259:Q322" si="4">IF(MONTH(O259) &gt;= MONTH(P259), YEAR(O259)+1, YEAR(O259))</f>
        <v>2021</v>
      </c>
    </row>
    <row r="260" spans="4:17" ht="16" x14ac:dyDescent="0.2">
      <c r="D260" s="10">
        <v>6028</v>
      </c>
      <c r="E260" s="7" t="s">
        <v>11</v>
      </c>
      <c r="M260" s="12">
        <v>6028</v>
      </c>
      <c r="N260" s="13" t="s">
        <v>11</v>
      </c>
      <c r="O260" s="16" t="str">
        <f>TEXT(VLOOKUP(M260, News!A:C, 3, FALSE), "M/D/YYYY")</f>
        <v>5/3/2021</v>
      </c>
      <c r="P260" s="18">
        <f>DATE(YEAR(O260),MONTH(Metrics!$B$5), DAY(Metrics!$B$5))</f>
        <v>44440</v>
      </c>
      <c r="Q260" s="16">
        <f t="shared" si="4"/>
        <v>2021</v>
      </c>
    </row>
    <row r="261" spans="4:17" ht="16" x14ac:dyDescent="0.2">
      <c r="D261" s="10">
        <v>6083</v>
      </c>
      <c r="E261" s="7" t="s">
        <v>11</v>
      </c>
      <c r="M261" s="12">
        <v>6083</v>
      </c>
      <c r="N261" s="13" t="s">
        <v>11</v>
      </c>
      <c r="O261" s="16" t="str">
        <f>TEXT(VLOOKUP(M261, News!A:C, 3, FALSE), "M/D/YYYY")</f>
        <v>5/18/2021</v>
      </c>
      <c r="P261" s="18">
        <f>DATE(YEAR(O261),MONTH(Metrics!$B$5), DAY(Metrics!$B$5))</f>
        <v>44440</v>
      </c>
      <c r="Q261" s="16">
        <f t="shared" si="4"/>
        <v>2021</v>
      </c>
    </row>
    <row r="262" spans="4:17" ht="16" x14ac:dyDescent="0.2">
      <c r="D262" s="10">
        <v>6662</v>
      </c>
      <c r="E262" s="7" t="s">
        <v>11</v>
      </c>
      <c r="M262" s="12">
        <v>6662</v>
      </c>
      <c r="N262" s="13" t="s">
        <v>11</v>
      </c>
      <c r="O262" s="16" t="str">
        <f>TEXT(VLOOKUP(M262, News!A:C, 3, FALSE), "M/D/YYYY")</f>
        <v>9/1/2021</v>
      </c>
      <c r="P262" s="18">
        <f>DATE(YEAR(O262),MONTH(Metrics!$B$5), DAY(Metrics!$B$5))</f>
        <v>44440</v>
      </c>
      <c r="Q262" s="16">
        <f t="shared" si="4"/>
        <v>2022</v>
      </c>
    </row>
    <row r="263" spans="4:17" ht="16" x14ac:dyDescent="0.2">
      <c r="D263" s="10">
        <v>6358</v>
      </c>
      <c r="E263" s="7" t="s">
        <v>11</v>
      </c>
      <c r="M263" s="12">
        <v>6358</v>
      </c>
      <c r="N263" s="13" t="s">
        <v>11</v>
      </c>
      <c r="O263" s="16" t="str">
        <f>TEXT(VLOOKUP(M263, News!A:C, 3, FALSE), "M/D/YYYY")</f>
        <v>9/8/2021</v>
      </c>
      <c r="P263" s="18">
        <f>DATE(YEAR(O263),MONTH(Metrics!$B$5), DAY(Metrics!$B$5))</f>
        <v>44440</v>
      </c>
      <c r="Q263" s="16">
        <f t="shared" si="4"/>
        <v>2022</v>
      </c>
    </row>
    <row r="264" spans="4:17" ht="16" x14ac:dyDescent="0.2">
      <c r="D264" s="10">
        <v>6435</v>
      </c>
      <c r="E264" s="7" t="s">
        <v>11</v>
      </c>
      <c r="M264" s="12">
        <v>6435</v>
      </c>
      <c r="N264" s="13" t="s">
        <v>11</v>
      </c>
      <c r="O264" s="16" t="str">
        <f>TEXT(VLOOKUP(M264, News!A:C, 3, FALSE), "M/D/YYYY")</f>
        <v>10/20/2021</v>
      </c>
      <c r="P264" s="18">
        <f>DATE(YEAR(O264),MONTH(Metrics!$B$5), DAY(Metrics!$B$5))</f>
        <v>44440</v>
      </c>
      <c r="Q264" s="16">
        <f t="shared" si="4"/>
        <v>2022</v>
      </c>
    </row>
    <row r="265" spans="4:17" ht="16" x14ac:dyDescent="0.2">
      <c r="D265" s="10">
        <v>6436</v>
      </c>
      <c r="E265" s="7" t="s">
        <v>11</v>
      </c>
      <c r="M265" s="12">
        <v>6436</v>
      </c>
      <c r="N265" s="13" t="s">
        <v>11</v>
      </c>
      <c r="O265" s="16" t="str">
        <f>TEXT(VLOOKUP(M265, News!A:C, 3, FALSE), "M/D/YYYY")</f>
        <v>10/20/2021</v>
      </c>
      <c r="P265" s="18">
        <f>DATE(YEAR(O265),MONTH(Metrics!$B$5), DAY(Metrics!$B$5))</f>
        <v>44440</v>
      </c>
      <c r="Q265" s="16">
        <f t="shared" si="4"/>
        <v>2022</v>
      </c>
    </row>
    <row r="266" spans="4:17" ht="16" x14ac:dyDescent="0.2">
      <c r="D266" s="10">
        <v>6556</v>
      </c>
      <c r="E266" s="7" t="s">
        <v>11</v>
      </c>
      <c r="M266" s="12">
        <v>6556</v>
      </c>
      <c r="N266" s="13" t="s">
        <v>11</v>
      </c>
      <c r="O266" s="16" t="str">
        <f>TEXT(VLOOKUP(M266, News!A:C, 3, FALSE), "M/D/YYYY")</f>
        <v>10/20/2021</v>
      </c>
      <c r="P266" s="18">
        <f>DATE(YEAR(O266),MONTH(Metrics!$B$5), DAY(Metrics!$B$5))</f>
        <v>44440</v>
      </c>
      <c r="Q266" s="16">
        <f t="shared" si="4"/>
        <v>2022</v>
      </c>
    </row>
    <row r="267" spans="4:17" ht="16" x14ac:dyDescent="0.2">
      <c r="D267" s="10">
        <v>6664</v>
      </c>
      <c r="E267" s="7" t="s">
        <v>11</v>
      </c>
      <c r="M267" s="12">
        <v>6664</v>
      </c>
      <c r="N267" s="13" t="s">
        <v>11</v>
      </c>
      <c r="O267" s="16" t="str">
        <f>TEXT(VLOOKUP(M267, News!A:C, 3, FALSE), "M/D/YYYY")</f>
        <v>10/21/2021</v>
      </c>
      <c r="P267" s="18">
        <f>DATE(YEAR(O267),MONTH(Metrics!$B$5), DAY(Metrics!$B$5))</f>
        <v>44440</v>
      </c>
      <c r="Q267" s="16">
        <f t="shared" si="4"/>
        <v>2022</v>
      </c>
    </row>
    <row r="268" spans="4:17" ht="16" x14ac:dyDescent="0.2">
      <c r="D268" s="10">
        <v>6606</v>
      </c>
      <c r="E268" s="7" t="s">
        <v>11</v>
      </c>
      <c r="M268" s="12">
        <v>6606</v>
      </c>
      <c r="N268" s="13" t="s">
        <v>11</v>
      </c>
      <c r="O268" s="16" t="str">
        <f>TEXT(VLOOKUP(M268, News!A:C, 3, FALSE), "M/D/YYYY")</f>
        <v>11/1/2021</v>
      </c>
      <c r="P268" s="18">
        <f>DATE(YEAR(O268),MONTH(Metrics!$B$5), DAY(Metrics!$B$5))</f>
        <v>44440</v>
      </c>
      <c r="Q268" s="16">
        <f t="shared" si="4"/>
        <v>2022</v>
      </c>
    </row>
    <row r="269" spans="4:17" ht="16" x14ac:dyDescent="0.2">
      <c r="D269" s="10">
        <v>6919</v>
      </c>
      <c r="E269" s="7" t="s">
        <v>11</v>
      </c>
      <c r="M269" s="12">
        <v>6919</v>
      </c>
      <c r="N269" s="13" t="s">
        <v>11</v>
      </c>
      <c r="O269" s="16" t="str">
        <f>TEXT(VLOOKUP(M269, News!A:C, 3, FALSE), "M/D/YYYY")</f>
        <v>2/23/2022</v>
      </c>
      <c r="P269" s="18">
        <f>DATE(YEAR(O269),MONTH(Metrics!$B$5), DAY(Metrics!$B$5))</f>
        <v>44805</v>
      </c>
      <c r="Q269" s="16">
        <f t="shared" si="4"/>
        <v>2022</v>
      </c>
    </row>
    <row r="270" spans="4:17" ht="16" x14ac:dyDescent="0.2">
      <c r="D270" s="10">
        <v>6926</v>
      </c>
      <c r="E270" s="7" t="s">
        <v>11</v>
      </c>
      <c r="M270" s="12">
        <v>6926</v>
      </c>
      <c r="N270" s="13" t="s">
        <v>11</v>
      </c>
      <c r="O270" s="16" t="str">
        <f>TEXT(VLOOKUP(M270, News!A:C, 3, FALSE), "M/D/YYYY")</f>
        <v>2/24/2022</v>
      </c>
      <c r="P270" s="18">
        <f>DATE(YEAR(O270),MONTH(Metrics!$B$5), DAY(Metrics!$B$5))</f>
        <v>44805</v>
      </c>
      <c r="Q270" s="16">
        <f t="shared" si="4"/>
        <v>2022</v>
      </c>
    </row>
    <row r="271" spans="4:17" ht="16" x14ac:dyDescent="0.2">
      <c r="D271" s="10">
        <v>7024</v>
      </c>
      <c r="E271" s="7" t="s">
        <v>11</v>
      </c>
      <c r="M271" s="12">
        <v>7024</v>
      </c>
      <c r="N271" s="13" t="s">
        <v>11</v>
      </c>
      <c r="O271" s="16" t="str">
        <f>TEXT(VLOOKUP(M271, News!A:C, 3, FALSE), "M/D/YYYY")</f>
        <v>4/1/2022</v>
      </c>
      <c r="P271" s="18">
        <f>DATE(YEAR(O271),MONTH(Metrics!$B$5), DAY(Metrics!$B$5))</f>
        <v>44805</v>
      </c>
      <c r="Q271" s="16">
        <f t="shared" si="4"/>
        <v>2022</v>
      </c>
    </row>
    <row r="272" spans="4:17" ht="16" x14ac:dyDescent="0.2">
      <c r="D272" s="10">
        <v>7031</v>
      </c>
      <c r="E272" s="7" t="s">
        <v>11</v>
      </c>
      <c r="M272" s="12">
        <v>7031</v>
      </c>
      <c r="N272" s="13" t="s">
        <v>11</v>
      </c>
      <c r="O272" s="16" t="str">
        <f>TEXT(VLOOKUP(M272, News!A:C, 3, FALSE), "M/D/YYYY")</f>
        <v>4/6/2022</v>
      </c>
      <c r="P272" s="18">
        <f>DATE(YEAR(O272),MONTH(Metrics!$B$5), DAY(Metrics!$B$5))</f>
        <v>44805</v>
      </c>
      <c r="Q272" s="16">
        <f t="shared" si="4"/>
        <v>2022</v>
      </c>
    </row>
    <row r="273" spans="4:17" ht="16" x14ac:dyDescent="0.2">
      <c r="D273" s="10">
        <v>7033</v>
      </c>
      <c r="E273" s="7" t="s">
        <v>11</v>
      </c>
      <c r="M273" s="12">
        <v>7033</v>
      </c>
      <c r="N273" s="13" t="s">
        <v>11</v>
      </c>
      <c r="O273" s="16" t="str">
        <f>TEXT(VLOOKUP(M273, News!A:C, 3, FALSE), "M/D/YYYY")</f>
        <v>4/6/2022</v>
      </c>
      <c r="P273" s="18">
        <f>DATE(YEAR(O273),MONTH(Metrics!$B$5), DAY(Metrics!$B$5))</f>
        <v>44805</v>
      </c>
      <c r="Q273" s="16">
        <f t="shared" si="4"/>
        <v>2022</v>
      </c>
    </row>
    <row r="274" spans="4:17" ht="16" x14ac:dyDescent="0.2">
      <c r="D274" s="10">
        <v>7040</v>
      </c>
      <c r="E274" s="7" t="s">
        <v>11</v>
      </c>
      <c r="M274" s="12">
        <v>7040</v>
      </c>
      <c r="N274" s="13" t="s">
        <v>11</v>
      </c>
      <c r="O274" s="16" t="str">
        <f>TEXT(VLOOKUP(M274, News!A:C, 3, FALSE), "M/D/YYYY")</f>
        <v>4/8/2022</v>
      </c>
      <c r="P274" s="18">
        <f>DATE(YEAR(O274),MONTH(Metrics!$B$5), DAY(Metrics!$B$5))</f>
        <v>44805</v>
      </c>
      <c r="Q274" s="16">
        <f t="shared" si="4"/>
        <v>2022</v>
      </c>
    </row>
    <row r="275" spans="4:17" ht="16" x14ac:dyDescent="0.2">
      <c r="D275" s="10">
        <v>7060</v>
      </c>
      <c r="E275" s="7" t="s">
        <v>11</v>
      </c>
      <c r="M275" s="12">
        <v>7060</v>
      </c>
      <c r="N275" s="13" t="s">
        <v>11</v>
      </c>
      <c r="O275" s="16" t="str">
        <f>TEXT(VLOOKUP(M275, News!A:C, 3, FALSE), "M/D/YYYY")</f>
        <v>4/18/2022</v>
      </c>
      <c r="P275" s="18">
        <f>DATE(YEAR(O275),MONTH(Metrics!$B$5), DAY(Metrics!$B$5))</f>
        <v>44805</v>
      </c>
      <c r="Q275" s="16">
        <f t="shared" si="4"/>
        <v>2022</v>
      </c>
    </row>
    <row r="276" spans="4:17" ht="16" x14ac:dyDescent="0.2">
      <c r="D276" s="10">
        <v>7084</v>
      </c>
      <c r="E276" s="7" t="s">
        <v>11</v>
      </c>
      <c r="M276" s="12">
        <v>7084</v>
      </c>
      <c r="N276" s="13" t="s">
        <v>11</v>
      </c>
      <c r="O276" s="16" t="str">
        <f>TEXT(VLOOKUP(M276, News!A:C, 3, FALSE), "M/D/YYYY")</f>
        <v>4/29/2022</v>
      </c>
      <c r="P276" s="18">
        <f>DATE(YEAR(O276),MONTH(Metrics!$B$5), DAY(Metrics!$B$5))</f>
        <v>44805</v>
      </c>
      <c r="Q276" s="16">
        <f t="shared" si="4"/>
        <v>2022</v>
      </c>
    </row>
    <row r="277" spans="4:17" ht="16" x14ac:dyDescent="0.2">
      <c r="D277" s="10">
        <v>7104</v>
      </c>
      <c r="E277" s="7" t="s">
        <v>11</v>
      </c>
      <c r="M277" s="12">
        <v>7104</v>
      </c>
      <c r="N277" s="13" t="s">
        <v>11</v>
      </c>
      <c r="O277" s="16" t="str">
        <f>TEXT(VLOOKUP(M277, News!A:C, 3, FALSE), "M/D/YYYY")</f>
        <v>5/3/2022</v>
      </c>
      <c r="P277" s="18">
        <f>DATE(YEAR(O277),MONTH(Metrics!$B$5), DAY(Metrics!$B$5))</f>
        <v>44805</v>
      </c>
      <c r="Q277" s="16">
        <f t="shared" si="4"/>
        <v>2022</v>
      </c>
    </row>
    <row r="278" spans="4:17" ht="16" x14ac:dyDescent="0.2">
      <c r="D278" s="10">
        <v>7146</v>
      </c>
      <c r="E278" s="7" t="s">
        <v>11</v>
      </c>
      <c r="M278" s="12">
        <v>7146</v>
      </c>
      <c r="N278" s="13" t="s">
        <v>11</v>
      </c>
      <c r="O278" s="16" t="str">
        <f>TEXT(VLOOKUP(M278, News!A:C, 3, FALSE), "M/D/YYYY")</f>
        <v>5/20/2022</v>
      </c>
      <c r="P278" s="18">
        <f>DATE(YEAR(O278),MONTH(Metrics!$B$5), DAY(Metrics!$B$5))</f>
        <v>44805</v>
      </c>
      <c r="Q278" s="16">
        <f t="shared" si="4"/>
        <v>2022</v>
      </c>
    </row>
    <row r="279" spans="4:17" ht="16" x14ac:dyDescent="0.2">
      <c r="D279" s="10">
        <v>7155</v>
      </c>
      <c r="E279" s="7" t="s">
        <v>11</v>
      </c>
      <c r="M279" s="12">
        <v>7155</v>
      </c>
      <c r="N279" s="13" t="s">
        <v>11</v>
      </c>
      <c r="O279" s="16" t="str">
        <f>TEXT(VLOOKUP(M279, News!A:C, 3, FALSE), "M/D/YYYY")</f>
        <v>6/7/2022</v>
      </c>
      <c r="P279" s="18">
        <f>DATE(YEAR(O279),MONTH(Metrics!$B$5), DAY(Metrics!$B$5))</f>
        <v>44805</v>
      </c>
      <c r="Q279" s="16">
        <f t="shared" si="4"/>
        <v>2022</v>
      </c>
    </row>
    <row r="280" spans="4:17" ht="16" x14ac:dyDescent="0.2">
      <c r="D280" s="10">
        <v>7196</v>
      </c>
      <c r="E280" s="7" t="s">
        <v>11</v>
      </c>
      <c r="M280" s="12">
        <v>7196</v>
      </c>
      <c r="N280" s="13" t="s">
        <v>11</v>
      </c>
      <c r="O280" s="16" t="str">
        <f>TEXT(VLOOKUP(M280, News!A:C, 3, FALSE), "M/D/YYYY")</f>
        <v>6/21/2022</v>
      </c>
      <c r="P280" s="18">
        <f>DATE(YEAR(O280),MONTH(Metrics!$B$5), DAY(Metrics!$B$5))</f>
        <v>44805</v>
      </c>
      <c r="Q280" s="16">
        <f t="shared" si="4"/>
        <v>2022</v>
      </c>
    </row>
    <row r="281" spans="4:17" ht="16" x14ac:dyDescent="0.2">
      <c r="D281" s="10">
        <v>7205</v>
      </c>
      <c r="E281" s="7" t="s">
        <v>11</v>
      </c>
      <c r="M281" s="12">
        <v>7205</v>
      </c>
      <c r="N281" s="13" t="s">
        <v>11</v>
      </c>
      <c r="O281" s="16" t="str">
        <f>TEXT(VLOOKUP(M281, News!A:C, 3, FALSE), "M/D/YYYY")</f>
        <v>6/21/2022</v>
      </c>
      <c r="P281" s="18">
        <f>DATE(YEAR(O281),MONTH(Metrics!$B$5), DAY(Metrics!$B$5))</f>
        <v>44805</v>
      </c>
      <c r="Q281" s="16">
        <f t="shared" si="4"/>
        <v>2022</v>
      </c>
    </row>
    <row r="282" spans="4:17" ht="16" x14ac:dyDescent="0.2">
      <c r="D282" s="10">
        <v>7306</v>
      </c>
      <c r="E282" s="7" t="s">
        <v>11</v>
      </c>
      <c r="M282" s="12">
        <v>7306</v>
      </c>
      <c r="N282" s="13" t="s">
        <v>11</v>
      </c>
      <c r="O282" s="16" t="str">
        <f>TEXT(VLOOKUP(M282, News!A:C, 3, FALSE), "M/D/YYYY")</f>
        <v>8/11/2022</v>
      </c>
      <c r="P282" s="18">
        <f>DATE(YEAR(O282),MONTH(Metrics!$B$5), DAY(Metrics!$B$5))</f>
        <v>44805</v>
      </c>
      <c r="Q282" s="16">
        <f t="shared" si="4"/>
        <v>2022</v>
      </c>
    </row>
    <row r="283" spans="4:17" ht="16" x14ac:dyDescent="0.2">
      <c r="D283" s="10">
        <v>7305</v>
      </c>
      <c r="E283" s="7" t="s">
        <v>11</v>
      </c>
      <c r="M283" s="12">
        <v>7305</v>
      </c>
      <c r="N283" s="13" t="s">
        <v>11</v>
      </c>
      <c r="O283" s="16" t="str">
        <f>TEXT(VLOOKUP(M283, News!A:C, 3, FALSE), "M/D/YYYY")</f>
        <v>8/12/2022</v>
      </c>
      <c r="P283" s="18">
        <f>DATE(YEAR(O283),MONTH(Metrics!$B$5), DAY(Metrics!$B$5))</f>
        <v>44805</v>
      </c>
      <c r="Q283" s="16">
        <f t="shared" si="4"/>
        <v>2022</v>
      </c>
    </row>
    <row r="284" spans="4:17" ht="16" x14ac:dyDescent="0.2">
      <c r="D284" s="10">
        <v>7376</v>
      </c>
      <c r="E284" s="7" t="s">
        <v>11</v>
      </c>
      <c r="M284" s="12">
        <v>7376</v>
      </c>
      <c r="N284" s="13" t="s">
        <v>11</v>
      </c>
      <c r="O284" s="16" t="str">
        <f>TEXT(VLOOKUP(M284, News!A:C, 3, FALSE), "M/D/YYYY")</f>
        <v>8/31/2022</v>
      </c>
      <c r="P284" s="18">
        <f>DATE(YEAR(O284),MONTH(Metrics!$B$5), DAY(Metrics!$B$5))</f>
        <v>44805</v>
      </c>
      <c r="Q284" s="16">
        <f t="shared" si="4"/>
        <v>2022</v>
      </c>
    </row>
    <row r="285" spans="4:17" ht="16" x14ac:dyDescent="0.2">
      <c r="D285" s="10">
        <v>7357</v>
      </c>
      <c r="E285" s="7" t="s">
        <v>11</v>
      </c>
      <c r="M285" s="12">
        <v>7357</v>
      </c>
      <c r="N285" s="13" t="s">
        <v>11</v>
      </c>
      <c r="O285" s="16" t="str">
        <f>TEXT(VLOOKUP(M285, News!A:C, 3, FALSE), "M/D/YYYY")</f>
        <v>9/1/2022</v>
      </c>
      <c r="P285" s="18">
        <f>DATE(YEAR(O285),MONTH(Metrics!$B$5), DAY(Metrics!$B$5))</f>
        <v>44805</v>
      </c>
      <c r="Q285" s="16">
        <f t="shared" si="4"/>
        <v>2023</v>
      </c>
    </row>
    <row r="286" spans="4:17" ht="16" x14ac:dyDescent="0.2">
      <c r="D286" s="10">
        <v>7400</v>
      </c>
      <c r="E286" s="7" t="s">
        <v>11</v>
      </c>
      <c r="M286" s="12">
        <v>7400</v>
      </c>
      <c r="N286" s="13" t="s">
        <v>11</v>
      </c>
      <c r="O286" s="16" t="str">
        <f>TEXT(VLOOKUP(M286, News!A:C, 3, FALSE), "M/D/YYYY")</f>
        <v>9/6/2022</v>
      </c>
      <c r="P286" s="18">
        <f>DATE(YEAR(O286),MONTH(Metrics!$B$5), DAY(Metrics!$B$5))</f>
        <v>44805</v>
      </c>
      <c r="Q286" s="16">
        <f t="shared" si="4"/>
        <v>2023</v>
      </c>
    </row>
    <row r="287" spans="4:17" ht="16" x14ac:dyDescent="0.2">
      <c r="D287" s="10">
        <v>7358</v>
      </c>
      <c r="E287" s="7" t="s">
        <v>11</v>
      </c>
      <c r="M287" s="12">
        <v>7358</v>
      </c>
      <c r="N287" s="13" t="s">
        <v>11</v>
      </c>
      <c r="O287" s="16" t="str">
        <f>TEXT(VLOOKUP(M287, News!A:C, 3, FALSE), "M/D/YYYY")</f>
        <v>9/12/2022</v>
      </c>
      <c r="P287" s="18">
        <f>DATE(YEAR(O287),MONTH(Metrics!$B$5), DAY(Metrics!$B$5))</f>
        <v>44805</v>
      </c>
      <c r="Q287" s="16">
        <f t="shared" si="4"/>
        <v>2023</v>
      </c>
    </row>
    <row r="288" spans="4:17" ht="16" x14ac:dyDescent="0.2">
      <c r="D288" s="10">
        <v>7350</v>
      </c>
      <c r="E288" s="7" t="s">
        <v>11</v>
      </c>
      <c r="M288" s="12">
        <v>7350</v>
      </c>
      <c r="N288" s="13" t="s">
        <v>11</v>
      </c>
      <c r="O288" s="16" t="str">
        <f>TEXT(VLOOKUP(M288, News!A:C, 3, FALSE), "M/D/YYYY")</f>
        <v>9/14/2022</v>
      </c>
      <c r="P288" s="18">
        <f>DATE(YEAR(O288),MONTH(Metrics!$B$5), DAY(Metrics!$B$5))</f>
        <v>44805</v>
      </c>
      <c r="Q288" s="16">
        <f t="shared" si="4"/>
        <v>2023</v>
      </c>
    </row>
    <row r="289" spans="4:17" ht="16" x14ac:dyDescent="0.2">
      <c r="D289" s="10">
        <v>7355</v>
      </c>
      <c r="E289" s="7" t="s">
        <v>11</v>
      </c>
      <c r="M289" s="12">
        <v>7355</v>
      </c>
      <c r="N289" s="13" t="s">
        <v>11</v>
      </c>
      <c r="O289" s="16" t="str">
        <f>TEXT(VLOOKUP(M289, News!A:C, 3, FALSE), "M/D/YYYY")</f>
        <v>9/16/2022</v>
      </c>
      <c r="P289" s="18">
        <f>DATE(YEAR(O289),MONTH(Metrics!$B$5), DAY(Metrics!$B$5))</f>
        <v>44805</v>
      </c>
      <c r="Q289" s="16">
        <f t="shared" si="4"/>
        <v>2023</v>
      </c>
    </row>
    <row r="290" spans="4:17" ht="16" x14ac:dyDescent="0.2">
      <c r="D290" s="10">
        <v>7610</v>
      </c>
      <c r="E290" s="7" t="s">
        <v>11</v>
      </c>
      <c r="M290" s="12">
        <v>7610</v>
      </c>
      <c r="N290" s="13" t="s">
        <v>11</v>
      </c>
      <c r="O290" s="16" t="str">
        <f>TEXT(VLOOKUP(M290, News!A:C, 3, FALSE), "M/D/YYYY")</f>
        <v>10/12/2022</v>
      </c>
      <c r="P290" s="18">
        <f>DATE(YEAR(O290),MONTH(Metrics!$B$5), DAY(Metrics!$B$5))</f>
        <v>44805</v>
      </c>
      <c r="Q290" s="16">
        <f t="shared" si="4"/>
        <v>2023</v>
      </c>
    </row>
    <row r="291" spans="4:17" ht="16" x14ac:dyDescent="0.2">
      <c r="D291" s="10">
        <v>7631</v>
      </c>
      <c r="E291" s="7" t="s">
        <v>11</v>
      </c>
      <c r="M291" s="12">
        <v>7631</v>
      </c>
      <c r="N291" s="13" t="s">
        <v>11</v>
      </c>
      <c r="O291" s="16" t="str">
        <f>TEXT(VLOOKUP(M291, News!A:C, 3, FALSE), "M/D/YYYY")</f>
        <v>10/13/2022</v>
      </c>
      <c r="P291" s="18">
        <f>DATE(YEAR(O291),MONTH(Metrics!$B$5), DAY(Metrics!$B$5))</f>
        <v>44805</v>
      </c>
      <c r="Q291" s="16">
        <f t="shared" si="4"/>
        <v>2023</v>
      </c>
    </row>
    <row r="292" spans="4:17" ht="16" x14ac:dyDescent="0.2">
      <c r="D292" s="10">
        <v>7657</v>
      </c>
      <c r="E292" s="7" t="s">
        <v>11</v>
      </c>
      <c r="M292" s="12">
        <v>7657</v>
      </c>
      <c r="N292" s="13" t="s">
        <v>11</v>
      </c>
      <c r="O292" s="16" t="str">
        <f>TEXT(VLOOKUP(M292, News!A:C, 3, FALSE), "M/D/YYYY")</f>
        <v>10/20/2022</v>
      </c>
      <c r="P292" s="18">
        <f>DATE(YEAR(O292),MONTH(Metrics!$B$5), DAY(Metrics!$B$5))</f>
        <v>44805</v>
      </c>
      <c r="Q292" s="16">
        <f t="shared" si="4"/>
        <v>2023</v>
      </c>
    </row>
    <row r="293" spans="4:17" ht="16" x14ac:dyDescent="0.2">
      <c r="D293" s="10">
        <v>7698</v>
      </c>
      <c r="E293" s="7" t="s">
        <v>11</v>
      </c>
      <c r="M293" s="12">
        <v>7698</v>
      </c>
      <c r="N293" s="13" t="s">
        <v>11</v>
      </c>
      <c r="O293" s="16" t="str">
        <f>TEXT(VLOOKUP(M293, News!A:C, 3, FALSE), "M/D/YYYY")</f>
        <v>11/4/2022</v>
      </c>
      <c r="P293" s="18">
        <f>DATE(YEAR(O293),MONTH(Metrics!$B$5), DAY(Metrics!$B$5))</f>
        <v>44805</v>
      </c>
      <c r="Q293" s="16">
        <f t="shared" si="4"/>
        <v>2023</v>
      </c>
    </row>
    <row r="294" spans="4:17" ht="16" x14ac:dyDescent="0.2">
      <c r="D294" s="10">
        <v>7634</v>
      </c>
      <c r="E294" s="7" t="s">
        <v>11</v>
      </c>
      <c r="M294" s="12">
        <v>7634</v>
      </c>
      <c r="N294" s="13" t="s">
        <v>11</v>
      </c>
      <c r="O294" s="16" t="str">
        <f>TEXT(VLOOKUP(M294, News!A:C, 3, FALSE), "M/D/YYYY")</f>
        <v>11/7/2022</v>
      </c>
      <c r="P294" s="18">
        <f>DATE(YEAR(O294),MONTH(Metrics!$B$5), DAY(Metrics!$B$5))</f>
        <v>44805</v>
      </c>
      <c r="Q294" s="16">
        <f t="shared" si="4"/>
        <v>2023</v>
      </c>
    </row>
    <row r="295" spans="4:17" ht="16" x14ac:dyDescent="0.2">
      <c r="D295" s="10">
        <v>7706</v>
      </c>
      <c r="E295" s="7" t="s">
        <v>11</v>
      </c>
      <c r="M295" s="12">
        <v>7706</v>
      </c>
      <c r="N295" s="13" t="s">
        <v>11</v>
      </c>
      <c r="O295" s="16" t="str">
        <f>TEXT(VLOOKUP(M295, News!A:C, 3, FALSE), "M/D/YYYY")</f>
        <v>11/11/2022</v>
      </c>
      <c r="P295" s="18">
        <f>DATE(YEAR(O295),MONTH(Metrics!$B$5), DAY(Metrics!$B$5))</f>
        <v>44805</v>
      </c>
      <c r="Q295" s="16">
        <f t="shared" si="4"/>
        <v>2023</v>
      </c>
    </row>
    <row r="296" spans="4:17" ht="16" x14ac:dyDescent="0.2">
      <c r="D296" s="10">
        <v>7705</v>
      </c>
      <c r="E296" s="7" t="s">
        <v>11</v>
      </c>
      <c r="M296" s="12">
        <v>7705</v>
      </c>
      <c r="N296" s="13" t="s">
        <v>11</v>
      </c>
      <c r="O296" s="16" t="str">
        <f>TEXT(VLOOKUP(M296, News!A:C, 3, FALSE), "M/D/YYYY")</f>
        <v>11/14/2022</v>
      </c>
      <c r="P296" s="18">
        <f>DATE(YEAR(O296),MONTH(Metrics!$B$5), DAY(Metrics!$B$5))</f>
        <v>44805</v>
      </c>
      <c r="Q296" s="16">
        <f t="shared" si="4"/>
        <v>2023</v>
      </c>
    </row>
    <row r="297" spans="4:17" ht="16" x14ac:dyDescent="0.2">
      <c r="D297" s="10">
        <v>7757</v>
      </c>
      <c r="E297" s="7" t="s">
        <v>11</v>
      </c>
      <c r="M297" s="12">
        <v>7757</v>
      </c>
      <c r="N297" s="13" t="s">
        <v>11</v>
      </c>
      <c r="O297" s="16" t="str">
        <f>TEXT(VLOOKUP(M297, News!A:C, 3, FALSE), "M/D/YYYY")</f>
        <v>12/8/2022</v>
      </c>
      <c r="P297" s="18">
        <f>DATE(YEAR(O297),MONTH(Metrics!$B$5), DAY(Metrics!$B$5))</f>
        <v>44805</v>
      </c>
      <c r="Q297" s="16">
        <f t="shared" si="4"/>
        <v>2023</v>
      </c>
    </row>
    <row r="298" spans="4:17" ht="16" x14ac:dyDescent="0.2">
      <c r="D298" s="10">
        <v>7765</v>
      </c>
      <c r="E298" s="7" t="s">
        <v>11</v>
      </c>
      <c r="M298" s="12">
        <v>7765</v>
      </c>
      <c r="N298" s="13" t="s">
        <v>11</v>
      </c>
      <c r="O298" s="16" t="str">
        <f>TEXT(VLOOKUP(M298, News!A:C, 3, FALSE), "M/D/YYYY")</f>
        <v>12/16/2022</v>
      </c>
      <c r="P298" s="18">
        <f>DATE(YEAR(O298),MONTH(Metrics!$B$5), DAY(Metrics!$B$5))</f>
        <v>44805</v>
      </c>
      <c r="Q298" s="16">
        <f t="shared" si="4"/>
        <v>2023</v>
      </c>
    </row>
    <row r="299" spans="4:17" ht="16" x14ac:dyDescent="0.2">
      <c r="D299" s="10">
        <v>7845</v>
      </c>
      <c r="E299" s="7" t="s">
        <v>11</v>
      </c>
      <c r="M299" s="12">
        <v>7845</v>
      </c>
      <c r="N299" s="13" t="s">
        <v>11</v>
      </c>
      <c r="O299" s="16" t="str">
        <f>TEXT(VLOOKUP(M299, News!A:C, 3, FALSE), "M/D/YYYY")</f>
        <v>1/5/2023</v>
      </c>
      <c r="P299" s="18">
        <f>DATE(YEAR(O299),MONTH(Metrics!$B$5), DAY(Metrics!$B$5))</f>
        <v>45170</v>
      </c>
      <c r="Q299" s="16">
        <f t="shared" si="4"/>
        <v>2023</v>
      </c>
    </row>
    <row r="300" spans="4:17" ht="16" x14ac:dyDescent="0.2">
      <c r="D300" s="10">
        <v>7797</v>
      </c>
      <c r="E300" s="7" t="s">
        <v>11</v>
      </c>
      <c r="M300" s="12">
        <v>7797</v>
      </c>
      <c r="N300" s="13" t="s">
        <v>11</v>
      </c>
      <c r="O300" s="16" t="str">
        <f>TEXT(VLOOKUP(M300, News!A:C, 3, FALSE), "M/D/YYYY")</f>
        <v>1/6/2023</v>
      </c>
      <c r="P300" s="18">
        <f>DATE(YEAR(O300),MONTH(Metrics!$B$5), DAY(Metrics!$B$5))</f>
        <v>45170</v>
      </c>
      <c r="Q300" s="16">
        <f t="shared" si="4"/>
        <v>2023</v>
      </c>
    </row>
    <row r="301" spans="4:17" ht="16" x14ac:dyDescent="0.2">
      <c r="D301" s="10">
        <v>7881</v>
      </c>
      <c r="E301" s="7" t="s">
        <v>11</v>
      </c>
      <c r="M301" s="12">
        <v>7881</v>
      </c>
      <c r="N301" s="13" t="s">
        <v>11</v>
      </c>
      <c r="O301" s="16" t="str">
        <f>TEXT(VLOOKUP(M301, News!A:C, 3, FALSE), "M/D/YYYY")</f>
        <v>1/10/2023</v>
      </c>
      <c r="P301" s="18">
        <f>DATE(YEAR(O301),MONTH(Metrics!$B$5), DAY(Metrics!$B$5))</f>
        <v>45170</v>
      </c>
      <c r="Q301" s="16">
        <f t="shared" si="4"/>
        <v>2023</v>
      </c>
    </row>
    <row r="302" spans="4:17" ht="16" x14ac:dyDescent="0.2">
      <c r="D302" s="10">
        <v>7894</v>
      </c>
      <c r="E302" s="7" t="s">
        <v>11</v>
      </c>
      <c r="M302" s="12">
        <v>7894</v>
      </c>
      <c r="N302" s="13" t="s">
        <v>11</v>
      </c>
      <c r="O302" s="16" t="str">
        <f>TEXT(VLOOKUP(M302, News!A:C, 3, FALSE), "M/D/YYYY")</f>
        <v>1/11/2023</v>
      </c>
      <c r="P302" s="18">
        <f>DATE(YEAR(O302),MONTH(Metrics!$B$5), DAY(Metrics!$B$5))</f>
        <v>45170</v>
      </c>
      <c r="Q302" s="16">
        <f t="shared" si="4"/>
        <v>2023</v>
      </c>
    </row>
    <row r="303" spans="4:17" ht="16" x14ac:dyDescent="0.2">
      <c r="D303" s="10">
        <v>7914</v>
      </c>
      <c r="E303" s="7" t="s">
        <v>11</v>
      </c>
      <c r="M303" s="12">
        <v>7914</v>
      </c>
      <c r="N303" s="13" t="s">
        <v>11</v>
      </c>
      <c r="O303" s="16" t="str">
        <f>TEXT(VLOOKUP(M303, News!A:C, 3, FALSE), "M/D/YYYY")</f>
        <v>1/13/2023</v>
      </c>
      <c r="P303" s="18">
        <f>DATE(YEAR(O303),MONTH(Metrics!$B$5), DAY(Metrics!$B$5))</f>
        <v>45170</v>
      </c>
      <c r="Q303" s="16">
        <f t="shared" si="4"/>
        <v>2023</v>
      </c>
    </row>
    <row r="304" spans="4:17" ht="16" x14ac:dyDescent="0.2">
      <c r="D304" s="10">
        <v>7954</v>
      </c>
      <c r="E304" s="7" t="s">
        <v>11</v>
      </c>
      <c r="M304" s="12">
        <v>7954</v>
      </c>
      <c r="N304" s="13" t="s">
        <v>11</v>
      </c>
      <c r="O304" s="16" t="str">
        <f>TEXT(VLOOKUP(M304, News!A:C, 3, FALSE), "M/D/YYYY")</f>
        <v>1/23/2023</v>
      </c>
      <c r="P304" s="18">
        <f>DATE(YEAR(O304),MONTH(Metrics!$B$5), DAY(Metrics!$B$5))</f>
        <v>45170</v>
      </c>
      <c r="Q304" s="16">
        <f t="shared" si="4"/>
        <v>2023</v>
      </c>
    </row>
    <row r="305" spans="4:17" ht="16" x14ac:dyDescent="0.2">
      <c r="D305" s="10">
        <v>8153</v>
      </c>
      <c r="E305" s="7" t="s">
        <v>11</v>
      </c>
      <c r="M305" s="12">
        <v>8153</v>
      </c>
      <c r="N305" s="13" t="s">
        <v>11</v>
      </c>
      <c r="O305" s="16" t="str">
        <f>TEXT(VLOOKUP(M305, News!A:C, 3, FALSE), "M/D/YYYY")</f>
        <v>4/4/2023</v>
      </c>
      <c r="P305" s="18">
        <f>DATE(YEAR(O305),MONTH(Metrics!$B$5), DAY(Metrics!$B$5))</f>
        <v>45170</v>
      </c>
      <c r="Q305" s="16">
        <f t="shared" si="4"/>
        <v>2023</v>
      </c>
    </row>
    <row r="306" spans="4:17" ht="16" x14ac:dyDescent="0.2">
      <c r="D306" s="10">
        <v>8085</v>
      </c>
      <c r="E306" s="7" t="s">
        <v>11</v>
      </c>
      <c r="M306" s="12">
        <v>8085</v>
      </c>
      <c r="N306" s="13" t="s">
        <v>11</v>
      </c>
      <c r="O306" s="16" t="str">
        <f>TEXT(VLOOKUP(M306, News!A:C, 3, FALSE), "M/D/YYYY")</f>
        <v>3/28/2023</v>
      </c>
      <c r="P306" s="18">
        <f>DATE(YEAR(O306),MONTH(Metrics!$B$5), DAY(Metrics!$B$5))</f>
        <v>45170</v>
      </c>
      <c r="Q306" s="16">
        <f t="shared" si="4"/>
        <v>2023</v>
      </c>
    </row>
    <row r="307" spans="4:17" ht="16" x14ac:dyDescent="0.2">
      <c r="D307" s="10">
        <v>8125</v>
      </c>
      <c r="E307" s="7" t="s">
        <v>11</v>
      </c>
      <c r="M307" s="12">
        <v>8125</v>
      </c>
      <c r="N307" s="13" t="s">
        <v>11</v>
      </c>
      <c r="O307" s="16" t="str">
        <f>TEXT(VLOOKUP(M307, News!A:C, 3, FALSE), "M/D/YYYY")</f>
        <v>3/28/2023</v>
      </c>
      <c r="P307" s="18">
        <f>DATE(YEAR(O307),MONTH(Metrics!$B$5), DAY(Metrics!$B$5))</f>
        <v>45170</v>
      </c>
      <c r="Q307" s="16">
        <f t="shared" si="4"/>
        <v>2023</v>
      </c>
    </row>
    <row r="308" spans="4:17" ht="16" x14ac:dyDescent="0.2">
      <c r="D308" s="10">
        <v>8054</v>
      </c>
      <c r="E308" s="7" t="s">
        <v>11</v>
      </c>
      <c r="M308" s="12">
        <v>8054</v>
      </c>
      <c r="N308" s="13" t="s">
        <v>11</v>
      </c>
      <c r="O308" s="16" t="str">
        <f>TEXT(VLOOKUP(M308, News!A:C, 3, FALSE), "M/D/YYYY")</f>
        <v>2/16/2023</v>
      </c>
      <c r="P308" s="18">
        <f>DATE(YEAR(O308),MONTH(Metrics!$B$5), DAY(Metrics!$B$5))</f>
        <v>45170</v>
      </c>
      <c r="Q308" s="16">
        <f t="shared" si="4"/>
        <v>2023</v>
      </c>
    </row>
    <row r="309" spans="4:17" ht="16" x14ac:dyDescent="0.2">
      <c r="D309" s="10">
        <v>8056</v>
      </c>
      <c r="E309" s="7" t="s">
        <v>11</v>
      </c>
      <c r="M309" s="12">
        <v>8056</v>
      </c>
      <c r="N309" s="13" t="s">
        <v>11</v>
      </c>
      <c r="O309" s="16" t="str">
        <f>TEXT(VLOOKUP(M309, News!A:C, 3, FALSE), "M/D/YYYY")</f>
        <v>2/16/2023</v>
      </c>
      <c r="P309" s="18">
        <f>DATE(YEAR(O309),MONTH(Metrics!$B$5), DAY(Metrics!$B$5))</f>
        <v>45170</v>
      </c>
      <c r="Q309" s="16">
        <f t="shared" si="4"/>
        <v>2023</v>
      </c>
    </row>
    <row r="310" spans="4:17" ht="16" x14ac:dyDescent="0.2">
      <c r="D310" s="10">
        <v>8271</v>
      </c>
      <c r="E310" s="7" t="s">
        <v>11</v>
      </c>
      <c r="M310" s="12">
        <v>8271</v>
      </c>
      <c r="N310" s="13" t="s">
        <v>11</v>
      </c>
      <c r="O310" s="16" t="str">
        <f>TEXT(VLOOKUP(M310, News!A:C, 3, FALSE), "M/D/YYYY")</f>
        <v>4/28/2023</v>
      </c>
      <c r="P310" s="18">
        <f>DATE(YEAR(O310),MONTH(Metrics!$B$5), DAY(Metrics!$B$5))</f>
        <v>45170</v>
      </c>
      <c r="Q310" s="16">
        <f t="shared" si="4"/>
        <v>2023</v>
      </c>
    </row>
    <row r="311" spans="4:17" ht="16" x14ac:dyDescent="0.2">
      <c r="D311" s="10">
        <v>8223</v>
      </c>
      <c r="E311" s="7" t="s">
        <v>11</v>
      </c>
      <c r="M311" s="12">
        <v>8223</v>
      </c>
      <c r="N311" s="13" t="s">
        <v>11</v>
      </c>
      <c r="O311" s="16" t="str">
        <f>TEXT(VLOOKUP(M311, News!A:C, 3, FALSE), "M/D/YYYY")</f>
        <v>4/20/2023</v>
      </c>
      <c r="P311" s="18">
        <f>DATE(YEAR(O311),MONTH(Metrics!$B$5), DAY(Metrics!$B$5))</f>
        <v>45170</v>
      </c>
      <c r="Q311" s="16">
        <f t="shared" si="4"/>
        <v>2023</v>
      </c>
    </row>
    <row r="312" spans="4:17" ht="16" x14ac:dyDescent="0.2">
      <c r="D312" s="10">
        <v>8226</v>
      </c>
      <c r="E312" s="7" t="s">
        <v>11</v>
      </c>
      <c r="M312" s="12">
        <v>8226</v>
      </c>
      <c r="N312" s="13" t="s">
        <v>11</v>
      </c>
      <c r="O312" s="16" t="str">
        <f>TEXT(VLOOKUP(M312, News!A:C, 3, FALSE), "M/D/YYYY")</f>
        <v>4/20/2023</v>
      </c>
      <c r="P312" s="18">
        <f>DATE(YEAR(O312),MONTH(Metrics!$B$5), DAY(Metrics!$B$5))</f>
        <v>45170</v>
      </c>
      <c r="Q312" s="16">
        <f t="shared" si="4"/>
        <v>2023</v>
      </c>
    </row>
    <row r="313" spans="4:17" ht="16" x14ac:dyDescent="0.2">
      <c r="D313" s="10">
        <v>8204</v>
      </c>
      <c r="E313" s="7" t="s">
        <v>11</v>
      </c>
      <c r="M313" s="12">
        <v>8204</v>
      </c>
      <c r="N313" s="13" t="s">
        <v>11</v>
      </c>
      <c r="O313" s="16" t="str">
        <f>TEXT(VLOOKUP(M313, News!A:C, 3, FALSE), "M/D/YYYY")</f>
        <v>4/18/2023</v>
      </c>
      <c r="P313" s="18">
        <f>DATE(YEAR(O313),MONTH(Metrics!$B$5), DAY(Metrics!$B$5))</f>
        <v>45170</v>
      </c>
      <c r="Q313" s="16">
        <f t="shared" si="4"/>
        <v>2023</v>
      </c>
    </row>
    <row r="314" spans="4:17" ht="16" x14ac:dyDescent="0.2">
      <c r="D314" s="10">
        <v>8173</v>
      </c>
      <c r="E314" s="7" t="s">
        <v>11</v>
      </c>
      <c r="M314" s="12">
        <v>8173</v>
      </c>
      <c r="N314" s="13" t="s">
        <v>11</v>
      </c>
      <c r="O314" s="16" t="str">
        <f>TEXT(VLOOKUP(M314, News!A:C, 3, FALSE), "M/D/YYYY")</f>
        <v>4/17/2023</v>
      </c>
      <c r="P314" s="18">
        <f>DATE(YEAR(O314),MONTH(Metrics!$B$5), DAY(Metrics!$B$5))</f>
        <v>45170</v>
      </c>
      <c r="Q314" s="16">
        <f t="shared" si="4"/>
        <v>2023</v>
      </c>
    </row>
    <row r="315" spans="4:17" ht="16" x14ac:dyDescent="0.2">
      <c r="D315" s="10">
        <v>8166</v>
      </c>
      <c r="E315" s="7" t="s">
        <v>11</v>
      </c>
      <c r="M315" s="12">
        <v>8166</v>
      </c>
      <c r="N315" s="13" t="s">
        <v>11</v>
      </c>
      <c r="O315" s="16" t="str">
        <f>TEXT(VLOOKUP(M315, News!A:C, 3, FALSE), "M/D/YYYY")</f>
        <v>4/14/2023</v>
      </c>
      <c r="P315" s="18">
        <f>DATE(YEAR(O315),MONTH(Metrics!$B$5), DAY(Metrics!$B$5))</f>
        <v>45170</v>
      </c>
      <c r="Q315" s="16">
        <f t="shared" si="4"/>
        <v>2023</v>
      </c>
    </row>
    <row r="316" spans="4:17" ht="16" x14ac:dyDescent="0.2">
      <c r="D316" s="10">
        <v>1351</v>
      </c>
      <c r="E316" s="7" t="s">
        <v>11</v>
      </c>
      <c r="M316" s="12">
        <v>1351</v>
      </c>
      <c r="N316" s="13" t="s">
        <v>11</v>
      </c>
      <c r="O316" s="16" t="str">
        <f>TEXT(VLOOKUP(M316, News!A:C, 3, FALSE), "M/D/YYYY")</f>
        <v>5/10/2018</v>
      </c>
      <c r="P316" s="18">
        <f>DATE(YEAR(O316),MONTH(Metrics!$B$5), DAY(Metrics!$B$5))</f>
        <v>43344</v>
      </c>
      <c r="Q316" s="16">
        <f t="shared" si="4"/>
        <v>2018</v>
      </c>
    </row>
    <row r="317" spans="4:17" ht="16" x14ac:dyDescent="0.2">
      <c r="D317" s="10">
        <v>1413</v>
      </c>
      <c r="E317" s="7" t="s">
        <v>11</v>
      </c>
      <c r="M317" s="12">
        <v>1413</v>
      </c>
      <c r="N317" s="13" t="s">
        <v>11</v>
      </c>
      <c r="O317" s="16" t="str">
        <f>TEXT(VLOOKUP(M317, News!A:C, 3, FALSE), "M/D/YYYY")</f>
        <v>11/10/2017</v>
      </c>
      <c r="P317" s="18">
        <f>DATE(YEAR(O317),MONTH(Metrics!$B$5), DAY(Metrics!$B$5))</f>
        <v>42979</v>
      </c>
      <c r="Q317" s="16">
        <f t="shared" si="4"/>
        <v>2018</v>
      </c>
    </row>
    <row r="318" spans="4:17" ht="16" x14ac:dyDescent="0.2">
      <c r="D318" s="10">
        <v>1930</v>
      </c>
      <c r="E318" s="7" t="s">
        <v>11</v>
      </c>
      <c r="M318" s="12">
        <v>1930</v>
      </c>
      <c r="N318" s="13" t="s">
        <v>11</v>
      </c>
      <c r="O318" s="16" t="str">
        <f>TEXT(VLOOKUP(M318, News!A:C, 3, FALSE), "M/D/YYYY")</f>
        <v>10/25/2018</v>
      </c>
      <c r="P318" s="18">
        <f>DATE(YEAR(O318),MONTH(Metrics!$B$5), DAY(Metrics!$B$5))</f>
        <v>43344</v>
      </c>
      <c r="Q318" s="16">
        <f t="shared" si="4"/>
        <v>2019</v>
      </c>
    </row>
    <row r="319" spans="4:17" ht="16" x14ac:dyDescent="0.2">
      <c r="D319" s="10">
        <v>2549</v>
      </c>
      <c r="E319" s="7" t="s">
        <v>11</v>
      </c>
      <c r="M319" s="12">
        <v>2549</v>
      </c>
      <c r="N319" s="13" t="s">
        <v>11</v>
      </c>
      <c r="O319" s="16" t="str">
        <f>TEXT(VLOOKUP(M319, News!A:C, 3, FALSE), "M/D/YYYY")</f>
        <v>1/20/2017</v>
      </c>
      <c r="P319" s="18">
        <f>DATE(YEAR(O319),MONTH(Metrics!$B$5), DAY(Metrics!$B$5))</f>
        <v>42979</v>
      </c>
      <c r="Q319" s="16">
        <f t="shared" si="4"/>
        <v>2017</v>
      </c>
    </row>
    <row r="320" spans="4:17" ht="16" x14ac:dyDescent="0.2">
      <c r="D320" s="10">
        <v>2747</v>
      </c>
      <c r="E320" s="7" t="s">
        <v>11</v>
      </c>
      <c r="M320" s="12">
        <v>2747</v>
      </c>
      <c r="N320" s="13" t="s">
        <v>11</v>
      </c>
      <c r="O320" s="16" t="str">
        <f>TEXT(VLOOKUP(M320, News!A:C, 3, FALSE), "M/D/YYYY")</f>
        <v>11/26/2018</v>
      </c>
      <c r="P320" s="18">
        <f>DATE(YEAR(O320),MONTH(Metrics!$B$5), DAY(Metrics!$B$5))</f>
        <v>43344</v>
      </c>
      <c r="Q320" s="16">
        <f t="shared" si="4"/>
        <v>2019</v>
      </c>
    </row>
    <row r="321" spans="4:17" ht="16" x14ac:dyDescent="0.2">
      <c r="D321" s="10">
        <v>3059</v>
      </c>
      <c r="E321" s="7" t="s">
        <v>11</v>
      </c>
      <c r="M321" s="12">
        <v>3059</v>
      </c>
      <c r="N321" s="13" t="s">
        <v>11</v>
      </c>
      <c r="O321" s="16" t="str">
        <f>TEXT(VLOOKUP(M321, News!A:C, 3, FALSE), "M/D/YYYY")</f>
        <v>10/14/2016</v>
      </c>
      <c r="P321" s="18">
        <f>DATE(YEAR(O321),MONTH(Metrics!$B$5), DAY(Metrics!$B$5))</f>
        <v>42614</v>
      </c>
      <c r="Q321" s="16">
        <f t="shared" si="4"/>
        <v>2017</v>
      </c>
    </row>
    <row r="322" spans="4:17" ht="16" x14ac:dyDescent="0.2">
      <c r="D322" s="10">
        <v>3257</v>
      </c>
      <c r="E322" s="7" t="s">
        <v>11</v>
      </c>
      <c r="M322" s="12">
        <v>3257</v>
      </c>
      <c r="N322" s="13" t="s">
        <v>11</v>
      </c>
      <c r="O322" s="16" t="str">
        <f>TEXT(VLOOKUP(M322, News!A:C, 3, FALSE), "M/D/YYYY")</f>
        <v>12/18/2018</v>
      </c>
      <c r="P322" s="18">
        <f>DATE(YEAR(O322),MONTH(Metrics!$B$5), DAY(Metrics!$B$5))</f>
        <v>43344</v>
      </c>
      <c r="Q322" s="16">
        <f t="shared" si="4"/>
        <v>2019</v>
      </c>
    </row>
    <row r="323" spans="4:17" ht="16" x14ac:dyDescent="0.2">
      <c r="D323" s="10">
        <v>3398</v>
      </c>
      <c r="E323" s="7" t="s">
        <v>11</v>
      </c>
      <c r="M323" s="12">
        <v>3398</v>
      </c>
      <c r="N323" s="13" t="s">
        <v>11</v>
      </c>
      <c r="O323" s="16" t="str">
        <f>TEXT(VLOOKUP(M323, News!A:C, 3, FALSE), "M/D/YYYY")</f>
        <v>5/20/2016</v>
      </c>
      <c r="P323" s="18">
        <f>DATE(YEAR(O323),MONTH(Metrics!$B$5), DAY(Metrics!$B$5))</f>
        <v>42614</v>
      </c>
      <c r="Q323" s="16">
        <f t="shared" ref="Q323:Q386" si="5">IF(MONTH(O323) &gt;= MONTH(P323), YEAR(O323)+1, YEAR(O323))</f>
        <v>2016</v>
      </c>
    </row>
    <row r="324" spans="4:17" ht="16" x14ac:dyDescent="0.2">
      <c r="D324" s="10">
        <v>3617</v>
      </c>
      <c r="E324" s="7" t="s">
        <v>11</v>
      </c>
      <c r="M324" s="12">
        <v>3617</v>
      </c>
      <c r="N324" s="13" t="s">
        <v>11</v>
      </c>
      <c r="O324" s="16" t="str">
        <f>TEXT(VLOOKUP(M324, News!A:C, 3, FALSE), "M/D/YYYY")</f>
        <v>1/10/2016</v>
      </c>
      <c r="P324" s="18">
        <f>DATE(YEAR(O324),MONTH(Metrics!$B$5), DAY(Metrics!$B$5))</f>
        <v>42614</v>
      </c>
      <c r="Q324" s="16">
        <f t="shared" si="5"/>
        <v>2016</v>
      </c>
    </row>
    <row r="325" spans="4:17" ht="16" x14ac:dyDescent="0.2">
      <c r="D325" s="10">
        <v>3797</v>
      </c>
      <c r="E325" s="7" t="s">
        <v>11</v>
      </c>
      <c r="M325" s="12">
        <v>3797</v>
      </c>
      <c r="N325" s="13" t="s">
        <v>11</v>
      </c>
      <c r="O325" s="16" t="str">
        <f>TEXT(VLOOKUP(M325, News!A:C, 3, FALSE), "M/D/YYYY")</f>
        <v>7/20/2015</v>
      </c>
      <c r="P325" s="18">
        <f>DATE(YEAR(O325),MONTH(Metrics!$B$5), DAY(Metrics!$B$5))</f>
        <v>42248</v>
      </c>
      <c r="Q325" s="16">
        <f t="shared" si="5"/>
        <v>2015</v>
      </c>
    </row>
    <row r="326" spans="4:17" ht="16" x14ac:dyDescent="0.2">
      <c r="D326" s="10">
        <v>3801</v>
      </c>
      <c r="E326" s="7" t="s">
        <v>11</v>
      </c>
      <c r="M326" s="12">
        <v>3801</v>
      </c>
      <c r="N326" s="13" t="s">
        <v>11</v>
      </c>
      <c r="O326" s="16" t="str">
        <f>TEXT(VLOOKUP(M326, News!A:C, 3, FALSE), "M/D/YYYY")</f>
        <v>7/4/2015</v>
      </c>
      <c r="P326" s="18">
        <f>DATE(YEAR(O326),MONTH(Metrics!$B$5), DAY(Metrics!$B$5))</f>
        <v>42248</v>
      </c>
      <c r="Q326" s="16">
        <f t="shared" si="5"/>
        <v>2015</v>
      </c>
    </row>
    <row r="327" spans="4:17" ht="16" x14ac:dyDescent="0.2">
      <c r="D327" s="10">
        <v>3859</v>
      </c>
      <c r="E327" s="7" t="s">
        <v>11</v>
      </c>
      <c r="M327" s="12">
        <v>3859</v>
      </c>
      <c r="N327" s="13" t="s">
        <v>11</v>
      </c>
      <c r="O327" s="16" t="str">
        <f>TEXT(VLOOKUP(M327, News!A:C, 3, FALSE), "M/D/YYYY")</f>
        <v>3/29/2019</v>
      </c>
      <c r="P327" s="18">
        <f>DATE(YEAR(O327),MONTH(Metrics!$B$5), DAY(Metrics!$B$5))</f>
        <v>43709</v>
      </c>
      <c r="Q327" s="16">
        <f t="shared" si="5"/>
        <v>2019</v>
      </c>
    </row>
    <row r="328" spans="4:17" ht="16" x14ac:dyDescent="0.2">
      <c r="D328" s="10">
        <v>3947</v>
      </c>
      <c r="E328" s="7" t="s">
        <v>11</v>
      </c>
      <c r="M328" s="12">
        <v>3947</v>
      </c>
      <c r="N328" s="13" t="s">
        <v>11</v>
      </c>
      <c r="O328" s="16" t="str">
        <f>TEXT(VLOOKUP(M328, News!A:C, 3, FALSE), "M/D/YYYY")</f>
        <v>4/10/2015</v>
      </c>
      <c r="P328" s="18">
        <f>DATE(YEAR(O328),MONTH(Metrics!$B$5), DAY(Metrics!$B$5))</f>
        <v>42248</v>
      </c>
      <c r="Q328" s="16">
        <f t="shared" si="5"/>
        <v>2015</v>
      </c>
    </row>
    <row r="329" spans="4:17" ht="16" x14ac:dyDescent="0.2">
      <c r="D329" s="10">
        <v>3991</v>
      </c>
      <c r="E329" s="7" t="s">
        <v>11</v>
      </c>
      <c r="M329" s="12">
        <v>3991</v>
      </c>
      <c r="N329" s="13" t="s">
        <v>11</v>
      </c>
      <c r="O329" s="16" t="str">
        <f>TEXT(VLOOKUP(M329, News!A:C, 3, FALSE), "M/D/YYYY")</f>
        <v>2/27/2015</v>
      </c>
      <c r="P329" s="18">
        <f>DATE(YEAR(O329),MONTH(Metrics!$B$5), DAY(Metrics!$B$5))</f>
        <v>42248</v>
      </c>
      <c r="Q329" s="16">
        <f t="shared" si="5"/>
        <v>2015</v>
      </c>
    </row>
    <row r="330" spans="4:17" ht="16" x14ac:dyDescent="0.2">
      <c r="D330" s="10">
        <v>4018</v>
      </c>
      <c r="E330" s="7" t="s">
        <v>11</v>
      </c>
      <c r="M330" s="12">
        <v>4018</v>
      </c>
      <c r="N330" s="13" t="s">
        <v>11</v>
      </c>
      <c r="O330" s="16" t="str">
        <f>TEXT(VLOOKUP(M330, News!A:C, 3, FALSE), "M/D/YYYY")</f>
        <v>1/11/2015</v>
      </c>
      <c r="P330" s="18">
        <f>DATE(YEAR(O330),MONTH(Metrics!$B$5), DAY(Metrics!$B$5))</f>
        <v>42248</v>
      </c>
      <c r="Q330" s="16">
        <f t="shared" si="5"/>
        <v>2015</v>
      </c>
    </row>
    <row r="331" spans="4:17" ht="16" x14ac:dyDescent="0.2">
      <c r="D331" s="10">
        <v>4069</v>
      </c>
      <c r="E331" s="7" t="s">
        <v>11</v>
      </c>
      <c r="M331" s="12">
        <v>4069</v>
      </c>
      <c r="N331" s="13" t="s">
        <v>11</v>
      </c>
      <c r="O331" s="16" t="str">
        <f>TEXT(VLOOKUP(M331, News!A:C, 3, FALSE), "M/D/YYYY")</f>
        <v>10/20/2014</v>
      </c>
      <c r="P331" s="18">
        <f>DATE(YEAR(O331),MONTH(Metrics!$B$5), DAY(Metrics!$B$5))</f>
        <v>41883</v>
      </c>
      <c r="Q331" s="16">
        <f t="shared" si="5"/>
        <v>2015</v>
      </c>
    </row>
    <row r="332" spans="4:17" ht="16" x14ac:dyDescent="0.2">
      <c r="D332" s="10">
        <v>4085</v>
      </c>
      <c r="E332" s="7" t="s">
        <v>11</v>
      </c>
      <c r="M332" s="12">
        <v>4085</v>
      </c>
      <c r="N332" s="13" t="s">
        <v>11</v>
      </c>
      <c r="O332" s="16" t="str">
        <f>TEXT(VLOOKUP(M332, News!A:C, 3, FALSE), "M/D/YYYY")</f>
        <v>8/31/2014</v>
      </c>
      <c r="P332" s="18">
        <f>DATE(YEAR(O332),MONTH(Metrics!$B$5), DAY(Metrics!$B$5))</f>
        <v>41883</v>
      </c>
      <c r="Q332" s="16">
        <f t="shared" si="5"/>
        <v>2014</v>
      </c>
    </row>
    <row r="333" spans="4:17" ht="16" x14ac:dyDescent="0.2">
      <c r="D333" s="10">
        <v>4089</v>
      </c>
      <c r="E333" s="7" t="s">
        <v>11</v>
      </c>
      <c r="M333" s="12">
        <v>4089</v>
      </c>
      <c r="N333" s="13" t="s">
        <v>11</v>
      </c>
      <c r="O333" s="16" t="str">
        <f>TEXT(VLOOKUP(M333, News!A:C, 3, FALSE), "M/D/YYYY")</f>
        <v>8/22/2014</v>
      </c>
      <c r="P333" s="18">
        <f>DATE(YEAR(O333),MONTH(Metrics!$B$5), DAY(Metrics!$B$5))</f>
        <v>41883</v>
      </c>
      <c r="Q333" s="16">
        <f t="shared" si="5"/>
        <v>2014</v>
      </c>
    </row>
    <row r="334" spans="4:17" ht="16" x14ac:dyDescent="0.2">
      <c r="D334" s="10">
        <v>4130</v>
      </c>
      <c r="E334" s="7" t="s">
        <v>11</v>
      </c>
      <c r="M334" s="12">
        <v>4130</v>
      </c>
      <c r="N334" s="13" t="s">
        <v>11</v>
      </c>
      <c r="O334" s="16" t="str">
        <f>TEXT(VLOOKUP(M334, News!A:C, 3, FALSE), "M/D/YYYY")</f>
        <v>7/10/2014</v>
      </c>
      <c r="P334" s="18">
        <f>DATE(YEAR(O334),MONTH(Metrics!$B$5), DAY(Metrics!$B$5))</f>
        <v>41883</v>
      </c>
      <c r="Q334" s="16">
        <f t="shared" si="5"/>
        <v>2014</v>
      </c>
    </row>
    <row r="335" spans="4:17" ht="16" x14ac:dyDescent="0.2">
      <c r="D335" s="10">
        <v>4133</v>
      </c>
      <c r="E335" s="7" t="s">
        <v>11</v>
      </c>
      <c r="M335" s="12">
        <v>4133</v>
      </c>
      <c r="N335" s="13" t="s">
        <v>11</v>
      </c>
      <c r="O335" s="16" t="str">
        <f>TEXT(VLOOKUP(M335, News!A:C, 3, FALSE), "M/D/YYYY")</f>
        <v>7/1/2014</v>
      </c>
      <c r="P335" s="18">
        <f>DATE(YEAR(O335),MONTH(Metrics!$B$5), DAY(Metrics!$B$5))</f>
        <v>41883</v>
      </c>
      <c r="Q335" s="16">
        <f t="shared" si="5"/>
        <v>2014</v>
      </c>
    </row>
    <row r="336" spans="4:17" ht="16" x14ac:dyDescent="0.2">
      <c r="D336" s="10">
        <v>4150</v>
      </c>
      <c r="E336" s="7" t="s">
        <v>11</v>
      </c>
      <c r="M336" s="12">
        <v>4150</v>
      </c>
      <c r="N336" s="13" t="s">
        <v>11</v>
      </c>
      <c r="O336" s="16" t="str">
        <f>TEXT(VLOOKUP(M336, News!A:C, 3, FALSE), "M/D/YYYY")</f>
        <v>6/30/2014</v>
      </c>
      <c r="P336" s="18">
        <f>DATE(YEAR(O336),MONTH(Metrics!$B$5), DAY(Metrics!$B$5))</f>
        <v>41883</v>
      </c>
      <c r="Q336" s="16">
        <f t="shared" si="5"/>
        <v>2014</v>
      </c>
    </row>
    <row r="337" spans="4:17" ht="16" x14ac:dyDescent="0.2">
      <c r="D337" s="10">
        <v>4151</v>
      </c>
      <c r="E337" s="7" t="s">
        <v>11</v>
      </c>
      <c r="M337" s="12">
        <v>4151</v>
      </c>
      <c r="N337" s="13" t="s">
        <v>11</v>
      </c>
      <c r="O337" s="16" t="str">
        <f>TEXT(VLOOKUP(M337, News!A:C, 3, FALSE), "M/D/YYYY")</f>
        <v>6/15/2014</v>
      </c>
      <c r="P337" s="18">
        <f>DATE(YEAR(O337),MONTH(Metrics!$B$5), DAY(Metrics!$B$5))</f>
        <v>41883</v>
      </c>
      <c r="Q337" s="16">
        <f t="shared" si="5"/>
        <v>2014</v>
      </c>
    </row>
    <row r="338" spans="4:17" ht="16" x14ac:dyDescent="0.2">
      <c r="D338" s="10">
        <v>4202</v>
      </c>
      <c r="E338" s="7" t="s">
        <v>11</v>
      </c>
      <c r="M338" s="12">
        <v>4202</v>
      </c>
      <c r="N338" s="13" t="s">
        <v>11</v>
      </c>
      <c r="O338" s="16" t="str">
        <f>TEXT(VLOOKUP(M338, News!A:C, 3, FALSE), "M/D/YYYY")</f>
        <v>5/25/2014</v>
      </c>
      <c r="P338" s="18">
        <f>DATE(YEAR(O338),MONTH(Metrics!$B$5), DAY(Metrics!$B$5))</f>
        <v>41883</v>
      </c>
      <c r="Q338" s="16">
        <f t="shared" si="5"/>
        <v>2014</v>
      </c>
    </row>
    <row r="339" spans="4:17" ht="16" x14ac:dyDescent="0.2">
      <c r="D339" s="10">
        <v>4204</v>
      </c>
      <c r="E339" s="7" t="s">
        <v>11</v>
      </c>
      <c r="M339" s="12">
        <v>4204</v>
      </c>
      <c r="N339" s="13" t="s">
        <v>11</v>
      </c>
      <c r="O339" s="16" t="str">
        <f>TEXT(VLOOKUP(M339, News!A:C, 3, FALSE), "M/D/YYYY")</f>
        <v>6/3/2014</v>
      </c>
      <c r="P339" s="18">
        <f>DATE(YEAR(O339),MONTH(Metrics!$B$5), DAY(Metrics!$B$5))</f>
        <v>41883</v>
      </c>
      <c r="Q339" s="16">
        <f t="shared" si="5"/>
        <v>2014</v>
      </c>
    </row>
    <row r="340" spans="4:17" ht="16" x14ac:dyDescent="0.2">
      <c r="D340" s="10">
        <v>4476</v>
      </c>
      <c r="E340" s="7" t="s">
        <v>11</v>
      </c>
      <c r="M340" s="12">
        <v>4476</v>
      </c>
      <c r="N340" s="13" t="s">
        <v>11</v>
      </c>
      <c r="O340" s="16" t="str">
        <f>TEXT(VLOOKUP(M340, News!A:C, 3, FALSE), "M/D/YYYY")</f>
        <v>4/25/2014</v>
      </c>
      <c r="P340" s="18">
        <f>DATE(YEAR(O340),MONTH(Metrics!$B$5), DAY(Metrics!$B$5))</f>
        <v>41883</v>
      </c>
      <c r="Q340" s="16">
        <f t="shared" si="5"/>
        <v>2014</v>
      </c>
    </row>
    <row r="341" spans="4:17" ht="16" x14ac:dyDescent="0.2">
      <c r="D341" s="10">
        <v>4659</v>
      </c>
      <c r="E341" s="7" t="s">
        <v>11</v>
      </c>
      <c r="M341" s="12">
        <v>4659</v>
      </c>
      <c r="N341" s="13" t="s">
        <v>11</v>
      </c>
      <c r="O341" s="16" t="str">
        <f>TEXT(VLOOKUP(M341, News!A:C, 3, FALSE), "M/D/YYYY")</f>
        <v>11/18/2019</v>
      </c>
      <c r="P341" s="18">
        <f>DATE(YEAR(O341),MONTH(Metrics!$B$5), DAY(Metrics!$B$5))</f>
        <v>43709</v>
      </c>
      <c r="Q341" s="16">
        <f t="shared" si="5"/>
        <v>2020</v>
      </c>
    </row>
    <row r="342" spans="4:17" ht="16" x14ac:dyDescent="0.2">
      <c r="D342" s="10">
        <v>6999</v>
      </c>
      <c r="E342" s="7" t="s">
        <v>11</v>
      </c>
      <c r="M342" s="12">
        <v>6999</v>
      </c>
      <c r="N342" s="13" t="s">
        <v>11</v>
      </c>
      <c r="O342" s="16" t="str">
        <f>TEXT(VLOOKUP(M342, News!A:C, 3, FALSE), "M/D/YYYY")</f>
        <v>3/16/2022</v>
      </c>
      <c r="P342" s="18">
        <f>DATE(YEAR(O342),MONTH(Metrics!$B$5), DAY(Metrics!$B$5))</f>
        <v>44805</v>
      </c>
      <c r="Q342" s="16">
        <f t="shared" si="5"/>
        <v>2022</v>
      </c>
    </row>
    <row r="343" spans="4:17" ht="16" x14ac:dyDescent="0.2">
      <c r="D343" s="10">
        <v>7162</v>
      </c>
      <c r="E343" s="7" t="s">
        <v>11</v>
      </c>
      <c r="M343" s="12">
        <v>7162</v>
      </c>
      <c r="N343" s="13" t="s">
        <v>11</v>
      </c>
      <c r="O343" s="16" t="str">
        <f>TEXT(VLOOKUP(M343, News!A:C, 3, FALSE), "M/D/YYYY")</f>
        <v>6/1/2022</v>
      </c>
      <c r="P343" s="18">
        <f>DATE(YEAR(O343),MONTH(Metrics!$B$5), DAY(Metrics!$B$5))</f>
        <v>44805</v>
      </c>
      <c r="Q343" s="16">
        <f t="shared" si="5"/>
        <v>2022</v>
      </c>
    </row>
    <row r="344" spans="4:17" ht="16" x14ac:dyDescent="0.2">
      <c r="D344" s="10">
        <v>7157</v>
      </c>
      <c r="E344" s="7" t="s">
        <v>11</v>
      </c>
      <c r="M344" s="12">
        <v>7157</v>
      </c>
      <c r="N344" s="13" t="s">
        <v>11</v>
      </c>
      <c r="O344" s="16" t="str">
        <f>TEXT(VLOOKUP(M344, News!A:C, 3, FALSE), "M/D/YYYY")</f>
        <v>6/8/2022</v>
      </c>
      <c r="P344" s="18">
        <f>DATE(YEAR(O344),MONTH(Metrics!$B$5), DAY(Metrics!$B$5))</f>
        <v>44805</v>
      </c>
      <c r="Q344" s="16">
        <f t="shared" si="5"/>
        <v>2022</v>
      </c>
    </row>
    <row r="345" spans="4:17" ht="16" x14ac:dyDescent="0.2">
      <c r="D345" s="10">
        <v>7916</v>
      </c>
      <c r="E345" s="7" t="s">
        <v>11</v>
      </c>
      <c r="M345" s="12">
        <v>7916</v>
      </c>
      <c r="N345" s="13" t="s">
        <v>11</v>
      </c>
      <c r="O345" s="16" t="str">
        <f>TEXT(VLOOKUP(M345, News!A:C, 3, FALSE), "M/D/YYYY")</f>
        <v>1/18/2023</v>
      </c>
      <c r="P345" s="18">
        <f>DATE(YEAR(O345),MONTH(Metrics!$B$5), DAY(Metrics!$B$5))</f>
        <v>45170</v>
      </c>
      <c r="Q345" s="16">
        <f t="shared" si="5"/>
        <v>2023</v>
      </c>
    </row>
    <row r="346" spans="4:17" ht="16" x14ac:dyDescent="0.2">
      <c r="D346" s="10">
        <v>1372</v>
      </c>
      <c r="E346" s="7" t="s">
        <v>11</v>
      </c>
      <c r="M346" s="12">
        <v>1372</v>
      </c>
      <c r="N346" s="13" t="s">
        <v>11</v>
      </c>
      <c r="O346" s="16" t="str">
        <f>TEXT(VLOOKUP(M346, News!A:C, 3, FALSE), "M/D/YYYY")</f>
        <v>10/5/2017</v>
      </c>
      <c r="P346" s="18">
        <f>DATE(YEAR(O346),MONTH(Metrics!$B$5), DAY(Metrics!$B$5))</f>
        <v>42979</v>
      </c>
      <c r="Q346" s="16">
        <f t="shared" si="5"/>
        <v>2018</v>
      </c>
    </row>
    <row r="347" spans="4:17" ht="16" x14ac:dyDescent="0.2">
      <c r="D347" s="10">
        <v>2338</v>
      </c>
      <c r="E347" s="7" t="s">
        <v>11</v>
      </c>
      <c r="M347" s="12">
        <v>2338</v>
      </c>
      <c r="N347" s="13" t="s">
        <v>11</v>
      </c>
      <c r="O347" s="16" t="str">
        <f>TEXT(VLOOKUP(M347, News!A:C, 3, FALSE), "M/D/YYYY")</f>
        <v>4/30/2017</v>
      </c>
      <c r="P347" s="18">
        <f>DATE(YEAR(O347),MONTH(Metrics!$B$5), DAY(Metrics!$B$5))</f>
        <v>42979</v>
      </c>
      <c r="Q347" s="16">
        <f t="shared" si="5"/>
        <v>2017</v>
      </c>
    </row>
    <row r="348" spans="4:17" ht="16" x14ac:dyDescent="0.2">
      <c r="D348" s="10">
        <v>2989</v>
      </c>
      <c r="E348" s="7" t="s">
        <v>11</v>
      </c>
      <c r="M348" s="12">
        <v>2989</v>
      </c>
      <c r="N348" s="13" t="s">
        <v>11</v>
      </c>
      <c r="O348" s="16" t="str">
        <f>TEXT(VLOOKUP(M348, News!A:C, 3, FALSE), "M/D/YYYY")</f>
        <v>12/1/2016</v>
      </c>
      <c r="P348" s="18">
        <f>DATE(YEAR(O348),MONTH(Metrics!$B$5), DAY(Metrics!$B$5))</f>
        <v>42614</v>
      </c>
      <c r="Q348" s="16">
        <f t="shared" si="5"/>
        <v>2017</v>
      </c>
    </row>
    <row r="349" spans="4:17" ht="16" x14ac:dyDescent="0.2">
      <c r="D349" s="10">
        <v>3053</v>
      </c>
      <c r="E349" s="7" t="s">
        <v>11</v>
      </c>
      <c r="M349" s="12">
        <v>3053</v>
      </c>
      <c r="N349" s="13" t="s">
        <v>11</v>
      </c>
      <c r="O349" s="16" t="str">
        <f>TEXT(VLOOKUP(M349, News!A:C, 3, FALSE), "M/D/YYYY")</f>
        <v>10/17/2016</v>
      </c>
      <c r="P349" s="18">
        <f>DATE(YEAR(O349),MONTH(Metrics!$B$5), DAY(Metrics!$B$5))</f>
        <v>42614</v>
      </c>
      <c r="Q349" s="16">
        <f t="shared" si="5"/>
        <v>2017</v>
      </c>
    </row>
    <row r="350" spans="4:17" ht="16" x14ac:dyDescent="0.2">
      <c r="D350" s="10">
        <v>3250</v>
      </c>
      <c r="E350" s="7" t="s">
        <v>11</v>
      </c>
      <c r="M350" s="12">
        <v>3250</v>
      </c>
      <c r="N350" s="13" t="s">
        <v>11</v>
      </c>
      <c r="O350" s="16" t="str">
        <f>TEXT(VLOOKUP(M350, News!A:C, 3, FALSE), "M/D/YYYY")</f>
        <v>9/1/2016</v>
      </c>
      <c r="P350" s="18">
        <f>DATE(YEAR(O350),MONTH(Metrics!$B$5), DAY(Metrics!$B$5))</f>
        <v>42614</v>
      </c>
      <c r="Q350" s="16">
        <f t="shared" si="5"/>
        <v>2017</v>
      </c>
    </row>
    <row r="351" spans="4:17" ht="16" x14ac:dyDescent="0.2">
      <c r="D351" s="10">
        <v>3332</v>
      </c>
      <c r="E351" s="7" t="s">
        <v>11</v>
      </c>
      <c r="M351" s="12">
        <v>3332</v>
      </c>
      <c r="N351" s="13" t="s">
        <v>11</v>
      </c>
      <c r="O351" s="16" t="str">
        <f>TEXT(VLOOKUP(M351, News!A:C, 3, FALSE), "M/D/YYYY")</f>
        <v>7/12/2016</v>
      </c>
      <c r="P351" s="18">
        <f>DATE(YEAR(O351),MONTH(Metrics!$B$5), DAY(Metrics!$B$5))</f>
        <v>42614</v>
      </c>
      <c r="Q351" s="16">
        <f t="shared" si="5"/>
        <v>2016</v>
      </c>
    </row>
    <row r="352" spans="4:17" ht="16" x14ac:dyDescent="0.2">
      <c r="D352" s="10">
        <v>3338</v>
      </c>
      <c r="E352" s="7" t="s">
        <v>11</v>
      </c>
      <c r="M352" s="12">
        <v>3338</v>
      </c>
      <c r="N352" s="13" t="s">
        <v>11</v>
      </c>
      <c r="O352" s="16" t="str">
        <f>TEXT(VLOOKUP(M352, News!A:C, 3, FALSE), "M/D/YYYY")</f>
        <v>6/27/2016</v>
      </c>
      <c r="P352" s="18">
        <f>DATE(YEAR(O352),MONTH(Metrics!$B$5), DAY(Metrics!$B$5))</f>
        <v>42614</v>
      </c>
      <c r="Q352" s="16">
        <f t="shared" si="5"/>
        <v>2016</v>
      </c>
    </row>
    <row r="353" spans="4:17" ht="16" x14ac:dyDescent="0.2">
      <c r="D353" s="10">
        <v>3532</v>
      </c>
      <c r="E353" s="7" t="s">
        <v>11</v>
      </c>
      <c r="M353" s="12">
        <v>3532</v>
      </c>
      <c r="N353" s="13" t="s">
        <v>11</v>
      </c>
      <c r="O353" s="16" t="str">
        <f>TEXT(VLOOKUP(M353, News!A:C, 3, FALSE), "M/D/YYYY")</f>
        <v>4/29/2016</v>
      </c>
      <c r="P353" s="18">
        <f>DATE(YEAR(O353),MONTH(Metrics!$B$5), DAY(Metrics!$B$5))</f>
        <v>42614</v>
      </c>
      <c r="Q353" s="16">
        <f t="shared" si="5"/>
        <v>2016</v>
      </c>
    </row>
    <row r="354" spans="4:17" ht="16" x14ac:dyDescent="0.2">
      <c r="D354" s="10">
        <v>3534</v>
      </c>
      <c r="E354" s="7" t="s">
        <v>11</v>
      </c>
      <c r="M354" s="12">
        <v>3534</v>
      </c>
      <c r="N354" s="13" t="s">
        <v>11</v>
      </c>
      <c r="O354" s="16" t="str">
        <f>TEXT(VLOOKUP(M354, News!A:C, 3, FALSE), "M/D/YYYY")</f>
        <v>4/28/2016</v>
      </c>
      <c r="P354" s="18">
        <f>DATE(YEAR(O354),MONTH(Metrics!$B$5), DAY(Metrics!$B$5))</f>
        <v>42614</v>
      </c>
      <c r="Q354" s="16">
        <f t="shared" si="5"/>
        <v>2016</v>
      </c>
    </row>
    <row r="355" spans="4:17" ht="16" x14ac:dyDescent="0.2">
      <c r="D355" s="10">
        <v>3537</v>
      </c>
      <c r="E355" s="7" t="s">
        <v>11</v>
      </c>
      <c r="M355" s="12">
        <v>3537</v>
      </c>
      <c r="N355" s="13" t="s">
        <v>11</v>
      </c>
      <c r="O355" s="16" t="str">
        <f>TEXT(VLOOKUP(M355, News!A:C, 3, FALSE), "M/D/YYYY")</f>
        <v>4/25/2016</v>
      </c>
      <c r="P355" s="18">
        <f>DATE(YEAR(O355),MONTH(Metrics!$B$5), DAY(Metrics!$B$5))</f>
        <v>42614</v>
      </c>
      <c r="Q355" s="16">
        <f t="shared" si="5"/>
        <v>2016</v>
      </c>
    </row>
    <row r="356" spans="4:17" ht="16" x14ac:dyDescent="0.2">
      <c r="D356" s="10">
        <v>3941</v>
      </c>
      <c r="E356" s="7" t="s">
        <v>11</v>
      </c>
      <c r="M356" s="12">
        <v>3941</v>
      </c>
      <c r="N356" s="13" t="s">
        <v>11</v>
      </c>
      <c r="O356" s="16" t="str">
        <f>TEXT(VLOOKUP(M356, News!A:C, 3, FALSE), "M/D/YYYY")</f>
        <v>4/25/2015</v>
      </c>
      <c r="P356" s="18">
        <f>DATE(YEAR(O356),MONTH(Metrics!$B$5), DAY(Metrics!$B$5))</f>
        <v>42248</v>
      </c>
      <c r="Q356" s="16">
        <f t="shared" si="5"/>
        <v>2015</v>
      </c>
    </row>
    <row r="357" spans="4:17" ht="16" x14ac:dyDescent="0.2">
      <c r="D357" s="10">
        <v>3972</v>
      </c>
      <c r="E357" s="7" t="s">
        <v>11</v>
      </c>
      <c r="M357" s="12">
        <v>3972</v>
      </c>
      <c r="N357" s="13" t="s">
        <v>11</v>
      </c>
      <c r="O357" s="16" t="str">
        <f>TEXT(VLOOKUP(M357, News!A:C, 3, FALSE), "M/D/YYYY")</f>
        <v>3/29/2015</v>
      </c>
      <c r="P357" s="18">
        <f>DATE(YEAR(O357),MONTH(Metrics!$B$5), DAY(Metrics!$B$5))</f>
        <v>42248</v>
      </c>
      <c r="Q357" s="16">
        <f t="shared" si="5"/>
        <v>2015</v>
      </c>
    </row>
    <row r="358" spans="4:17" ht="16" x14ac:dyDescent="0.2">
      <c r="D358" s="10">
        <v>4045</v>
      </c>
      <c r="E358" s="7" t="s">
        <v>11</v>
      </c>
      <c r="M358" s="12">
        <v>4045</v>
      </c>
      <c r="N358" s="13" t="s">
        <v>11</v>
      </c>
      <c r="O358" s="16" t="str">
        <f>TEXT(VLOOKUP(M358, News!A:C, 3, FALSE), "M/D/YYYY")</f>
        <v>11/6/2014</v>
      </c>
      <c r="P358" s="18">
        <f>DATE(YEAR(O358),MONTH(Metrics!$B$5), DAY(Metrics!$B$5))</f>
        <v>41883</v>
      </c>
      <c r="Q358" s="16">
        <f t="shared" si="5"/>
        <v>2015</v>
      </c>
    </row>
    <row r="359" spans="4:17" ht="16" x14ac:dyDescent="0.2">
      <c r="D359" s="10">
        <v>4048</v>
      </c>
      <c r="E359" s="7" t="s">
        <v>11</v>
      </c>
      <c r="M359" s="12">
        <v>4048</v>
      </c>
      <c r="N359" s="13" t="s">
        <v>11</v>
      </c>
      <c r="O359" s="16" t="str">
        <f>TEXT(VLOOKUP(M359, News!A:C, 3, FALSE), "M/D/YYYY")</f>
        <v>11/2/2014</v>
      </c>
      <c r="P359" s="18">
        <f>DATE(YEAR(O359),MONTH(Metrics!$B$5), DAY(Metrics!$B$5))</f>
        <v>41883</v>
      </c>
      <c r="Q359" s="16">
        <f t="shared" si="5"/>
        <v>2015</v>
      </c>
    </row>
    <row r="360" spans="4:17" ht="16" x14ac:dyDescent="0.2">
      <c r="D360" s="10">
        <v>4073</v>
      </c>
      <c r="E360" s="7" t="s">
        <v>11</v>
      </c>
      <c r="M360" s="12">
        <v>4073</v>
      </c>
      <c r="N360" s="13" t="s">
        <v>11</v>
      </c>
      <c r="O360" s="16" t="str">
        <f>TEXT(VLOOKUP(M360, News!A:C, 3, FALSE), "M/D/YYYY")</f>
        <v>9/30/2014</v>
      </c>
      <c r="P360" s="18">
        <f>DATE(YEAR(O360),MONTH(Metrics!$B$5), DAY(Metrics!$B$5))</f>
        <v>41883</v>
      </c>
      <c r="Q360" s="16">
        <f t="shared" si="5"/>
        <v>2015</v>
      </c>
    </row>
    <row r="361" spans="4:17" ht="16" x14ac:dyDescent="0.2">
      <c r="D361" s="10">
        <v>4075</v>
      </c>
      <c r="E361" s="7" t="s">
        <v>11</v>
      </c>
      <c r="M361" s="12">
        <v>4075</v>
      </c>
      <c r="N361" s="13" t="s">
        <v>11</v>
      </c>
      <c r="O361" s="16" t="str">
        <f>TEXT(VLOOKUP(M361, News!A:C, 3, FALSE), "M/D/YYYY")</f>
        <v>9/30/2014</v>
      </c>
      <c r="P361" s="18">
        <f>DATE(YEAR(O361),MONTH(Metrics!$B$5), DAY(Metrics!$B$5))</f>
        <v>41883</v>
      </c>
      <c r="Q361" s="16">
        <f t="shared" si="5"/>
        <v>2015</v>
      </c>
    </row>
    <row r="362" spans="4:17" ht="16" x14ac:dyDescent="0.2">
      <c r="D362" s="10">
        <v>4468</v>
      </c>
      <c r="E362" s="7" t="s">
        <v>11</v>
      </c>
      <c r="M362" s="12">
        <v>4468</v>
      </c>
      <c r="N362" s="13" t="s">
        <v>11</v>
      </c>
      <c r="O362" s="16" t="str">
        <f>TEXT(VLOOKUP(M362, News!A:C, 3, FALSE), "M/D/YYYY")</f>
        <v>5/4/2014</v>
      </c>
      <c r="P362" s="18">
        <f>DATE(YEAR(O362),MONTH(Metrics!$B$5), DAY(Metrics!$B$5))</f>
        <v>41883</v>
      </c>
      <c r="Q362" s="16">
        <f t="shared" si="5"/>
        <v>2014</v>
      </c>
    </row>
    <row r="363" spans="4:17" ht="16" x14ac:dyDescent="0.2">
      <c r="D363" s="10">
        <v>1361</v>
      </c>
      <c r="E363" s="7" t="s">
        <v>11</v>
      </c>
      <c r="M363" s="12">
        <v>1361</v>
      </c>
      <c r="N363" s="13" t="s">
        <v>11</v>
      </c>
      <c r="O363" s="16" t="str">
        <f>TEXT(VLOOKUP(M363, News!A:C, 3, FALSE), "M/D/YYYY")</f>
        <v>10/16/2017</v>
      </c>
      <c r="P363" s="18">
        <f>DATE(YEAR(O363),MONTH(Metrics!$B$5), DAY(Metrics!$B$5))</f>
        <v>42979</v>
      </c>
      <c r="Q363" s="16">
        <f t="shared" si="5"/>
        <v>2018</v>
      </c>
    </row>
    <row r="364" spans="4:17" ht="16" x14ac:dyDescent="0.2">
      <c r="D364" s="10">
        <v>2007</v>
      </c>
      <c r="E364" s="7" t="s">
        <v>11</v>
      </c>
      <c r="M364" s="12">
        <v>2007</v>
      </c>
      <c r="N364" s="13" t="s">
        <v>11</v>
      </c>
      <c r="O364" s="16" t="str">
        <f>TEXT(VLOOKUP(M364, News!A:C, 3, FALSE), "M/D/YYYY")</f>
        <v>8/22/2017</v>
      </c>
      <c r="P364" s="18">
        <f>DATE(YEAR(O364),MONTH(Metrics!$B$5), DAY(Metrics!$B$5))</f>
        <v>42979</v>
      </c>
      <c r="Q364" s="16">
        <f t="shared" si="5"/>
        <v>2017</v>
      </c>
    </row>
    <row r="365" spans="4:17" ht="16" x14ac:dyDescent="0.2">
      <c r="D365" s="10">
        <v>2311</v>
      </c>
      <c r="E365" s="7" t="s">
        <v>11</v>
      </c>
      <c r="M365" s="12">
        <v>2311</v>
      </c>
      <c r="N365" s="13" t="s">
        <v>11</v>
      </c>
      <c r="O365" s="16" t="str">
        <f>TEXT(VLOOKUP(M365, News!A:C, 3, FALSE), "M/D/YYYY")</f>
        <v>5/16/2017</v>
      </c>
      <c r="P365" s="18">
        <f>DATE(YEAR(O365),MONTH(Metrics!$B$5), DAY(Metrics!$B$5))</f>
        <v>42979</v>
      </c>
      <c r="Q365" s="16">
        <f t="shared" si="5"/>
        <v>2017</v>
      </c>
    </row>
    <row r="366" spans="4:17" ht="16" x14ac:dyDescent="0.2">
      <c r="D366" s="10">
        <v>3334</v>
      </c>
      <c r="E366" s="7" t="s">
        <v>11</v>
      </c>
      <c r="M366" s="12">
        <v>3334</v>
      </c>
      <c r="N366" s="13" t="s">
        <v>11</v>
      </c>
      <c r="O366" s="16" t="str">
        <f>TEXT(VLOOKUP(M366, News!A:C, 3, FALSE), "M/D/YYYY")</f>
        <v>6/30/2016</v>
      </c>
      <c r="P366" s="18">
        <f>DATE(YEAR(O366),MONTH(Metrics!$B$5), DAY(Metrics!$B$5))</f>
        <v>42614</v>
      </c>
      <c r="Q366" s="16">
        <f t="shared" si="5"/>
        <v>2016</v>
      </c>
    </row>
    <row r="367" spans="4:17" ht="16" x14ac:dyDescent="0.2">
      <c r="D367" s="10">
        <v>3336</v>
      </c>
      <c r="E367" s="7" t="s">
        <v>11</v>
      </c>
      <c r="M367" s="12">
        <v>3336</v>
      </c>
      <c r="N367" s="13" t="s">
        <v>11</v>
      </c>
      <c r="O367" s="16" t="str">
        <f>TEXT(VLOOKUP(M367, News!A:C, 3, FALSE), "M/D/YYYY")</f>
        <v>6/29/2016</v>
      </c>
      <c r="P367" s="18">
        <f>DATE(YEAR(O367),MONTH(Metrics!$B$5), DAY(Metrics!$B$5))</f>
        <v>42614</v>
      </c>
      <c r="Q367" s="16">
        <f t="shared" si="5"/>
        <v>2016</v>
      </c>
    </row>
    <row r="368" spans="4:17" ht="16" x14ac:dyDescent="0.2">
      <c r="D368" s="10">
        <v>3562</v>
      </c>
      <c r="E368" s="7" t="s">
        <v>11</v>
      </c>
      <c r="M368" s="12">
        <v>3562</v>
      </c>
      <c r="N368" s="13" t="s">
        <v>11</v>
      </c>
      <c r="O368" s="16" t="str">
        <f>TEXT(VLOOKUP(M368, News!A:C, 3, FALSE), "M/D/YYYY")</f>
        <v>2/15/2016</v>
      </c>
      <c r="P368" s="18">
        <f>DATE(YEAR(O368),MONTH(Metrics!$B$5), DAY(Metrics!$B$5))</f>
        <v>42614</v>
      </c>
      <c r="Q368" s="16">
        <f t="shared" si="5"/>
        <v>2016</v>
      </c>
    </row>
    <row r="369" spans="4:17" ht="16" x14ac:dyDescent="0.2">
      <c r="D369" s="10">
        <v>3739</v>
      </c>
      <c r="E369" s="7" t="s">
        <v>11</v>
      </c>
      <c r="M369" s="12">
        <v>3739</v>
      </c>
      <c r="N369" s="13" t="s">
        <v>11</v>
      </c>
      <c r="O369" s="16" t="str">
        <f>TEXT(VLOOKUP(M369, News!A:C, 3, FALSE), "M/D/YYYY")</f>
        <v>10/20/2015</v>
      </c>
      <c r="P369" s="18">
        <f>DATE(YEAR(O369),MONTH(Metrics!$B$5), DAY(Metrics!$B$5))</f>
        <v>42248</v>
      </c>
      <c r="Q369" s="16">
        <f t="shared" si="5"/>
        <v>2016</v>
      </c>
    </row>
    <row r="370" spans="4:17" ht="16" x14ac:dyDescent="0.2">
      <c r="D370" s="10">
        <v>3791</v>
      </c>
      <c r="E370" s="7" t="s">
        <v>11</v>
      </c>
      <c r="M370" s="12">
        <v>3791</v>
      </c>
      <c r="N370" s="13" t="s">
        <v>11</v>
      </c>
      <c r="O370" s="16" t="str">
        <f>TEXT(VLOOKUP(M370, News!A:C, 3, FALSE), "M/D/YYYY")</f>
        <v>7/30/2015</v>
      </c>
      <c r="P370" s="18">
        <f>DATE(YEAR(O370),MONTH(Metrics!$B$5), DAY(Metrics!$B$5))</f>
        <v>42248</v>
      </c>
      <c r="Q370" s="16">
        <f t="shared" si="5"/>
        <v>2015</v>
      </c>
    </row>
    <row r="371" spans="4:17" ht="16" x14ac:dyDescent="0.2">
      <c r="D371" s="10">
        <v>4008</v>
      </c>
      <c r="E371" s="7" t="s">
        <v>11</v>
      </c>
      <c r="M371" s="12">
        <v>4008</v>
      </c>
      <c r="N371" s="13" t="s">
        <v>11</v>
      </c>
      <c r="O371" s="16" t="str">
        <f>TEXT(VLOOKUP(M371, News!A:C, 3, FALSE), "M/D/YYYY")</f>
        <v>2/17/2015</v>
      </c>
      <c r="P371" s="18">
        <f>DATE(YEAR(O371),MONTH(Metrics!$B$5), DAY(Metrics!$B$5))</f>
        <v>42248</v>
      </c>
      <c r="Q371" s="16">
        <f t="shared" si="5"/>
        <v>2015</v>
      </c>
    </row>
    <row r="372" spans="4:17" ht="16" x14ac:dyDescent="0.2">
      <c r="D372" s="10">
        <v>4058</v>
      </c>
      <c r="E372" s="7" t="s">
        <v>11</v>
      </c>
      <c r="M372" s="12">
        <v>4058</v>
      </c>
      <c r="N372" s="13" t="s">
        <v>11</v>
      </c>
      <c r="O372" s="16" t="str">
        <f>TEXT(VLOOKUP(M372, News!A:C, 3, FALSE), "M/D/YYYY")</f>
        <v>10/27/2014</v>
      </c>
      <c r="P372" s="18">
        <f>DATE(YEAR(O372),MONTH(Metrics!$B$5), DAY(Metrics!$B$5))</f>
        <v>41883</v>
      </c>
      <c r="Q372" s="16">
        <f t="shared" si="5"/>
        <v>2015</v>
      </c>
    </row>
    <row r="373" spans="4:17" ht="16" x14ac:dyDescent="0.2">
      <c r="D373" s="10"/>
      <c r="E373" s="7"/>
      <c r="M373" s="12">
        <v>1351</v>
      </c>
      <c r="N373" s="13" t="s">
        <v>37</v>
      </c>
      <c r="O373" s="16" t="str">
        <f>TEXT(VLOOKUP(M373, News!A:C, 3, FALSE), "M/D/YYYY")</f>
        <v>5/10/2018</v>
      </c>
      <c r="P373" s="18">
        <f>DATE(YEAR(O373),MONTH(Metrics!$B$5), DAY(Metrics!$B$5))</f>
        <v>43344</v>
      </c>
      <c r="Q373" s="16">
        <f t="shared" si="5"/>
        <v>2018</v>
      </c>
    </row>
    <row r="374" spans="4:17" ht="16" x14ac:dyDescent="0.2">
      <c r="M374" s="12">
        <v>1413</v>
      </c>
      <c r="N374" s="13" t="s">
        <v>37</v>
      </c>
      <c r="O374" s="16" t="str">
        <f>TEXT(VLOOKUP(M374, News!A:C, 3, FALSE), "M/D/YYYY")</f>
        <v>11/10/2017</v>
      </c>
      <c r="P374" s="18">
        <f>DATE(YEAR(O374),MONTH(Metrics!$B$5), DAY(Metrics!$B$5))</f>
        <v>42979</v>
      </c>
      <c r="Q374" s="16">
        <f t="shared" si="5"/>
        <v>2018</v>
      </c>
    </row>
    <row r="375" spans="4:17" ht="16" x14ac:dyDescent="0.2">
      <c r="M375" s="12">
        <v>1930</v>
      </c>
      <c r="N375" s="13" t="s">
        <v>37</v>
      </c>
      <c r="O375" s="16" t="str">
        <f>TEXT(VLOOKUP(M375, News!A:C, 3, FALSE), "M/D/YYYY")</f>
        <v>10/25/2018</v>
      </c>
      <c r="P375" s="18">
        <f>DATE(YEAR(O375),MONTH(Metrics!$B$5), DAY(Metrics!$B$5))</f>
        <v>43344</v>
      </c>
      <c r="Q375" s="16">
        <f t="shared" si="5"/>
        <v>2019</v>
      </c>
    </row>
    <row r="376" spans="4:17" ht="16" x14ac:dyDescent="0.2">
      <c r="M376" s="12">
        <v>2549</v>
      </c>
      <c r="N376" s="13" t="s">
        <v>37</v>
      </c>
      <c r="O376" s="16" t="str">
        <f>TEXT(VLOOKUP(M376, News!A:C, 3, FALSE), "M/D/YYYY")</f>
        <v>1/20/2017</v>
      </c>
      <c r="P376" s="18">
        <f>DATE(YEAR(O376),MONTH(Metrics!$B$5), DAY(Metrics!$B$5))</f>
        <v>42979</v>
      </c>
      <c r="Q376" s="16">
        <f t="shared" si="5"/>
        <v>2017</v>
      </c>
    </row>
    <row r="377" spans="4:17" ht="16" x14ac:dyDescent="0.2">
      <c r="M377" s="12">
        <v>2747</v>
      </c>
      <c r="N377" s="13" t="s">
        <v>37</v>
      </c>
      <c r="O377" s="16" t="str">
        <f>TEXT(VLOOKUP(M377, News!A:C, 3, FALSE), "M/D/YYYY")</f>
        <v>11/26/2018</v>
      </c>
      <c r="P377" s="18">
        <f>DATE(YEAR(O377),MONTH(Metrics!$B$5), DAY(Metrics!$B$5))</f>
        <v>43344</v>
      </c>
      <c r="Q377" s="16">
        <f t="shared" si="5"/>
        <v>2019</v>
      </c>
    </row>
    <row r="378" spans="4:17" ht="16" x14ac:dyDescent="0.2">
      <c r="M378" s="12">
        <v>3059</v>
      </c>
      <c r="N378" s="13" t="s">
        <v>37</v>
      </c>
      <c r="O378" s="16" t="str">
        <f>TEXT(VLOOKUP(M378, News!A:C, 3, FALSE), "M/D/YYYY")</f>
        <v>10/14/2016</v>
      </c>
      <c r="P378" s="18">
        <f>DATE(YEAR(O378),MONTH(Metrics!$B$5), DAY(Metrics!$B$5))</f>
        <v>42614</v>
      </c>
      <c r="Q378" s="16">
        <f t="shared" si="5"/>
        <v>2017</v>
      </c>
    </row>
    <row r="379" spans="4:17" ht="16" x14ac:dyDescent="0.2">
      <c r="M379" s="12">
        <v>3257</v>
      </c>
      <c r="N379" s="13" t="s">
        <v>37</v>
      </c>
      <c r="O379" s="16" t="str">
        <f>TEXT(VLOOKUP(M379, News!A:C, 3, FALSE), "M/D/YYYY")</f>
        <v>12/18/2018</v>
      </c>
      <c r="P379" s="18">
        <f>DATE(YEAR(O379),MONTH(Metrics!$B$5), DAY(Metrics!$B$5))</f>
        <v>43344</v>
      </c>
      <c r="Q379" s="16">
        <f t="shared" si="5"/>
        <v>2019</v>
      </c>
    </row>
    <row r="380" spans="4:17" ht="16" x14ac:dyDescent="0.2">
      <c r="M380" s="12">
        <v>3398</v>
      </c>
      <c r="N380" s="13" t="s">
        <v>37</v>
      </c>
      <c r="O380" s="16" t="str">
        <f>TEXT(VLOOKUP(M380, News!A:C, 3, FALSE), "M/D/YYYY")</f>
        <v>5/20/2016</v>
      </c>
      <c r="P380" s="18">
        <f>DATE(YEAR(O380),MONTH(Metrics!$B$5), DAY(Metrics!$B$5))</f>
        <v>42614</v>
      </c>
      <c r="Q380" s="16">
        <f t="shared" si="5"/>
        <v>2016</v>
      </c>
    </row>
    <row r="381" spans="4:17" ht="16" x14ac:dyDescent="0.2">
      <c r="M381" s="12">
        <v>3617</v>
      </c>
      <c r="N381" s="13" t="s">
        <v>37</v>
      </c>
      <c r="O381" s="16" t="str">
        <f>TEXT(VLOOKUP(M381, News!A:C, 3, FALSE), "M/D/YYYY")</f>
        <v>1/10/2016</v>
      </c>
      <c r="P381" s="18">
        <f>DATE(YEAR(O381),MONTH(Metrics!$B$5), DAY(Metrics!$B$5))</f>
        <v>42614</v>
      </c>
      <c r="Q381" s="16">
        <f t="shared" si="5"/>
        <v>2016</v>
      </c>
    </row>
    <row r="382" spans="4:17" ht="16" x14ac:dyDescent="0.2">
      <c r="M382" s="12">
        <v>3797</v>
      </c>
      <c r="N382" s="13" t="s">
        <v>37</v>
      </c>
      <c r="O382" s="16" t="str">
        <f>TEXT(VLOOKUP(M382, News!A:C, 3, FALSE), "M/D/YYYY")</f>
        <v>7/20/2015</v>
      </c>
      <c r="P382" s="18">
        <f>DATE(YEAR(O382),MONTH(Metrics!$B$5), DAY(Metrics!$B$5))</f>
        <v>42248</v>
      </c>
      <c r="Q382" s="16">
        <f t="shared" si="5"/>
        <v>2015</v>
      </c>
    </row>
    <row r="383" spans="4:17" ht="16" x14ac:dyDescent="0.2">
      <c r="M383" s="12">
        <v>3801</v>
      </c>
      <c r="N383" s="13" t="s">
        <v>37</v>
      </c>
      <c r="O383" s="16" t="str">
        <f>TEXT(VLOOKUP(M383, News!A:C, 3, FALSE), "M/D/YYYY")</f>
        <v>7/4/2015</v>
      </c>
      <c r="P383" s="18">
        <f>DATE(YEAR(O383),MONTH(Metrics!$B$5), DAY(Metrics!$B$5))</f>
        <v>42248</v>
      </c>
      <c r="Q383" s="16">
        <f t="shared" si="5"/>
        <v>2015</v>
      </c>
    </row>
    <row r="384" spans="4:17" ht="16" x14ac:dyDescent="0.2">
      <c r="M384" s="12">
        <v>3859</v>
      </c>
      <c r="N384" s="13" t="s">
        <v>37</v>
      </c>
      <c r="O384" s="16" t="str">
        <f>TEXT(VLOOKUP(M384, News!A:C, 3, FALSE), "M/D/YYYY")</f>
        <v>3/29/2019</v>
      </c>
      <c r="P384" s="18">
        <f>DATE(YEAR(O384),MONTH(Metrics!$B$5), DAY(Metrics!$B$5))</f>
        <v>43709</v>
      </c>
      <c r="Q384" s="16">
        <f t="shared" si="5"/>
        <v>2019</v>
      </c>
    </row>
    <row r="385" spans="13:17" ht="16" x14ac:dyDescent="0.2">
      <c r="M385" s="12">
        <v>3947</v>
      </c>
      <c r="N385" s="13" t="s">
        <v>37</v>
      </c>
      <c r="O385" s="16" t="str">
        <f>TEXT(VLOOKUP(M385, News!A:C, 3, FALSE), "M/D/YYYY")</f>
        <v>4/10/2015</v>
      </c>
      <c r="P385" s="18">
        <f>DATE(YEAR(O385),MONTH(Metrics!$B$5), DAY(Metrics!$B$5))</f>
        <v>42248</v>
      </c>
      <c r="Q385" s="16">
        <f t="shared" si="5"/>
        <v>2015</v>
      </c>
    </row>
    <row r="386" spans="13:17" ht="16" x14ac:dyDescent="0.2">
      <c r="M386" s="12">
        <v>3991</v>
      </c>
      <c r="N386" s="13" t="s">
        <v>37</v>
      </c>
      <c r="O386" s="16" t="str">
        <f>TEXT(VLOOKUP(M386, News!A:C, 3, FALSE), "M/D/YYYY")</f>
        <v>2/27/2015</v>
      </c>
      <c r="P386" s="18">
        <f>DATE(YEAR(O386),MONTH(Metrics!$B$5), DAY(Metrics!$B$5))</f>
        <v>42248</v>
      </c>
      <c r="Q386" s="16">
        <f t="shared" si="5"/>
        <v>2015</v>
      </c>
    </row>
    <row r="387" spans="13:17" ht="16" x14ac:dyDescent="0.2">
      <c r="M387" s="12">
        <v>4018</v>
      </c>
      <c r="N387" s="13" t="s">
        <v>37</v>
      </c>
      <c r="O387" s="16" t="str">
        <f>TEXT(VLOOKUP(M387, News!A:C, 3, FALSE), "M/D/YYYY")</f>
        <v>1/11/2015</v>
      </c>
      <c r="P387" s="18">
        <f>DATE(YEAR(O387),MONTH(Metrics!$B$5), DAY(Metrics!$B$5))</f>
        <v>42248</v>
      </c>
      <c r="Q387" s="16">
        <f t="shared" ref="Q387:Q450" si="6">IF(MONTH(O387) &gt;= MONTH(P387), YEAR(O387)+1, YEAR(O387))</f>
        <v>2015</v>
      </c>
    </row>
    <row r="388" spans="13:17" ht="16" x14ac:dyDescent="0.2">
      <c r="M388" s="12">
        <v>4069</v>
      </c>
      <c r="N388" s="13" t="s">
        <v>37</v>
      </c>
      <c r="O388" s="16" t="str">
        <f>TEXT(VLOOKUP(M388, News!A:C, 3, FALSE), "M/D/YYYY")</f>
        <v>10/20/2014</v>
      </c>
      <c r="P388" s="18">
        <f>DATE(YEAR(O388),MONTH(Metrics!$B$5), DAY(Metrics!$B$5))</f>
        <v>41883</v>
      </c>
      <c r="Q388" s="16">
        <f t="shared" si="6"/>
        <v>2015</v>
      </c>
    </row>
    <row r="389" spans="13:17" ht="16" x14ac:dyDescent="0.2">
      <c r="M389" s="12">
        <v>4085</v>
      </c>
      <c r="N389" s="13" t="s">
        <v>37</v>
      </c>
      <c r="O389" s="16" t="str">
        <f>TEXT(VLOOKUP(M389, News!A:C, 3, FALSE), "M/D/YYYY")</f>
        <v>8/31/2014</v>
      </c>
      <c r="P389" s="18">
        <f>DATE(YEAR(O389),MONTH(Metrics!$B$5), DAY(Metrics!$B$5))</f>
        <v>41883</v>
      </c>
      <c r="Q389" s="16">
        <f t="shared" si="6"/>
        <v>2014</v>
      </c>
    </row>
    <row r="390" spans="13:17" ht="16" x14ac:dyDescent="0.2">
      <c r="M390" s="12">
        <v>4089</v>
      </c>
      <c r="N390" s="13" t="s">
        <v>37</v>
      </c>
      <c r="O390" s="16" t="str">
        <f>TEXT(VLOOKUP(M390, News!A:C, 3, FALSE), "M/D/YYYY")</f>
        <v>8/22/2014</v>
      </c>
      <c r="P390" s="18">
        <f>DATE(YEAR(O390),MONTH(Metrics!$B$5), DAY(Metrics!$B$5))</f>
        <v>41883</v>
      </c>
      <c r="Q390" s="16">
        <f t="shared" si="6"/>
        <v>2014</v>
      </c>
    </row>
    <row r="391" spans="13:17" ht="16" x14ac:dyDescent="0.2">
      <c r="M391" s="12">
        <v>4130</v>
      </c>
      <c r="N391" s="13" t="s">
        <v>37</v>
      </c>
      <c r="O391" s="16" t="str">
        <f>TEXT(VLOOKUP(M391, News!A:C, 3, FALSE), "M/D/YYYY")</f>
        <v>7/10/2014</v>
      </c>
      <c r="P391" s="18">
        <f>DATE(YEAR(O391),MONTH(Metrics!$B$5), DAY(Metrics!$B$5))</f>
        <v>41883</v>
      </c>
      <c r="Q391" s="16">
        <f t="shared" si="6"/>
        <v>2014</v>
      </c>
    </row>
    <row r="392" spans="13:17" ht="16" x14ac:dyDescent="0.2">
      <c r="M392" s="12">
        <v>4133</v>
      </c>
      <c r="N392" s="13" t="s">
        <v>37</v>
      </c>
      <c r="O392" s="16" t="str">
        <f>TEXT(VLOOKUP(M392, News!A:C, 3, FALSE), "M/D/YYYY")</f>
        <v>7/1/2014</v>
      </c>
      <c r="P392" s="18">
        <f>DATE(YEAR(O392),MONTH(Metrics!$B$5), DAY(Metrics!$B$5))</f>
        <v>41883</v>
      </c>
      <c r="Q392" s="16">
        <f t="shared" si="6"/>
        <v>2014</v>
      </c>
    </row>
    <row r="393" spans="13:17" ht="16" x14ac:dyDescent="0.2">
      <c r="M393" s="12">
        <v>4150</v>
      </c>
      <c r="N393" s="13" t="s">
        <v>37</v>
      </c>
      <c r="O393" s="16" t="str">
        <f>TEXT(VLOOKUP(M393, News!A:C, 3, FALSE), "M/D/YYYY")</f>
        <v>6/30/2014</v>
      </c>
      <c r="P393" s="18">
        <f>DATE(YEAR(O393),MONTH(Metrics!$B$5), DAY(Metrics!$B$5))</f>
        <v>41883</v>
      </c>
      <c r="Q393" s="16">
        <f t="shared" si="6"/>
        <v>2014</v>
      </c>
    </row>
    <row r="394" spans="13:17" ht="16" x14ac:dyDescent="0.2">
      <c r="M394" s="12">
        <v>4151</v>
      </c>
      <c r="N394" s="13" t="s">
        <v>37</v>
      </c>
      <c r="O394" s="16" t="str">
        <f>TEXT(VLOOKUP(M394, News!A:C, 3, FALSE), "M/D/YYYY")</f>
        <v>6/15/2014</v>
      </c>
      <c r="P394" s="18">
        <f>DATE(YEAR(O394),MONTH(Metrics!$B$5), DAY(Metrics!$B$5))</f>
        <v>41883</v>
      </c>
      <c r="Q394" s="16">
        <f t="shared" si="6"/>
        <v>2014</v>
      </c>
    </row>
    <row r="395" spans="13:17" ht="16" x14ac:dyDescent="0.2">
      <c r="M395" s="12">
        <v>4202</v>
      </c>
      <c r="N395" s="13" t="s">
        <v>37</v>
      </c>
      <c r="O395" s="16" t="str">
        <f>TEXT(VLOOKUP(M395, News!A:C, 3, FALSE), "M/D/YYYY")</f>
        <v>5/25/2014</v>
      </c>
      <c r="P395" s="18">
        <f>DATE(YEAR(O395),MONTH(Metrics!$B$5), DAY(Metrics!$B$5))</f>
        <v>41883</v>
      </c>
      <c r="Q395" s="16">
        <f t="shared" si="6"/>
        <v>2014</v>
      </c>
    </row>
    <row r="396" spans="13:17" ht="16" x14ac:dyDescent="0.2">
      <c r="M396" s="12">
        <v>4204</v>
      </c>
      <c r="N396" s="13" t="s">
        <v>37</v>
      </c>
      <c r="O396" s="16" t="str">
        <f>TEXT(VLOOKUP(M396, News!A:C, 3, FALSE), "M/D/YYYY")</f>
        <v>6/3/2014</v>
      </c>
      <c r="P396" s="18">
        <f>DATE(YEAR(O396),MONTH(Metrics!$B$5), DAY(Metrics!$B$5))</f>
        <v>41883</v>
      </c>
      <c r="Q396" s="16">
        <f t="shared" si="6"/>
        <v>2014</v>
      </c>
    </row>
    <row r="397" spans="13:17" ht="16" x14ac:dyDescent="0.2">
      <c r="M397" s="12">
        <v>4476</v>
      </c>
      <c r="N397" s="13" t="s">
        <v>37</v>
      </c>
      <c r="O397" s="16" t="str">
        <f>TEXT(VLOOKUP(M397, News!A:C, 3, FALSE), "M/D/YYYY")</f>
        <v>4/25/2014</v>
      </c>
      <c r="P397" s="18">
        <f>DATE(YEAR(O397),MONTH(Metrics!$B$5), DAY(Metrics!$B$5))</f>
        <v>41883</v>
      </c>
      <c r="Q397" s="16">
        <f t="shared" si="6"/>
        <v>2014</v>
      </c>
    </row>
    <row r="398" spans="13:17" ht="16" x14ac:dyDescent="0.2">
      <c r="M398" s="12">
        <v>4659</v>
      </c>
      <c r="N398" s="13" t="s">
        <v>37</v>
      </c>
      <c r="O398" s="16" t="str">
        <f>TEXT(VLOOKUP(M398, News!A:C, 3, FALSE), "M/D/YYYY")</f>
        <v>11/18/2019</v>
      </c>
      <c r="P398" s="18">
        <f>DATE(YEAR(O398),MONTH(Metrics!$B$5), DAY(Metrics!$B$5))</f>
        <v>43709</v>
      </c>
      <c r="Q398" s="16">
        <f t="shared" si="6"/>
        <v>2020</v>
      </c>
    </row>
    <row r="399" spans="13:17" ht="16" x14ac:dyDescent="0.2">
      <c r="M399" s="12">
        <v>6999</v>
      </c>
      <c r="N399" s="13" t="s">
        <v>37</v>
      </c>
      <c r="O399" s="16" t="str">
        <f>TEXT(VLOOKUP(M399, News!A:C, 3, FALSE), "M/D/YYYY")</f>
        <v>3/16/2022</v>
      </c>
      <c r="P399" s="18">
        <f>DATE(YEAR(O399),MONTH(Metrics!$B$5), DAY(Metrics!$B$5))</f>
        <v>44805</v>
      </c>
      <c r="Q399" s="16">
        <f t="shared" si="6"/>
        <v>2022</v>
      </c>
    </row>
    <row r="400" spans="13:17" ht="16" x14ac:dyDescent="0.2">
      <c r="M400" s="12">
        <v>7162</v>
      </c>
      <c r="N400" s="13" t="s">
        <v>37</v>
      </c>
      <c r="O400" s="16" t="str">
        <f>TEXT(VLOOKUP(M400, News!A:C, 3, FALSE), "M/D/YYYY")</f>
        <v>6/1/2022</v>
      </c>
      <c r="P400" s="18">
        <f>DATE(YEAR(O400),MONTH(Metrics!$B$5), DAY(Metrics!$B$5))</f>
        <v>44805</v>
      </c>
      <c r="Q400" s="16">
        <f t="shared" si="6"/>
        <v>2022</v>
      </c>
    </row>
    <row r="401" spans="13:17" ht="16" x14ac:dyDescent="0.2">
      <c r="M401" s="12">
        <v>7157</v>
      </c>
      <c r="N401" s="13" t="s">
        <v>37</v>
      </c>
      <c r="O401" s="16" t="str">
        <f>TEXT(VLOOKUP(M401, News!A:C, 3, FALSE), "M/D/YYYY")</f>
        <v>6/8/2022</v>
      </c>
      <c r="P401" s="18">
        <f>DATE(YEAR(O401),MONTH(Metrics!$B$5), DAY(Metrics!$B$5))</f>
        <v>44805</v>
      </c>
      <c r="Q401" s="16">
        <f t="shared" si="6"/>
        <v>2022</v>
      </c>
    </row>
    <row r="402" spans="13:17" ht="16" x14ac:dyDescent="0.2">
      <c r="M402" s="12">
        <v>7916</v>
      </c>
      <c r="N402" s="13" t="s">
        <v>37</v>
      </c>
      <c r="O402" s="16" t="str">
        <f>TEXT(VLOOKUP(M402, News!A:C, 3, FALSE), "M/D/YYYY")</f>
        <v>1/18/2023</v>
      </c>
      <c r="P402" s="18">
        <f>DATE(YEAR(O402),MONTH(Metrics!$B$5), DAY(Metrics!$B$5))</f>
        <v>45170</v>
      </c>
      <c r="Q402" s="16">
        <f t="shared" si="6"/>
        <v>2023</v>
      </c>
    </row>
    <row r="403" spans="13:17" ht="16" x14ac:dyDescent="0.2">
      <c r="M403" s="12">
        <v>769</v>
      </c>
      <c r="N403" s="13" t="s">
        <v>37</v>
      </c>
      <c r="O403" s="16" t="str">
        <f>TEXT(VLOOKUP(M403, News!A:C, 3, FALSE), "M/D/YYYY")</f>
        <v>3/21/2018</v>
      </c>
      <c r="P403" s="18">
        <f>DATE(YEAR(O403),MONTH(Metrics!$B$5), DAY(Metrics!$B$5))</f>
        <v>43344</v>
      </c>
      <c r="Q403" s="16">
        <f t="shared" si="6"/>
        <v>2018</v>
      </c>
    </row>
    <row r="404" spans="13:17" ht="16" x14ac:dyDescent="0.2">
      <c r="M404" s="12">
        <v>774</v>
      </c>
      <c r="N404" s="13" t="s">
        <v>37</v>
      </c>
      <c r="O404" s="16" t="str">
        <f>TEXT(VLOOKUP(M404, News!A:C, 3, FALSE), "M/D/YYYY")</f>
        <v>5/18/2016</v>
      </c>
      <c r="P404" s="18">
        <f>DATE(YEAR(O404),MONTH(Metrics!$B$5), DAY(Metrics!$B$5))</f>
        <v>42614</v>
      </c>
      <c r="Q404" s="16">
        <f t="shared" si="6"/>
        <v>2016</v>
      </c>
    </row>
    <row r="405" spans="13:17" ht="16" x14ac:dyDescent="0.2">
      <c r="M405" s="12">
        <v>776</v>
      </c>
      <c r="N405" s="13" t="s">
        <v>37</v>
      </c>
      <c r="O405" s="16" t="str">
        <f>TEXT(VLOOKUP(M405, News!A:C, 3, FALSE), "M/D/YYYY")</f>
        <v>5/23/2016</v>
      </c>
      <c r="P405" s="18">
        <f>DATE(YEAR(O405),MONTH(Metrics!$B$5), DAY(Metrics!$B$5))</f>
        <v>42614</v>
      </c>
      <c r="Q405" s="16">
        <f t="shared" si="6"/>
        <v>2016</v>
      </c>
    </row>
    <row r="406" spans="13:17" ht="16" x14ac:dyDescent="0.2">
      <c r="M406" s="12">
        <v>1317</v>
      </c>
      <c r="N406" s="13" t="s">
        <v>37</v>
      </c>
      <c r="O406" s="16" t="str">
        <f>TEXT(VLOOKUP(M406, News!A:C, 3, FALSE), "M/D/YYYY")</f>
        <v>9/15/2017</v>
      </c>
      <c r="P406" s="18">
        <f>DATE(YEAR(O406),MONTH(Metrics!$B$5), DAY(Metrics!$B$5))</f>
        <v>42979</v>
      </c>
      <c r="Q406" s="16">
        <f t="shared" si="6"/>
        <v>2018</v>
      </c>
    </row>
    <row r="407" spans="13:17" ht="16" x14ac:dyDescent="0.2">
      <c r="M407" s="12">
        <v>1347</v>
      </c>
      <c r="N407" s="13" t="s">
        <v>37</v>
      </c>
      <c r="O407" s="16" t="str">
        <f>TEXT(VLOOKUP(M407, News!A:C, 3, FALSE), "M/D/YYYY")</f>
        <v>9/18/2017</v>
      </c>
      <c r="P407" s="18">
        <f>DATE(YEAR(O407),MONTH(Metrics!$B$5), DAY(Metrics!$B$5))</f>
        <v>42979</v>
      </c>
      <c r="Q407" s="16">
        <f t="shared" si="6"/>
        <v>2018</v>
      </c>
    </row>
    <row r="408" spans="13:17" ht="16" x14ac:dyDescent="0.2">
      <c r="M408" s="12">
        <v>1352</v>
      </c>
      <c r="N408" s="13" t="s">
        <v>37</v>
      </c>
      <c r="O408" s="16" t="str">
        <f>TEXT(VLOOKUP(M408, News!A:C, 3, FALSE), "M/D/YYYY")</f>
        <v>9/27/2017</v>
      </c>
      <c r="P408" s="18">
        <f>DATE(YEAR(O408),MONTH(Metrics!$B$5), DAY(Metrics!$B$5))</f>
        <v>42979</v>
      </c>
      <c r="Q408" s="16">
        <f t="shared" si="6"/>
        <v>2018</v>
      </c>
    </row>
    <row r="409" spans="13:17" ht="16" x14ac:dyDescent="0.2">
      <c r="M409" s="12">
        <v>1355</v>
      </c>
      <c r="N409" s="13" t="s">
        <v>37</v>
      </c>
      <c r="O409" s="16" t="str">
        <f>TEXT(VLOOKUP(M409, News!A:C, 3, FALSE), "M/D/YYYY")</f>
        <v>10/3/2017</v>
      </c>
      <c r="P409" s="18">
        <f>DATE(YEAR(O409),MONTH(Metrics!$B$5), DAY(Metrics!$B$5))</f>
        <v>42979</v>
      </c>
      <c r="Q409" s="16">
        <f t="shared" si="6"/>
        <v>2018</v>
      </c>
    </row>
    <row r="410" spans="13:17" ht="16" x14ac:dyDescent="0.2">
      <c r="M410" s="12">
        <v>1392</v>
      </c>
      <c r="N410" s="13" t="s">
        <v>37</v>
      </c>
      <c r="O410" s="16" t="str">
        <f>TEXT(VLOOKUP(M410, News!A:C, 3, FALSE), "M/D/YYYY")</f>
        <v>4/5/2018</v>
      </c>
      <c r="P410" s="18">
        <f>DATE(YEAR(O410),MONTH(Metrics!$B$5), DAY(Metrics!$B$5))</f>
        <v>43344</v>
      </c>
      <c r="Q410" s="16">
        <f t="shared" si="6"/>
        <v>2018</v>
      </c>
    </row>
    <row r="411" spans="13:17" ht="16" x14ac:dyDescent="0.2">
      <c r="M411" s="12">
        <v>1399</v>
      </c>
      <c r="N411" s="13" t="s">
        <v>37</v>
      </c>
      <c r="O411" s="16" t="str">
        <f>TEXT(VLOOKUP(M411, News!A:C, 3, FALSE), "M/D/YYYY")</f>
        <v>3/27/2018</v>
      </c>
      <c r="P411" s="18">
        <f>DATE(YEAR(O411),MONTH(Metrics!$B$5), DAY(Metrics!$B$5))</f>
        <v>43344</v>
      </c>
      <c r="Q411" s="16">
        <f t="shared" si="6"/>
        <v>2018</v>
      </c>
    </row>
    <row r="412" spans="13:17" ht="16" x14ac:dyDescent="0.2">
      <c r="M412" s="12">
        <v>1456</v>
      </c>
      <c r="N412" s="13" t="s">
        <v>37</v>
      </c>
      <c r="O412" s="16" t="str">
        <f>TEXT(VLOOKUP(M412, News!A:C, 3, FALSE), "M/D/YYYY")</f>
        <v>1/9/2018</v>
      </c>
      <c r="P412" s="18">
        <f>DATE(YEAR(O412),MONTH(Metrics!$B$5), DAY(Metrics!$B$5))</f>
        <v>43344</v>
      </c>
      <c r="Q412" s="16">
        <f t="shared" si="6"/>
        <v>2018</v>
      </c>
    </row>
    <row r="413" spans="13:17" ht="16" x14ac:dyDescent="0.2">
      <c r="M413" s="12">
        <v>1493</v>
      </c>
      <c r="N413" s="13" t="s">
        <v>37</v>
      </c>
      <c r="O413" s="16" t="str">
        <f>TEXT(VLOOKUP(M413, News!A:C, 3, FALSE), "M/D/YYYY")</f>
        <v>8/17/2018</v>
      </c>
      <c r="P413" s="18">
        <f>DATE(YEAR(O413),MONTH(Metrics!$B$5), DAY(Metrics!$B$5))</f>
        <v>43344</v>
      </c>
      <c r="Q413" s="16">
        <f t="shared" si="6"/>
        <v>2018</v>
      </c>
    </row>
    <row r="414" spans="13:17" ht="16" x14ac:dyDescent="0.2">
      <c r="M414" s="12">
        <v>1668</v>
      </c>
      <c r="N414" s="13" t="s">
        <v>37</v>
      </c>
      <c r="O414" s="16" t="str">
        <f>TEXT(VLOOKUP(M414, News!A:C, 3, FALSE), "M/D/YYYY")</f>
        <v>9/20/2018</v>
      </c>
      <c r="P414" s="18">
        <f>DATE(YEAR(O414),MONTH(Metrics!$B$5), DAY(Metrics!$B$5))</f>
        <v>43344</v>
      </c>
      <c r="Q414" s="16">
        <f t="shared" si="6"/>
        <v>2019</v>
      </c>
    </row>
    <row r="415" spans="13:17" ht="16" x14ac:dyDescent="0.2">
      <c r="M415" s="12">
        <v>1681</v>
      </c>
      <c r="N415" s="13" t="s">
        <v>37</v>
      </c>
      <c r="O415" s="16" t="str">
        <f>TEXT(VLOOKUP(M415, News!A:C, 3, FALSE), "M/D/YYYY")</f>
        <v>8/24/2018</v>
      </c>
      <c r="P415" s="18">
        <f>DATE(YEAR(O415),MONTH(Metrics!$B$5), DAY(Metrics!$B$5))</f>
        <v>43344</v>
      </c>
      <c r="Q415" s="16">
        <f t="shared" si="6"/>
        <v>2018</v>
      </c>
    </row>
    <row r="416" spans="13:17" ht="16" x14ac:dyDescent="0.2">
      <c r="M416" s="12">
        <v>1698</v>
      </c>
      <c r="N416" s="13" t="s">
        <v>37</v>
      </c>
      <c r="O416" s="16" t="str">
        <f>TEXT(VLOOKUP(M416, News!A:C, 3, FALSE), "M/D/YYYY")</f>
        <v>9/20/2018</v>
      </c>
      <c r="P416" s="18">
        <f>DATE(YEAR(O416),MONTH(Metrics!$B$5), DAY(Metrics!$B$5))</f>
        <v>43344</v>
      </c>
      <c r="Q416" s="16">
        <f t="shared" si="6"/>
        <v>2019</v>
      </c>
    </row>
    <row r="417" spans="13:17" ht="16" x14ac:dyDescent="0.2">
      <c r="M417" s="12">
        <v>1950</v>
      </c>
      <c r="N417" s="13" t="s">
        <v>37</v>
      </c>
      <c r="O417" s="16" t="str">
        <f>TEXT(VLOOKUP(M417, News!A:C, 3, FALSE), "M/D/YYYY")</f>
        <v>8/31/2017</v>
      </c>
      <c r="P417" s="18">
        <f>DATE(YEAR(O417),MONTH(Metrics!$B$5), DAY(Metrics!$B$5))</f>
        <v>42979</v>
      </c>
      <c r="Q417" s="16">
        <f t="shared" si="6"/>
        <v>2017</v>
      </c>
    </row>
    <row r="418" spans="13:17" ht="16" x14ac:dyDescent="0.2">
      <c r="M418" s="12">
        <v>2111</v>
      </c>
      <c r="N418" s="13" t="s">
        <v>37</v>
      </c>
      <c r="O418" s="16" t="str">
        <f>TEXT(VLOOKUP(M418, News!A:C, 3, FALSE), "M/D/YYYY")</f>
        <v>11/2/2018</v>
      </c>
      <c r="P418" s="18">
        <f>DATE(YEAR(O418),MONTH(Metrics!$B$5), DAY(Metrics!$B$5))</f>
        <v>43344</v>
      </c>
      <c r="Q418" s="16">
        <f t="shared" si="6"/>
        <v>2019</v>
      </c>
    </row>
    <row r="419" spans="13:17" ht="16" x14ac:dyDescent="0.2">
      <c r="M419" s="12">
        <v>2321</v>
      </c>
      <c r="N419" s="13" t="s">
        <v>37</v>
      </c>
      <c r="O419" s="16" t="str">
        <f>TEXT(VLOOKUP(M419, News!A:C, 3, FALSE), "M/D/YYYY")</f>
        <v>5/6/2017</v>
      </c>
      <c r="P419" s="18">
        <f>DATE(YEAR(O419),MONTH(Metrics!$B$5), DAY(Metrics!$B$5))</f>
        <v>42979</v>
      </c>
      <c r="Q419" s="16">
        <f t="shared" si="6"/>
        <v>2017</v>
      </c>
    </row>
    <row r="420" spans="13:17" ht="16" x14ac:dyDescent="0.2">
      <c r="M420" s="12">
        <v>2437</v>
      </c>
      <c r="N420" s="13" t="s">
        <v>37</v>
      </c>
      <c r="O420" s="16" t="str">
        <f>TEXT(VLOOKUP(M420, News!A:C, 3, FALSE), "M/D/YYYY")</f>
        <v>3/15/2017</v>
      </c>
      <c r="P420" s="18">
        <f>DATE(YEAR(O420),MONTH(Metrics!$B$5), DAY(Metrics!$B$5))</f>
        <v>42979</v>
      </c>
      <c r="Q420" s="16">
        <f t="shared" si="6"/>
        <v>2017</v>
      </c>
    </row>
    <row r="421" spans="13:17" ht="16" x14ac:dyDescent="0.2">
      <c r="M421" s="12">
        <v>2451</v>
      </c>
      <c r="N421" s="13" t="s">
        <v>37</v>
      </c>
      <c r="O421" s="16" t="str">
        <f>TEXT(VLOOKUP(M421, News!A:C, 3, FALSE), "M/D/YYYY")</f>
        <v>2/28/2017</v>
      </c>
      <c r="P421" s="18">
        <f>DATE(YEAR(O421),MONTH(Metrics!$B$5), DAY(Metrics!$B$5))</f>
        <v>42979</v>
      </c>
      <c r="Q421" s="16">
        <f t="shared" si="6"/>
        <v>2017</v>
      </c>
    </row>
    <row r="422" spans="13:17" ht="16" x14ac:dyDescent="0.2">
      <c r="M422" s="12">
        <v>2519</v>
      </c>
      <c r="N422" s="13" t="s">
        <v>37</v>
      </c>
      <c r="O422" s="16" t="str">
        <f>TEXT(VLOOKUP(M422, News!A:C, 3, FALSE), "M/D/YYYY")</f>
        <v>1/31/2017</v>
      </c>
      <c r="P422" s="18">
        <f>DATE(YEAR(O422),MONTH(Metrics!$B$5), DAY(Metrics!$B$5))</f>
        <v>42979</v>
      </c>
      <c r="Q422" s="16">
        <f t="shared" si="6"/>
        <v>2017</v>
      </c>
    </row>
    <row r="423" spans="13:17" ht="16" x14ac:dyDescent="0.2">
      <c r="M423" s="12">
        <v>2523</v>
      </c>
      <c r="N423" s="13" t="s">
        <v>37</v>
      </c>
      <c r="O423" s="16" t="str">
        <f>TEXT(VLOOKUP(M423, News!A:C, 3, FALSE), "M/D/YYYY")</f>
        <v>1/29/2017</v>
      </c>
      <c r="P423" s="18">
        <f>DATE(YEAR(O423),MONTH(Metrics!$B$5), DAY(Metrics!$B$5))</f>
        <v>42979</v>
      </c>
      <c r="Q423" s="16">
        <f t="shared" si="6"/>
        <v>2017</v>
      </c>
    </row>
    <row r="424" spans="13:17" ht="16" x14ac:dyDescent="0.2">
      <c r="M424" s="12">
        <v>2642</v>
      </c>
      <c r="N424" s="13" t="s">
        <v>37</v>
      </c>
      <c r="O424" s="16" t="str">
        <f>TEXT(VLOOKUP(M424, News!A:C, 3, FALSE), "M/D/YYYY")</f>
        <v>11/20/2018</v>
      </c>
      <c r="P424" s="18">
        <f>DATE(YEAR(O424),MONTH(Metrics!$B$5), DAY(Metrics!$B$5))</f>
        <v>43344</v>
      </c>
      <c r="Q424" s="16">
        <f t="shared" si="6"/>
        <v>2019</v>
      </c>
    </row>
    <row r="425" spans="13:17" ht="16" x14ac:dyDescent="0.2">
      <c r="M425" s="12">
        <v>2819</v>
      </c>
      <c r="N425" s="13" t="s">
        <v>37</v>
      </c>
      <c r="O425" s="16" t="str">
        <f>TEXT(VLOOKUP(M425, News!A:C, 3, FALSE), "M/D/YYYY")</f>
        <v>12/30/2016</v>
      </c>
      <c r="P425" s="18">
        <f>DATE(YEAR(O425),MONTH(Metrics!$B$5), DAY(Metrics!$B$5))</f>
        <v>42614</v>
      </c>
      <c r="Q425" s="16">
        <f t="shared" si="6"/>
        <v>2017</v>
      </c>
    </row>
    <row r="426" spans="13:17" ht="16" x14ac:dyDescent="0.2">
      <c r="M426" s="12">
        <v>3002</v>
      </c>
      <c r="N426" s="13" t="s">
        <v>37</v>
      </c>
      <c r="O426" s="16" t="str">
        <f>TEXT(VLOOKUP(M426, News!A:C, 3, FALSE), "M/D/YYYY")</f>
        <v>11/26/2016</v>
      </c>
      <c r="P426" s="18">
        <f>DATE(YEAR(O426),MONTH(Metrics!$B$5), DAY(Metrics!$B$5))</f>
        <v>42614</v>
      </c>
      <c r="Q426" s="16">
        <f t="shared" si="6"/>
        <v>2017</v>
      </c>
    </row>
    <row r="427" spans="13:17" ht="16" x14ac:dyDescent="0.2">
      <c r="M427" s="12">
        <v>3208</v>
      </c>
      <c r="N427" s="13" t="s">
        <v>37</v>
      </c>
      <c r="O427" s="16" t="str">
        <f>TEXT(VLOOKUP(M427, News!A:C, 3, FALSE), "M/D/YYYY")</f>
        <v>9/27/2016</v>
      </c>
      <c r="P427" s="18">
        <f>DATE(YEAR(O427),MONTH(Metrics!$B$5), DAY(Metrics!$B$5))</f>
        <v>42614</v>
      </c>
      <c r="Q427" s="16">
        <f t="shared" si="6"/>
        <v>2017</v>
      </c>
    </row>
    <row r="428" spans="13:17" ht="16" x14ac:dyDescent="0.2">
      <c r="M428" s="12">
        <v>3316</v>
      </c>
      <c r="N428" s="13" t="s">
        <v>37</v>
      </c>
      <c r="O428" s="16" t="str">
        <f>TEXT(VLOOKUP(M428, News!A:C, 3, FALSE), "M/D/YYYY")</f>
        <v>7/29/2016</v>
      </c>
      <c r="P428" s="18">
        <f>DATE(YEAR(O428),MONTH(Metrics!$B$5), DAY(Metrics!$B$5))</f>
        <v>42614</v>
      </c>
      <c r="Q428" s="16">
        <f t="shared" si="6"/>
        <v>2016</v>
      </c>
    </row>
    <row r="429" spans="13:17" ht="16" x14ac:dyDescent="0.2">
      <c r="M429" s="12">
        <v>3376</v>
      </c>
      <c r="N429" s="13" t="s">
        <v>37</v>
      </c>
      <c r="O429" s="16" t="str">
        <f>TEXT(VLOOKUP(M429, News!A:C, 3, FALSE), "M/D/YYYY")</f>
        <v>1/28/2019</v>
      </c>
      <c r="P429" s="18">
        <f>DATE(YEAR(O429),MONTH(Metrics!$B$5), DAY(Metrics!$B$5))</f>
        <v>43709</v>
      </c>
      <c r="Q429" s="16">
        <f t="shared" si="6"/>
        <v>2019</v>
      </c>
    </row>
    <row r="430" spans="13:17" ht="16" x14ac:dyDescent="0.2">
      <c r="M430" s="12">
        <v>3507</v>
      </c>
      <c r="N430" s="13" t="s">
        <v>37</v>
      </c>
      <c r="O430" s="16" t="str">
        <f>TEXT(VLOOKUP(M430, News!A:C, 3, FALSE), "M/D/YYYY")</f>
        <v>2/7/2019</v>
      </c>
      <c r="P430" s="18">
        <f>DATE(YEAR(O430),MONTH(Metrics!$B$5), DAY(Metrics!$B$5))</f>
        <v>43709</v>
      </c>
      <c r="Q430" s="16">
        <f t="shared" si="6"/>
        <v>2019</v>
      </c>
    </row>
    <row r="431" spans="13:17" ht="16" x14ac:dyDescent="0.2">
      <c r="M431" s="12">
        <v>3549</v>
      </c>
      <c r="N431" s="13" t="s">
        <v>37</v>
      </c>
      <c r="O431" s="16" t="str">
        <f>TEXT(VLOOKUP(M431, News!A:C, 3, FALSE), "M/D/YYYY")</f>
        <v>3/31/2016</v>
      </c>
      <c r="P431" s="18">
        <f>DATE(YEAR(O431),MONTH(Metrics!$B$5), DAY(Metrics!$B$5))</f>
        <v>42614</v>
      </c>
      <c r="Q431" s="16">
        <f t="shared" si="6"/>
        <v>2016</v>
      </c>
    </row>
    <row r="432" spans="13:17" ht="16" x14ac:dyDescent="0.2">
      <c r="M432" s="12">
        <v>3634</v>
      </c>
      <c r="N432" s="13" t="s">
        <v>37</v>
      </c>
      <c r="O432" s="16" t="str">
        <f>TEXT(VLOOKUP(M432, News!A:C, 3, FALSE), "M/D/YYYY")</f>
        <v>2/20/2019</v>
      </c>
      <c r="P432" s="18">
        <f>DATE(YEAR(O432),MONTH(Metrics!$B$5), DAY(Metrics!$B$5))</f>
        <v>43709</v>
      </c>
      <c r="Q432" s="16">
        <f t="shared" si="6"/>
        <v>2019</v>
      </c>
    </row>
    <row r="433" spans="13:17" ht="16" x14ac:dyDescent="0.2">
      <c r="M433" s="12">
        <v>3717</v>
      </c>
      <c r="N433" s="13" t="s">
        <v>37</v>
      </c>
      <c r="O433" s="16" t="str">
        <f>TEXT(VLOOKUP(M433, News!A:C, 3, FALSE), "M/D/YYYY")</f>
        <v>2/22/2019</v>
      </c>
      <c r="P433" s="18">
        <f>DATE(YEAR(O433),MONTH(Metrics!$B$5), DAY(Metrics!$B$5))</f>
        <v>43709</v>
      </c>
      <c r="Q433" s="16">
        <f t="shared" si="6"/>
        <v>2019</v>
      </c>
    </row>
    <row r="434" spans="13:17" ht="16" x14ac:dyDescent="0.2">
      <c r="M434" s="12">
        <v>3724</v>
      </c>
      <c r="N434" s="13" t="s">
        <v>37</v>
      </c>
      <c r="O434" s="16" t="str">
        <f>TEXT(VLOOKUP(M434, News!A:C, 3, FALSE), "M/D/YYYY")</f>
        <v>2/25/2019</v>
      </c>
      <c r="P434" s="18">
        <f>DATE(YEAR(O434),MONTH(Metrics!$B$5), DAY(Metrics!$B$5))</f>
        <v>43709</v>
      </c>
      <c r="Q434" s="16">
        <f t="shared" si="6"/>
        <v>2019</v>
      </c>
    </row>
    <row r="435" spans="13:17" ht="16" x14ac:dyDescent="0.2">
      <c r="M435" s="12">
        <v>3737</v>
      </c>
      <c r="N435" s="13" t="s">
        <v>37</v>
      </c>
      <c r="O435" s="16" t="str">
        <f>TEXT(VLOOKUP(M435, News!A:C, 3, FALSE), "M/D/YYYY")</f>
        <v>10/25/2015</v>
      </c>
      <c r="P435" s="18">
        <f>DATE(YEAR(O435),MONTH(Metrics!$B$5), DAY(Metrics!$B$5))</f>
        <v>42248</v>
      </c>
      <c r="Q435" s="16">
        <f t="shared" si="6"/>
        <v>2016</v>
      </c>
    </row>
    <row r="436" spans="13:17" ht="16" x14ac:dyDescent="0.2">
      <c r="M436" s="12">
        <v>3815</v>
      </c>
      <c r="N436" s="13" t="s">
        <v>37</v>
      </c>
      <c r="O436" s="16" t="str">
        <f>TEXT(VLOOKUP(M436, News!A:C, 3, FALSE), "M/D/YYYY")</f>
        <v>2/27/2019</v>
      </c>
      <c r="P436" s="18">
        <f>DATE(YEAR(O436),MONTH(Metrics!$B$5), DAY(Metrics!$B$5))</f>
        <v>43709</v>
      </c>
      <c r="Q436" s="16">
        <f t="shared" si="6"/>
        <v>2019</v>
      </c>
    </row>
    <row r="437" spans="13:17" ht="16" x14ac:dyDescent="0.2">
      <c r="M437" s="12">
        <v>3856</v>
      </c>
      <c r="N437" s="13" t="s">
        <v>37</v>
      </c>
      <c r="O437" s="16" t="str">
        <f>TEXT(VLOOKUP(M437, News!A:C, 3, FALSE), "M/D/YYYY")</f>
        <v>3/28/2019</v>
      </c>
      <c r="P437" s="18">
        <f>DATE(YEAR(O437),MONTH(Metrics!$B$5), DAY(Metrics!$B$5))</f>
        <v>43709</v>
      </c>
      <c r="Q437" s="16">
        <f t="shared" si="6"/>
        <v>2019</v>
      </c>
    </row>
    <row r="438" spans="13:17" ht="16" x14ac:dyDescent="0.2">
      <c r="M438" s="12">
        <v>3868</v>
      </c>
      <c r="N438" s="13" t="s">
        <v>37</v>
      </c>
      <c r="O438" s="16" t="str">
        <f>TEXT(VLOOKUP(M438, News!A:C, 3, FALSE), "M/D/YYYY")</f>
        <v>4/1/2019</v>
      </c>
      <c r="P438" s="18">
        <f>DATE(YEAR(O438),MONTH(Metrics!$B$5), DAY(Metrics!$B$5))</f>
        <v>43709</v>
      </c>
      <c r="Q438" s="16">
        <f t="shared" si="6"/>
        <v>2019</v>
      </c>
    </row>
    <row r="439" spans="13:17" ht="16" x14ac:dyDescent="0.2">
      <c r="M439" s="12">
        <v>3934</v>
      </c>
      <c r="N439" s="13" t="s">
        <v>37</v>
      </c>
      <c r="O439" s="16" t="str">
        <f>TEXT(VLOOKUP(M439, News!A:C, 3, FALSE), "M/D/YYYY")</f>
        <v>4/15/2019</v>
      </c>
      <c r="P439" s="18">
        <f>DATE(YEAR(O439),MONTH(Metrics!$B$5), DAY(Metrics!$B$5))</f>
        <v>43709</v>
      </c>
      <c r="Q439" s="16">
        <f t="shared" si="6"/>
        <v>2019</v>
      </c>
    </row>
    <row r="440" spans="13:17" ht="16" x14ac:dyDescent="0.2">
      <c r="M440" s="12">
        <v>4096</v>
      </c>
      <c r="N440" s="13" t="s">
        <v>37</v>
      </c>
      <c r="O440" s="16" t="str">
        <f>TEXT(VLOOKUP(M440, News!A:C, 3, FALSE), "M/D/YYYY")</f>
        <v>5/6/2019</v>
      </c>
      <c r="P440" s="18">
        <f>DATE(YEAR(O440),MONTH(Metrics!$B$5), DAY(Metrics!$B$5))</f>
        <v>43709</v>
      </c>
      <c r="Q440" s="16">
        <f t="shared" si="6"/>
        <v>2019</v>
      </c>
    </row>
    <row r="441" spans="13:17" ht="16" x14ac:dyDescent="0.2">
      <c r="M441" s="12">
        <v>4100</v>
      </c>
      <c r="N441" s="13" t="s">
        <v>37</v>
      </c>
      <c r="O441" s="16" t="str">
        <f>TEXT(VLOOKUP(M441, News!A:C, 3, FALSE), "M/D/YYYY")</f>
        <v>5/2/2019</v>
      </c>
      <c r="P441" s="18">
        <f>DATE(YEAR(O441),MONTH(Metrics!$B$5), DAY(Metrics!$B$5))</f>
        <v>43709</v>
      </c>
      <c r="Q441" s="16">
        <f t="shared" si="6"/>
        <v>2019</v>
      </c>
    </row>
    <row r="442" spans="13:17" ht="16" x14ac:dyDescent="0.2">
      <c r="M442" s="12">
        <v>4127</v>
      </c>
      <c r="N442" s="13" t="s">
        <v>37</v>
      </c>
      <c r="O442" s="16" t="str">
        <f>TEXT(VLOOKUP(M442, News!A:C, 3, FALSE), "M/D/YYYY")</f>
        <v>7/27/2014</v>
      </c>
      <c r="P442" s="18">
        <f>DATE(YEAR(O442),MONTH(Metrics!$B$5), DAY(Metrics!$B$5))</f>
        <v>41883</v>
      </c>
      <c r="Q442" s="16">
        <f t="shared" si="6"/>
        <v>2014</v>
      </c>
    </row>
    <row r="443" spans="13:17" ht="16" x14ac:dyDescent="0.2">
      <c r="M443" s="12">
        <v>4167</v>
      </c>
      <c r="N443" s="13" t="s">
        <v>37</v>
      </c>
      <c r="O443" s="16" t="str">
        <f>TEXT(VLOOKUP(M443, News!A:C, 3, FALSE), "M/D/YYYY")</f>
        <v>6/4/2019</v>
      </c>
      <c r="P443" s="18">
        <f>DATE(YEAR(O443),MONTH(Metrics!$B$5), DAY(Metrics!$B$5))</f>
        <v>43709</v>
      </c>
      <c r="Q443" s="16">
        <f t="shared" si="6"/>
        <v>2019</v>
      </c>
    </row>
    <row r="444" spans="13:17" ht="16" x14ac:dyDescent="0.2">
      <c r="M444" s="12">
        <v>4170</v>
      </c>
      <c r="N444" s="13" t="s">
        <v>37</v>
      </c>
      <c r="O444" s="16" t="str">
        <f>TEXT(VLOOKUP(M444, News!A:C, 3, FALSE), "M/D/YYYY")</f>
        <v>6/4/2019</v>
      </c>
      <c r="P444" s="18">
        <f>DATE(YEAR(O444),MONTH(Metrics!$B$5), DAY(Metrics!$B$5))</f>
        <v>43709</v>
      </c>
      <c r="Q444" s="16">
        <f t="shared" si="6"/>
        <v>2019</v>
      </c>
    </row>
    <row r="445" spans="13:17" ht="16" x14ac:dyDescent="0.2">
      <c r="M445" s="12">
        <v>4172</v>
      </c>
      <c r="N445" s="13" t="s">
        <v>37</v>
      </c>
      <c r="O445" s="16" t="str">
        <f>TEXT(VLOOKUP(M445, News!A:C, 3, FALSE), "M/D/YYYY")</f>
        <v>6/4/2019</v>
      </c>
      <c r="P445" s="18">
        <f>DATE(YEAR(O445),MONTH(Metrics!$B$5), DAY(Metrics!$B$5))</f>
        <v>43709</v>
      </c>
      <c r="Q445" s="16">
        <f t="shared" si="6"/>
        <v>2019</v>
      </c>
    </row>
    <row r="446" spans="13:17" ht="16" x14ac:dyDescent="0.2">
      <c r="M446" s="12">
        <v>4291</v>
      </c>
      <c r="N446" s="13" t="s">
        <v>37</v>
      </c>
      <c r="O446" s="16" t="str">
        <f>TEXT(VLOOKUP(M446, News!A:C, 3, FALSE), "M/D/YYYY")</f>
        <v>7/25/2019</v>
      </c>
      <c r="P446" s="18">
        <f>DATE(YEAR(O446),MONTH(Metrics!$B$5), DAY(Metrics!$B$5))</f>
        <v>43709</v>
      </c>
      <c r="Q446" s="16">
        <f t="shared" si="6"/>
        <v>2019</v>
      </c>
    </row>
    <row r="447" spans="13:17" ht="16" x14ac:dyDescent="0.2">
      <c r="M447" s="12">
        <v>4336</v>
      </c>
      <c r="N447" s="13" t="s">
        <v>37</v>
      </c>
      <c r="O447" s="16" t="str">
        <f>TEXT(VLOOKUP(M447, News!A:C, 3, FALSE), "M/D/YYYY")</f>
        <v>8/19/2019</v>
      </c>
      <c r="P447" s="18">
        <f>DATE(YEAR(O447),MONTH(Metrics!$B$5), DAY(Metrics!$B$5))</f>
        <v>43709</v>
      </c>
      <c r="Q447" s="16">
        <f t="shared" si="6"/>
        <v>2019</v>
      </c>
    </row>
    <row r="448" spans="13:17" ht="16" x14ac:dyDescent="0.2">
      <c r="M448" s="12">
        <v>4373</v>
      </c>
      <c r="N448" s="13" t="s">
        <v>37</v>
      </c>
      <c r="O448" s="16" t="str">
        <f>TEXT(VLOOKUP(M448, News!A:C, 3, FALSE), "M/D/YYYY")</f>
        <v>8/28/2019</v>
      </c>
      <c r="P448" s="18">
        <f>DATE(YEAR(O448),MONTH(Metrics!$B$5), DAY(Metrics!$B$5))</f>
        <v>43709</v>
      </c>
      <c r="Q448" s="16">
        <f t="shared" si="6"/>
        <v>2019</v>
      </c>
    </row>
    <row r="449" spans="13:17" ht="16" x14ac:dyDescent="0.2">
      <c r="M449" s="12">
        <v>4531</v>
      </c>
      <c r="N449" s="13" t="s">
        <v>37</v>
      </c>
      <c r="O449" s="16" t="str">
        <f>TEXT(VLOOKUP(M449, News!A:C, 3, FALSE), "M/D/YYYY")</f>
        <v>10/31/2019</v>
      </c>
      <c r="P449" s="18">
        <f>DATE(YEAR(O449),MONTH(Metrics!$B$5), DAY(Metrics!$B$5))</f>
        <v>43709</v>
      </c>
      <c r="Q449" s="16">
        <f t="shared" si="6"/>
        <v>2020</v>
      </c>
    </row>
    <row r="450" spans="13:17" ht="16" x14ac:dyDescent="0.2">
      <c r="M450" s="12">
        <v>4650</v>
      </c>
      <c r="N450" s="13" t="s">
        <v>37</v>
      </c>
      <c r="O450" s="16" t="str">
        <f>TEXT(VLOOKUP(M450, News!A:C, 3, FALSE), "M/D/YYYY")</f>
        <v>12/9/2019</v>
      </c>
      <c r="P450" s="18">
        <f>DATE(YEAR(O450),MONTH(Metrics!$B$5), DAY(Metrics!$B$5))</f>
        <v>43709</v>
      </c>
      <c r="Q450" s="16">
        <f t="shared" si="6"/>
        <v>2020</v>
      </c>
    </row>
    <row r="451" spans="13:17" ht="16" x14ac:dyDescent="0.2">
      <c r="M451" s="12">
        <v>4656</v>
      </c>
      <c r="N451" s="13" t="s">
        <v>37</v>
      </c>
      <c r="O451" s="16" t="str">
        <f>TEXT(VLOOKUP(M451, News!A:C, 3, FALSE), "M/D/YYYY")</f>
        <v>12/8/2019</v>
      </c>
      <c r="P451" s="18">
        <f>DATE(YEAR(O451),MONTH(Metrics!$B$5), DAY(Metrics!$B$5))</f>
        <v>43709</v>
      </c>
      <c r="Q451" s="16">
        <f t="shared" ref="Q451:Q514" si="7">IF(MONTH(O451) &gt;= MONTH(P451), YEAR(O451)+1, YEAR(O451))</f>
        <v>2020</v>
      </c>
    </row>
    <row r="452" spans="13:17" ht="16" x14ac:dyDescent="0.2">
      <c r="M452" s="12">
        <v>4713</v>
      </c>
      <c r="N452" s="13" t="s">
        <v>37</v>
      </c>
      <c r="O452" s="16" t="str">
        <f>TEXT(VLOOKUP(M452, News!A:C, 3, FALSE), "M/D/YYYY")</f>
        <v>1/13/2020</v>
      </c>
      <c r="P452" s="18">
        <f>DATE(YEAR(O452),MONTH(Metrics!$B$5), DAY(Metrics!$B$5))</f>
        <v>44075</v>
      </c>
      <c r="Q452" s="16">
        <f t="shared" si="7"/>
        <v>2020</v>
      </c>
    </row>
    <row r="453" spans="13:17" ht="16" x14ac:dyDescent="0.2">
      <c r="M453" s="12">
        <v>4833</v>
      </c>
      <c r="N453" s="13" t="s">
        <v>37</v>
      </c>
      <c r="O453" s="16" t="str">
        <f>TEXT(VLOOKUP(M453, News!A:C, 3, FALSE), "M/D/YYYY")</f>
        <v>2/25/2020</v>
      </c>
      <c r="P453" s="18">
        <f>DATE(YEAR(O453),MONTH(Metrics!$B$5), DAY(Metrics!$B$5))</f>
        <v>44075</v>
      </c>
      <c r="Q453" s="16">
        <f t="shared" si="7"/>
        <v>2020</v>
      </c>
    </row>
    <row r="454" spans="13:17" ht="16" x14ac:dyDescent="0.2">
      <c r="M454" s="12">
        <v>4881</v>
      </c>
      <c r="N454" s="13" t="s">
        <v>37</v>
      </c>
      <c r="O454" s="16" t="str">
        <f>TEXT(VLOOKUP(M454, News!A:C, 3, FALSE), "M/D/YYYY")</f>
        <v>4/9/2020</v>
      </c>
      <c r="P454" s="18">
        <f>DATE(YEAR(O454),MONTH(Metrics!$B$5), DAY(Metrics!$B$5))</f>
        <v>44075</v>
      </c>
      <c r="Q454" s="16">
        <f t="shared" si="7"/>
        <v>2020</v>
      </c>
    </row>
    <row r="455" spans="13:17" ht="16" x14ac:dyDescent="0.2">
      <c r="M455" s="12">
        <v>4889</v>
      </c>
      <c r="N455" s="13" t="s">
        <v>37</v>
      </c>
      <c r="O455" s="16" t="str">
        <f>TEXT(VLOOKUP(M455, News!A:C, 3, FALSE), "M/D/YYYY")</f>
        <v>4/13/2020</v>
      </c>
      <c r="P455" s="18">
        <f>DATE(YEAR(O455),MONTH(Metrics!$B$5), DAY(Metrics!$B$5))</f>
        <v>44075</v>
      </c>
      <c r="Q455" s="16">
        <f t="shared" si="7"/>
        <v>2020</v>
      </c>
    </row>
    <row r="456" spans="13:17" ht="16" x14ac:dyDescent="0.2">
      <c r="M456" s="12">
        <v>4899</v>
      </c>
      <c r="N456" s="13" t="s">
        <v>37</v>
      </c>
      <c r="O456" s="16" t="str">
        <f>TEXT(VLOOKUP(M456, News!A:C, 3, FALSE), "M/D/YYYY")</f>
        <v>4/20/2020</v>
      </c>
      <c r="P456" s="18">
        <f>DATE(YEAR(O456),MONTH(Metrics!$B$5), DAY(Metrics!$B$5))</f>
        <v>44075</v>
      </c>
      <c r="Q456" s="16">
        <f t="shared" si="7"/>
        <v>2020</v>
      </c>
    </row>
    <row r="457" spans="13:17" ht="16" x14ac:dyDescent="0.2">
      <c r="M457" s="12">
        <v>4915</v>
      </c>
      <c r="N457" s="13" t="s">
        <v>37</v>
      </c>
      <c r="O457" s="16" t="str">
        <f>TEXT(VLOOKUP(M457, News!A:C, 3, FALSE), "M/D/YYYY")</f>
        <v>5/9/2020</v>
      </c>
      <c r="P457" s="18">
        <f>DATE(YEAR(O457),MONTH(Metrics!$B$5), DAY(Metrics!$B$5))</f>
        <v>44075</v>
      </c>
      <c r="Q457" s="16">
        <f t="shared" si="7"/>
        <v>2020</v>
      </c>
    </row>
    <row r="458" spans="13:17" ht="16" x14ac:dyDescent="0.2">
      <c r="M458" s="12">
        <v>4921</v>
      </c>
      <c r="N458" s="13" t="s">
        <v>37</v>
      </c>
      <c r="O458" s="16" t="str">
        <f>TEXT(VLOOKUP(M458, News!A:C, 3, FALSE), "M/D/YYYY")</f>
        <v>5/19/2020</v>
      </c>
      <c r="P458" s="18">
        <f>DATE(YEAR(O458),MONTH(Metrics!$B$5), DAY(Metrics!$B$5))</f>
        <v>44075</v>
      </c>
      <c r="Q458" s="16">
        <f t="shared" si="7"/>
        <v>2020</v>
      </c>
    </row>
    <row r="459" spans="13:17" ht="16" x14ac:dyDescent="0.2">
      <c r="M459" s="12">
        <v>5578</v>
      </c>
      <c r="N459" s="13" t="s">
        <v>37</v>
      </c>
      <c r="O459" s="16" t="str">
        <f>TEXT(VLOOKUP(M459, News!A:C, 3, FALSE), "M/D/YYYY")</f>
        <v>11/12/2020</v>
      </c>
      <c r="P459" s="18">
        <f>DATE(YEAR(O459),MONTH(Metrics!$B$5), DAY(Metrics!$B$5))</f>
        <v>44075</v>
      </c>
      <c r="Q459" s="16">
        <f t="shared" si="7"/>
        <v>2021</v>
      </c>
    </row>
    <row r="460" spans="13:17" ht="16" x14ac:dyDescent="0.2">
      <c r="M460" s="12">
        <v>5678</v>
      </c>
      <c r="N460" s="13" t="s">
        <v>37</v>
      </c>
      <c r="O460" s="16" t="str">
        <f>TEXT(VLOOKUP(M460, News!A:C, 3, FALSE), "M/D/YYYY")</f>
        <v>12/14/2020</v>
      </c>
      <c r="P460" s="18">
        <f>DATE(YEAR(O460),MONTH(Metrics!$B$5), DAY(Metrics!$B$5))</f>
        <v>44075</v>
      </c>
      <c r="Q460" s="16">
        <f t="shared" si="7"/>
        <v>2021</v>
      </c>
    </row>
    <row r="461" spans="13:17" ht="16" x14ac:dyDescent="0.2">
      <c r="M461" s="12">
        <v>5726</v>
      </c>
      <c r="N461" s="13" t="s">
        <v>37</v>
      </c>
      <c r="O461" s="16" t="str">
        <f>TEXT(VLOOKUP(M461, News!A:C, 3, FALSE), "M/D/YYYY")</f>
        <v>12/21/2020</v>
      </c>
      <c r="P461" s="18">
        <f>DATE(YEAR(O461),MONTH(Metrics!$B$5), DAY(Metrics!$B$5))</f>
        <v>44075</v>
      </c>
      <c r="Q461" s="16">
        <f t="shared" si="7"/>
        <v>2021</v>
      </c>
    </row>
    <row r="462" spans="13:17" ht="16" x14ac:dyDescent="0.2">
      <c r="M462" s="12">
        <v>5795</v>
      </c>
      <c r="N462" s="13" t="s">
        <v>37</v>
      </c>
      <c r="O462" s="16" t="str">
        <f>TEXT(VLOOKUP(M462, News!A:C, 3, FALSE), "M/D/YYYY")</f>
        <v>1/28/2021</v>
      </c>
      <c r="P462" s="18">
        <f>DATE(YEAR(O462),MONTH(Metrics!$B$5), DAY(Metrics!$B$5))</f>
        <v>44440</v>
      </c>
      <c r="Q462" s="16">
        <f t="shared" si="7"/>
        <v>2021</v>
      </c>
    </row>
    <row r="463" spans="13:17" ht="16" x14ac:dyDescent="0.2">
      <c r="M463" s="12">
        <v>5842</v>
      </c>
      <c r="N463" s="13" t="s">
        <v>37</v>
      </c>
      <c r="O463" s="16" t="str">
        <f>TEXT(VLOOKUP(M463, News!A:C, 3, FALSE), "M/D/YYYY")</f>
        <v>2/18/2021</v>
      </c>
      <c r="P463" s="18">
        <f>DATE(YEAR(O463),MONTH(Metrics!$B$5), DAY(Metrics!$B$5))</f>
        <v>44440</v>
      </c>
      <c r="Q463" s="16">
        <f t="shared" si="7"/>
        <v>2021</v>
      </c>
    </row>
    <row r="464" spans="13:17" ht="16" x14ac:dyDescent="0.2">
      <c r="M464" s="12">
        <v>5864</v>
      </c>
      <c r="N464" s="13" t="s">
        <v>37</v>
      </c>
      <c r="O464" s="16" t="str">
        <f>TEXT(VLOOKUP(M464, News!A:C, 3, FALSE), "M/D/YYYY")</f>
        <v>3/12/2021</v>
      </c>
      <c r="P464" s="18">
        <f>DATE(YEAR(O464),MONTH(Metrics!$B$5), DAY(Metrics!$B$5))</f>
        <v>44440</v>
      </c>
      <c r="Q464" s="16">
        <f t="shared" si="7"/>
        <v>2021</v>
      </c>
    </row>
    <row r="465" spans="13:17" ht="16" x14ac:dyDescent="0.2">
      <c r="M465" s="12">
        <v>7243</v>
      </c>
      <c r="N465" s="13" t="s">
        <v>37</v>
      </c>
      <c r="O465" s="16" t="str">
        <f>TEXT(VLOOKUP(M465, News!A:C, 3, FALSE), "M/D/YYYY")</f>
        <v>7/8/2022</v>
      </c>
      <c r="P465" s="18">
        <f>DATE(YEAR(O465),MONTH(Metrics!$B$5), DAY(Metrics!$B$5))</f>
        <v>44805</v>
      </c>
      <c r="Q465" s="16">
        <f t="shared" si="7"/>
        <v>2022</v>
      </c>
    </row>
    <row r="466" spans="13:17" ht="16" x14ac:dyDescent="0.2">
      <c r="M466" s="12">
        <v>7711</v>
      </c>
      <c r="N466" s="13" t="s">
        <v>37</v>
      </c>
      <c r="O466" s="16" t="str">
        <f>TEXT(VLOOKUP(M466, News!A:C, 3, FALSE), "M/D/YYYY")</f>
        <v>11/8/2022</v>
      </c>
      <c r="P466" s="18">
        <f>DATE(YEAR(O466),MONTH(Metrics!$B$5), DAY(Metrics!$B$5))</f>
        <v>44805</v>
      </c>
      <c r="Q466" s="16">
        <f t="shared" si="7"/>
        <v>2023</v>
      </c>
    </row>
    <row r="467" spans="13:17" ht="16" x14ac:dyDescent="0.2">
      <c r="M467" s="12">
        <v>8015</v>
      </c>
      <c r="N467" s="13" t="s">
        <v>37</v>
      </c>
      <c r="O467" s="16" t="str">
        <f>TEXT(VLOOKUP(M467, News!A:C, 3, FALSE), "M/D/YYYY")</f>
        <v>2/3/2023</v>
      </c>
      <c r="P467" s="18">
        <f>DATE(YEAR(O467),MONTH(Metrics!$B$5), DAY(Metrics!$B$5))</f>
        <v>45170</v>
      </c>
      <c r="Q467" s="16">
        <f t="shared" si="7"/>
        <v>2023</v>
      </c>
    </row>
    <row r="468" spans="13:17" ht="16" x14ac:dyDescent="0.2">
      <c r="M468" s="12">
        <v>1361</v>
      </c>
      <c r="N468" s="13" t="s">
        <v>37</v>
      </c>
      <c r="O468" s="16" t="str">
        <f>TEXT(VLOOKUP(M468, News!A:C, 3, FALSE), "M/D/YYYY")</f>
        <v>10/16/2017</v>
      </c>
      <c r="P468" s="18">
        <f>DATE(YEAR(O468),MONTH(Metrics!$B$5), DAY(Metrics!$B$5))</f>
        <v>42979</v>
      </c>
      <c r="Q468" s="16">
        <f t="shared" si="7"/>
        <v>2018</v>
      </c>
    </row>
    <row r="469" spans="13:17" ht="16" x14ac:dyDescent="0.2">
      <c r="M469" s="12">
        <v>2007</v>
      </c>
      <c r="N469" s="13" t="s">
        <v>37</v>
      </c>
      <c r="O469" s="16" t="str">
        <f>TEXT(VLOOKUP(M469, News!A:C, 3, FALSE), "M/D/YYYY")</f>
        <v>8/22/2017</v>
      </c>
      <c r="P469" s="18">
        <f>DATE(YEAR(O469),MONTH(Metrics!$B$5), DAY(Metrics!$B$5))</f>
        <v>42979</v>
      </c>
      <c r="Q469" s="16">
        <f t="shared" si="7"/>
        <v>2017</v>
      </c>
    </row>
    <row r="470" spans="13:17" ht="16" x14ac:dyDescent="0.2">
      <c r="M470" s="12">
        <v>2311</v>
      </c>
      <c r="N470" s="13" t="s">
        <v>37</v>
      </c>
      <c r="O470" s="16" t="str">
        <f>TEXT(VLOOKUP(M470, News!A:C, 3, FALSE), "M/D/YYYY")</f>
        <v>5/16/2017</v>
      </c>
      <c r="P470" s="18">
        <f>DATE(YEAR(O470),MONTH(Metrics!$B$5), DAY(Metrics!$B$5))</f>
        <v>42979</v>
      </c>
      <c r="Q470" s="16">
        <f t="shared" si="7"/>
        <v>2017</v>
      </c>
    </row>
    <row r="471" spans="13:17" ht="16" x14ac:dyDescent="0.2">
      <c r="M471" s="12">
        <v>3334</v>
      </c>
      <c r="N471" s="13" t="s">
        <v>37</v>
      </c>
      <c r="O471" s="16" t="str">
        <f>TEXT(VLOOKUP(M471, News!A:C, 3, FALSE), "M/D/YYYY")</f>
        <v>6/30/2016</v>
      </c>
      <c r="P471" s="18">
        <f>DATE(YEAR(O471),MONTH(Metrics!$B$5), DAY(Metrics!$B$5))</f>
        <v>42614</v>
      </c>
      <c r="Q471" s="16">
        <f t="shared" si="7"/>
        <v>2016</v>
      </c>
    </row>
    <row r="472" spans="13:17" ht="16" x14ac:dyDescent="0.2">
      <c r="M472" s="12">
        <v>3336</v>
      </c>
      <c r="N472" s="13" t="s">
        <v>37</v>
      </c>
      <c r="O472" s="16" t="str">
        <f>TEXT(VLOOKUP(M472, News!A:C, 3, FALSE), "M/D/YYYY")</f>
        <v>6/29/2016</v>
      </c>
      <c r="P472" s="18">
        <f>DATE(YEAR(O472),MONTH(Metrics!$B$5), DAY(Metrics!$B$5))</f>
        <v>42614</v>
      </c>
      <c r="Q472" s="16">
        <f t="shared" si="7"/>
        <v>2016</v>
      </c>
    </row>
    <row r="473" spans="13:17" ht="16" x14ac:dyDescent="0.2">
      <c r="M473" s="12">
        <v>3562</v>
      </c>
      <c r="N473" s="13" t="s">
        <v>37</v>
      </c>
      <c r="O473" s="16" t="str">
        <f>TEXT(VLOOKUP(M473, News!A:C, 3, FALSE), "M/D/YYYY")</f>
        <v>2/15/2016</v>
      </c>
      <c r="P473" s="18">
        <f>DATE(YEAR(O473),MONTH(Metrics!$B$5), DAY(Metrics!$B$5))</f>
        <v>42614</v>
      </c>
      <c r="Q473" s="16">
        <f t="shared" si="7"/>
        <v>2016</v>
      </c>
    </row>
    <row r="474" spans="13:17" ht="16" x14ac:dyDescent="0.2">
      <c r="M474" s="12">
        <v>3739</v>
      </c>
      <c r="N474" s="13" t="s">
        <v>37</v>
      </c>
      <c r="O474" s="16" t="str">
        <f>TEXT(VLOOKUP(M474, News!A:C, 3, FALSE), "M/D/YYYY")</f>
        <v>10/20/2015</v>
      </c>
      <c r="P474" s="18">
        <f>DATE(YEAR(O474),MONTH(Metrics!$B$5), DAY(Metrics!$B$5))</f>
        <v>42248</v>
      </c>
      <c r="Q474" s="16">
        <f t="shared" si="7"/>
        <v>2016</v>
      </c>
    </row>
    <row r="475" spans="13:17" ht="16" x14ac:dyDescent="0.2">
      <c r="M475" s="12">
        <v>3791</v>
      </c>
      <c r="N475" s="13" t="s">
        <v>37</v>
      </c>
      <c r="O475" s="16" t="str">
        <f>TEXT(VLOOKUP(M475, News!A:C, 3, FALSE), "M/D/YYYY")</f>
        <v>7/30/2015</v>
      </c>
      <c r="P475" s="18">
        <f>DATE(YEAR(O475),MONTH(Metrics!$B$5), DAY(Metrics!$B$5))</f>
        <v>42248</v>
      </c>
      <c r="Q475" s="16">
        <f t="shared" si="7"/>
        <v>2015</v>
      </c>
    </row>
    <row r="476" spans="13:17" ht="16" x14ac:dyDescent="0.2">
      <c r="M476" s="12">
        <v>4008</v>
      </c>
      <c r="N476" s="13" t="s">
        <v>37</v>
      </c>
      <c r="O476" s="16" t="str">
        <f>TEXT(VLOOKUP(M476, News!A:C, 3, FALSE), "M/D/YYYY")</f>
        <v>2/17/2015</v>
      </c>
      <c r="P476" s="18">
        <f>DATE(YEAR(O476),MONTH(Metrics!$B$5), DAY(Metrics!$B$5))</f>
        <v>42248</v>
      </c>
      <c r="Q476" s="16">
        <f t="shared" si="7"/>
        <v>2015</v>
      </c>
    </row>
    <row r="477" spans="13:17" ht="16" x14ac:dyDescent="0.2">
      <c r="M477" s="12">
        <v>4058</v>
      </c>
      <c r="N477" s="13" t="s">
        <v>37</v>
      </c>
      <c r="O477" s="16" t="str">
        <f>TEXT(VLOOKUP(M477, News!A:C, 3, FALSE), "M/D/YYYY")</f>
        <v>10/27/2014</v>
      </c>
      <c r="P477" s="18">
        <f>DATE(YEAR(O477),MONTH(Metrics!$B$5), DAY(Metrics!$B$5))</f>
        <v>41883</v>
      </c>
      <c r="Q477" s="16">
        <f t="shared" si="7"/>
        <v>2015</v>
      </c>
    </row>
    <row r="478" spans="13:17" ht="16" x14ac:dyDescent="0.2">
      <c r="M478" s="12">
        <v>1357</v>
      </c>
      <c r="N478" s="13" t="s">
        <v>37</v>
      </c>
      <c r="O478" s="16" t="str">
        <f>TEXT(VLOOKUP(M478, News!A:C, 3, FALSE), "M/D/YYYY")</f>
        <v>5/2/2018</v>
      </c>
      <c r="P478" s="18">
        <f>DATE(YEAR(O478),MONTH(Metrics!$B$5), DAY(Metrics!$B$5))</f>
        <v>43344</v>
      </c>
      <c r="Q478" s="16">
        <f t="shared" si="7"/>
        <v>2018</v>
      </c>
    </row>
    <row r="479" spans="13:17" ht="16" x14ac:dyDescent="0.2">
      <c r="M479" s="12">
        <v>1436</v>
      </c>
      <c r="N479" s="13" t="s">
        <v>37</v>
      </c>
      <c r="O479" s="16" t="str">
        <f>TEXT(VLOOKUP(M479, News!A:C, 3, FALSE), "M/D/YYYY")</f>
        <v>2/12/2018</v>
      </c>
      <c r="P479" s="18">
        <f>DATE(YEAR(O479),MONTH(Metrics!$B$5), DAY(Metrics!$B$5))</f>
        <v>43344</v>
      </c>
      <c r="Q479" s="16">
        <f t="shared" si="7"/>
        <v>2018</v>
      </c>
    </row>
    <row r="480" spans="13:17" ht="16" x14ac:dyDescent="0.2">
      <c r="M480" s="12">
        <v>1453</v>
      </c>
      <c r="N480" s="13" t="s">
        <v>37</v>
      </c>
      <c r="O480" s="16" t="str">
        <f>TEXT(VLOOKUP(M480, News!A:C, 3, FALSE), "M/D/YYYY")</f>
        <v>1/9/2018</v>
      </c>
      <c r="P480" s="18">
        <f>DATE(YEAR(O480),MONTH(Metrics!$B$5), DAY(Metrics!$B$5))</f>
        <v>43344</v>
      </c>
      <c r="Q480" s="16">
        <f t="shared" si="7"/>
        <v>2018</v>
      </c>
    </row>
    <row r="481" spans="13:17" ht="16" x14ac:dyDescent="0.2">
      <c r="M481" s="12">
        <v>1465</v>
      </c>
      <c r="N481" s="13" t="s">
        <v>37</v>
      </c>
      <c r="O481" s="16" t="str">
        <f>TEXT(VLOOKUP(M481, News!A:C, 3, FALSE), "M/D/YYYY")</f>
        <v>12/1/2017</v>
      </c>
      <c r="P481" s="18">
        <f>DATE(YEAR(O481),MONTH(Metrics!$B$5), DAY(Metrics!$B$5))</f>
        <v>42979</v>
      </c>
      <c r="Q481" s="16">
        <f t="shared" si="7"/>
        <v>2018</v>
      </c>
    </row>
    <row r="482" spans="13:17" ht="16" x14ac:dyDescent="0.2">
      <c r="M482" s="12">
        <v>2084</v>
      </c>
      <c r="N482" s="13" t="s">
        <v>37</v>
      </c>
      <c r="O482" s="16" t="str">
        <f>TEXT(VLOOKUP(M482, News!A:C, 3, FALSE), "M/D/YYYY")</f>
        <v>7/31/2017</v>
      </c>
      <c r="P482" s="18">
        <f>DATE(YEAR(O482),MONTH(Metrics!$B$5), DAY(Metrics!$B$5))</f>
        <v>42979</v>
      </c>
      <c r="Q482" s="16">
        <f t="shared" si="7"/>
        <v>2017</v>
      </c>
    </row>
    <row r="483" spans="13:17" ht="16" x14ac:dyDescent="0.2">
      <c r="M483" s="12">
        <v>2087</v>
      </c>
      <c r="N483" s="13" t="s">
        <v>37</v>
      </c>
      <c r="O483" s="16" t="str">
        <f>TEXT(VLOOKUP(M483, News!A:C, 3, FALSE), "M/D/YYYY")</f>
        <v>7/31/2017</v>
      </c>
      <c r="P483" s="18">
        <f>DATE(YEAR(O483),MONTH(Metrics!$B$5), DAY(Metrics!$B$5))</f>
        <v>42979</v>
      </c>
      <c r="Q483" s="16">
        <f t="shared" si="7"/>
        <v>2017</v>
      </c>
    </row>
    <row r="484" spans="13:17" ht="16" x14ac:dyDescent="0.2">
      <c r="M484" s="12">
        <v>2209</v>
      </c>
      <c r="N484" s="13" t="s">
        <v>37</v>
      </c>
      <c r="O484" s="16" t="str">
        <f>TEXT(VLOOKUP(M484, News!A:C, 3, FALSE), "M/D/YYYY")</f>
        <v>6/2/2017</v>
      </c>
      <c r="P484" s="18">
        <f>DATE(YEAR(O484),MONTH(Metrics!$B$5), DAY(Metrics!$B$5))</f>
        <v>42979</v>
      </c>
      <c r="Q484" s="16">
        <f t="shared" si="7"/>
        <v>2017</v>
      </c>
    </row>
    <row r="485" spans="13:17" ht="16" x14ac:dyDescent="0.2">
      <c r="M485" s="12">
        <v>2783</v>
      </c>
      <c r="N485" s="13" t="s">
        <v>37</v>
      </c>
      <c r="O485" s="16" t="str">
        <f>TEXT(VLOOKUP(M485, News!A:C, 3, FALSE), "M/D/YYYY")</f>
        <v>11/27/2018</v>
      </c>
      <c r="P485" s="18">
        <f>DATE(YEAR(O485),MONTH(Metrics!$B$5), DAY(Metrics!$B$5))</f>
        <v>43344</v>
      </c>
      <c r="Q485" s="16">
        <f t="shared" si="7"/>
        <v>2019</v>
      </c>
    </row>
    <row r="486" spans="13:17" ht="16" x14ac:dyDescent="0.2">
      <c r="M486" s="12">
        <v>2977</v>
      </c>
      <c r="N486" s="13" t="s">
        <v>37</v>
      </c>
      <c r="O486" s="16" t="str">
        <f>TEXT(VLOOKUP(M486, News!A:C, 3, FALSE), "M/D/YYYY")</f>
        <v>12/3/2018</v>
      </c>
      <c r="P486" s="18">
        <f>DATE(YEAR(O486),MONTH(Metrics!$B$5), DAY(Metrics!$B$5))</f>
        <v>43344</v>
      </c>
      <c r="Q486" s="16">
        <f t="shared" si="7"/>
        <v>2019</v>
      </c>
    </row>
    <row r="487" spans="13:17" ht="16" x14ac:dyDescent="0.2">
      <c r="M487" s="12">
        <v>3274</v>
      </c>
      <c r="N487" s="13" t="s">
        <v>37</v>
      </c>
      <c r="O487" s="16" t="str">
        <f>TEXT(VLOOKUP(M487, News!A:C, 3, FALSE), "M/D/YYYY")</f>
        <v>1/10/2019</v>
      </c>
      <c r="P487" s="18">
        <f>DATE(YEAR(O487),MONTH(Metrics!$B$5), DAY(Metrics!$B$5))</f>
        <v>43709</v>
      </c>
      <c r="Q487" s="16">
        <f t="shared" si="7"/>
        <v>2019</v>
      </c>
    </row>
    <row r="488" spans="13:17" ht="16" x14ac:dyDescent="0.2">
      <c r="M488" s="12">
        <v>3629</v>
      </c>
      <c r="N488" s="13" t="s">
        <v>37</v>
      </c>
      <c r="O488" s="16" t="str">
        <f>TEXT(VLOOKUP(M488, News!A:C, 3, FALSE), "M/D/YYYY")</f>
        <v>2/19/2019</v>
      </c>
      <c r="P488" s="18">
        <f>DATE(YEAR(O488),MONTH(Metrics!$B$5), DAY(Metrics!$B$5))</f>
        <v>43709</v>
      </c>
      <c r="Q488" s="16">
        <f t="shared" si="7"/>
        <v>2019</v>
      </c>
    </row>
    <row r="489" spans="13:17" ht="16" x14ac:dyDescent="0.2">
      <c r="M489" s="12">
        <v>3823</v>
      </c>
      <c r="N489" s="13" t="s">
        <v>37</v>
      </c>
      <c r="O489" s="16" t="str">
        <f>TEXT(VLOOKUP(M489, News!A:C, 3, FALSE), "M/D/YYYY")</f>
        <v>3/13/2019</v>
      </c>
      <c r="P489" s="18">
        <f>DATE(YEAR(O489),MONTH(Metrics!$B$5), DAY(Metrics!$B$5))</f>
        <v>43709</v>
      </c>
      <c r="Q489" s="16">
        <f t="shared" si="7"/>
        <v>2019</v>
      </c>
    </row>
    <row r="490" spans="13:17" ht="16" x14ac:dyDescent="0.2">
      <c r="M490" s="12">
        <v>4195</v>
      </c>
      <c r="N490" s="13" t="s">
        <v>37</v>
      </c>
      <c r="O490" s="16" t="str">
        <f>TEXT(VLOOKUP(M490, News!A:C, 3, FALSE), "M/D/YYYY")</f>
        <v>6/6/2019</v>
      </c>
      <c r="P490" s="18">
        <f>DATE(YEAR(O490),MONTH(Metrics!$B$5), DAY(Metrics!$B$5))</f>
        <v>43709</v>
      </c>
      <c r="Q490" s="16">
        <f t="shared" si="7"/>
        <v>2019</v>
      </c>
    </row>
    <row r="491" spans="13:17" ht="16" x14ac:dyDescent="0.2">
      <c r="M491" s="12">
        <v>4411</v>
      </c>
      <c r="N491" s="13" t="s">
        <v>37</v>
      </c>
      <c r="O491" s="16" t="str">
        <f>TEXT(VLOOKUP(M491, News!A:C, 3, FALSE), "M/D/YYYY")</f>
        <v>9/12/2019</v>
      </c>
      <c r="P491" s="18">
        <f>DATE(YEAR(O491),MONTH(Metrics!$B$5), DAY(Metrics!$B$5))</f>
        <v>43709</v>
      </c>
      <c r="Q491" s="16">
        <f t="shared" si="7"/>
        <v>2020</v>
      </c>
    </row>
    <row r="492" spans="13:17" ht="16" x14ac:dyDescent="0.2">
      <c r="M492" s="12">
        <v>4574</v>
      </c>
      <c r="N492" s="13" t="s">
        <v>37</v>
      </c>
      <c r="O492" s="16" t="str">
        <f>TEXT(VLOOKUP(M492, News!A:C, 3, FALSE), "M/D/YYYY")</f>
        <v>11/12/2019</v>
      </c>
      <c r="P492" s="18">
        <f>DATE(YEAR(O492),MONTH(Metrics!$B$5), DAY(Metrics!$B$5))</f>
        <v>43709</v>
      </c>
      <c r="Q492" s="16">
        <f t="shared" si="7"/>
        <v>2020</v>
      </c>
    </row>
    <row r="493" spans="13:17" ht="16" x14ac:dyDescent="0.2">
      <c r="M493" s="12">
        <v>6033</v>
      </c>
      <c r="N493" s="13" t="s">
        <v>37</v>
      </c>
      <c r="O493" s="16" t="str">
        <f>TEXT(VLOOKUP(M493, News!A:C, 3, FALSE), "M/D/YYYY")</f>
        <v>5/5/2021</v>
      </c>
      <c r="P493" s="18">
        <f>DATE(YEAR(O493),MONTH(Metrics!$B$5), DAY(Metrics!$B$5))</f>
        <v>44440</v>
      </c>
      <c r="Q493" s="16">
        <f t="shared" si="7"/>
        <v>2021</v>
      </c>
    </row>
    <row r="494" spans="13:17" ht="16" x14ac:dyDescent="0.2">
      <c r="M494" s="12">
        <v>6078</v>
      </c>
      <c r="N494" s="13" t="s">
        <v>37</v>
      </c>
      <c r="O494" s="16" t="str">
        <f>TEXT(VLOOKUP(M494, News!A:C, 3, FALSE), "M/D/YYYY")</f>
        <v>5/17/2021</v>
      </c>
      <c r="P494" s="18">
        <f>DATE(YEAR(O494),MONTH(Metrics!$B$5), DAY(Metrics!$B$5))</f>
        <v>44440</v>
      </c>
      <c r="Q494" s="16">
        <f t="shared" si="7"/>
        <v>2021</v>
      </c>
    </row>
    <row r="495" spans="13:17" ht="16" x14ac:dyDescent="0.2">
      <c r="M495" s="12">
        <v>6094</v>
      </c>
      <c r="N495" s="13" t="s">
        <v>37</v>
      </c>
      <c r="O495" s="16" t="str">
        <f>TEXT(VLOOKUP(M495, News!A:C, 3, FALSE), "M/D/YYYY")</f>
        <v>5/20/2021</v>
      </c>
      <c r="P495" s="18">
        <f>DATE(YEAR(O495),MONTH(Metrics!$B$5), DAY(Metrics!$B$5))</f>
        <v>44440</v>
      </c>
      <c r="Q495" s="16">
        <f t="shared" si="7"/>
        <v>2021</v>
      </c>
    </row>
    <row r="496" spans="13:17" ht="16" x14ac:dyDescent="0.2">
      <c r="M496" s="12">
        <v>6180</v>
      </c>
      <c r="N496" s="13" t="s">
        <v>37</v>
      </c>
      <c r="O496" s="16" t="str">
        <f>TEXT(VLOOKUP(M496, News!A:C, 3, FALSE), "M/D/YYYY")</f>
        <v>6/29/2021</v>
      </c>
      <c r="P496" s="18">
        <f>DATE(YEAR(O496),MONTH(Metrics!$B$5), DAY(Metrics!$B$5))</f>
        <v>44440</v>
      </c>
      <c r="Q496" s="16">
        <f t="shared" si="7"/>
        <v>2021</v>
      </c>
    </row>
    <row r="497" spans="13:17" ht="16" x14ac:dyDescent="0.2">
      <c r="M497" s="12">
        <v>6642</v>
      </c>
      <c r="N497" s="13" t="s">
        <v>37</v>
      </c>
      <c r="O497" s="16" t="str">
        <f>TEXT(VLOOKUP(M497, News!A:C, 3, FALSE), "M/D/YYYY")</f>
        <v>11/8/2021</v>
      </c>
      <c r="P497" s="18">
        <f>DATE(YEAR(O497),MONTH(Metrics!$B$5), DAY(Metrics!$B$5))</f>
        <v>44440</v>
      </c>
      <c r="Q497" s="16">
        <f t="shared" si="7"/>
        <v>2022</v>
      </c>
    </row>
    <row r="498" spans="13:17" ht="16" x14ac:dyDescent="0.2">
      <c r="M498" s="12">
        <v>7066</v>
      </c>
      <c r="N498" s="13" t="s">
        <v>37</v>
      </c>
      <c r="O498" s="16" t="str">
        <f>TEXT(VLOOKUP(M498, News!A:C, 3, FALSE), "M/D/YYYY")</f>
        <v>4/20/2022</v>
      </c>
      <c r="P498" s="18">
        <f>DATE(YEAR(O498),MONTH(Metrics!$B$5), DAY(Metrics!$B$5))</f>
        <v>44805</v>
      </c>
      <c r="Q498" s="16">
        <f t="shared" si="7"/>
        <v>2022</v>
      </c>
    </row>
    <row r="499" spans="13:17" ht="16" x14ac:dyDescent="0.2">
      <c r="M499" s="12">
        <v>7177</v>
      </c>
      <c r="N499" s="13" t="s">
        <v>37</v>
      </c>
      <c r="O499" s="16" t="str">
        <f>TEXT(VLOOKUP(M499, News!A:C, 3, FALSE), "M/D/YYYY")</f>
        <v>6/13/2022</v>
      </c>
      <c r="P499" s="18">
        <f>DATE(YEAR(O499),MONTH(Metrics!$B$5), DAY(Metrics!$B$5))</f>
        <v>44805</v>
      </c>
      <c r="Q499" s="16">
        <f t="shared" si="7"/>
        <v>2022</v>
      </c>
    </row>
    <row r="500" spans="13:17" ht="16" x14ac:dyDescent="0.2">
      <c r="M500" s="12">
        <v>7296</v>
      </c>
      <c r="N500" s="13" t="s">
        <v>37</v>
      </c>
      <c r="O500" s="16" t="str">
        <f>TEXT(VLOOKUP(M500, News!A:C, 3, FALSE), "M/D/YYYY")</f>
        <v>8/8/2022</v>
      </c>
      <c r="P500" s="18">
        <f>DATE(YEAR(O500),MONTH(Metrics!$B$5), DAY(Metrics!$B$5))</f>
        <v>44805</v>
      </c>
      <c r="Q500" s="16">
        <f t="shared" si="7"/>
        <v>2022</v>
      </c>
    </row>
    <row r="501" spans="13:17" ht="16" x14ac:dyDescent="0.2">
      <c r="M501" s="12">
        <v>7385</v>
      </c>
      <c r="N501" s="13" t="s">
        <v>37</v>
      </c>
      <c r="O501" s="16" t="str">
        <f>TEXT(VLOOKUP(M501, News!A:C, 3, FALSE), "M/D/YYYY")</f>
        <v>9/1/2022</v>
      </c>
      <c r="P501" s="18">
        <f>DATE(YEAR(O501),MONTH(Metrics!$B$5), DAY(Metrics!$B$5))</f>
        <v>44805</v>
      </c>
      <c r="Q501" s="16">
        <f t="shared" si="7"/>
        <v>2023</v>
      </c>
    </row>
    <row r="502" spans="13:17" ht="16" x14ac:dyDescent="0.2">
      <c r="M502" s="12">
        <v>7643</v>
      </c>
      <c r="N502" s="13" t="s">
        <v>37</v>
      </c>
      <c r="O502" s="16" t="str">
        <f>TEXT(VLOOKUP(M502, News!A:C, 3, FALSE), "M/D/YYYY")</f>
        <v>10/18/2022</v>
      </c>
      <c r="P502" s="18">
        <f>DATE(YEAR(O502),MONTH(Metrics!$B$5), DAY(Metrics!$B$5))</f>
        <v>44805</v>
      </c>
      <c r="Q502" s="16">
        <f t="shared" si="7"/>
        <v>2023</v>
      </c>
    </row>
    <row r="503" spans="13:17" ht="16" x14ac:dyDescent="0.2">
      <c r="M503" s="12">
        <v>7735</v>
      </c>
      <c r="N503" s="13" t="s">
        <v>37</v>
      </c>
      <c r="O503" s="16" t="str">
        <f>TEXT(VLOOKUP(M503, News!A:C, 3, FALSE), "M/D/YYYY")</f>
        <v>11/21/2022</v>
      </c>
      <c r="P503" s="18">
        <f>DATE(YEAR(O503),MONTH(Metrics!$B$5), DAY(Metrics!$B$5))</f>
        <v>44805</v>
      </c>
      <c r="Q503" s="16">
        <f t="shared" si="7"/>
        <v>2023</v>
      </c>
    </row>
    <row r="504" spans="13:17" ht="16" x14ac:dyDescent="0.2">
      <c r="M504" s="12">
        <v>8061</v>
      </c>
      <c r="N504" s="13" t="s">
        <v>37</v>
      </c>
      <c r="O504" s="16" t="str">
        <f>TEXT(VLOOKUP(M504, News!A:C, 3, FALSE), "M/D/YYYY")</f>
        <v>2/16/2023</v>
      </c>
      <c r="P504" s="18">
        <f>DATE(YEAR(O504),MONTH(Metrics!$B$5), DAY(Metrics!$B$5))</f>
        <v>45170</v>
      </c>
      <c r="Q504" s="16">
        <f t="shared" si="7"/>
        <v>2023</v>
      </c>
    </row>
    <row r="505" spans="13:17" ht="16" x14ac:dyDescent="0.2">
      <c r="M505" s="12">
        <v>433</v>
      </c>
      <c r="N505" s="13" t="s">
        <v>22</v>
      </c>
      <c r="O505" s="16" t="str">
        <f>TEXT(VLOOKUP(M505, News!A:C, 3, FALSE), "M/D/YYYY")</f>
        <v>7/26/2018</v>
      </c>
      <c r="P505" s="18">
        <f>DATE(YEAR(O505),MONTH(Metrics!$B$5), DAY(Metrics!$B$5))</f>
        <v>43344</v>
      </c>
      <c r="Q505" s="16">
        <f t="shared" si="7"/>
        <v>2018</v>
      </c>
    </row>
    <row r="506" spans="13:17" ht="16" x14ac:dyDescent="0.2">
      <c r="M506" s="12">
        <v>1346</v>
      </c>
      <c r="N506" s="13" t="s">
        <v>22</v>
      </c>
      <c r="O506" s="16" t="str">
        <f>TEXT(VLOOKUP(M506, News!A:C, 3, FALSE), "M/D/YYYY")</f>
        <v>5/11/2018</v>
      </c>
      <c r="P506" s="18">
        <f>DATE(YEAR(O506),MONTH(Metrics!$B$5), DAY(Metrics!$B$5))</f>
        <v>43344</v>
      </c>
      <c r="Q506" s="16">
        <f t="shared" si="7"/>
        <v>2018</v>
      </c>
    </row>
    <row r="507" spans="13:17" ht="16" x14ac:dyDescent="0.2">
      <c r="M507" s="12">
        <v>1360</v>
      </c>
      <c r="N507" s="13" t="s">
        <v>22</v>
      </c>
      <c r="O507" s="16" t="str">
        <f>TEXT(VLOOKUP(M507, News!A:C, 3, FALSE), "M/D/YYYY")</f>
        <v>5/2/2018</v>
      </c>
      <c r="P507" s="18">
        <f>DATE(YEAR(O507),MONTH(Metrics!$B$5), DAY(Metrics!$B$5))</f>
        <v>43344</v>
      </c>
      <c r="Q507" s="16">
        <f t="shared" si="7"/>
        <v>2018</v>
      </c>
    </row>
    <row r="508" spans="13:17" ht="16" x14ac:dyDescent="0.2">
      <c r="M508" s="12">
        <v>1379</v>
      </c>
      <c r="N508" s="13" t="s">
        <v>22</v>
      </c>
      <c r="O508" s="16" t="str">
        <f>TEXT(VLOOKUP(M508, News!A:C, 3, FALSE), "M/D/YYYY")</f>
        <v>10/26/2017</v>
      </c>
      <c r="P508" s="18">
        <f>DATE(YEAR(O508),MONTH(Metrics!$B$5), DAY(Metrics!$B$5))</f>
        <v>42979</v>
      </c>
      <c r="Q508" s="16">
        <f t="shared" si="7"/>
        <v>2018</v>
      </c>
    </row>
    <row r="509" spans="13:17" ht="16" x14ac:dyDescent="0.2">
      <c r="M509" s="12">
        <v>1381</v>
      </c>
      <c r="N509" s="13" t="s">
        <v>22</v>
      </c>
      <c r="O509" s="16" t="str">
        <f>TEXT(VLOOKUP(M509, News!A:C, 3, FALSE), "M/D/YYYY")</f>
        <v>11/2/2017</v>
      </c>
      <c r="P509" s="18">
        <f>DATE(YEAR(O509),MONTH(Metrics!$B$5), DAY(Metrics!$B$5))</f>
        <v>42979</v>
      </c>
      <c r="Q509" s="16">
        <f t="shared" si="7"/>
        <v>2018</v>
      </c>
    </row>
    <row r="510" spans="13:17" ht="16" x14ac:dyDescent="0.2">
      <c r="M510" s="12">
        <v>1448</v>
      </c>
      <c r="N510" s="13" t="s">
        <v>22</v>
      </c>
      <c r="O510" s="16" t="str">
        <f>TEXT(VLOOKUP(M510, News!A:C, 3, FALSE), "M/D/YYYY")</f>
        <v>1/30/2018</v>
      </c>
      <c r="P510" s="18">
        <f>DATE(YEAR(O510),MONTH(Metrics!$B$5), DAY(Metrics!$B$5))</f>
        <v>43344</v>
      </c>
      <c r="Q510" s="16">
        <f t="shared" si="7"/>
        <v>2018</v>
      </c>
    </row>
    <row r="511" spans="13:17" ht="16" x14ac:dyDescent="0.2">
      <c r="M511" s="12">
        <v>1452</v>
      </c>
      <c r="N511" s="13" t="s">
        <v>22</v>
      </c>
      <c r="O511" s="16" t="str">
        <f>TEXT(VLOOKUP(M511, News!A:C, 3, FALSE), "M/D/YYYY")</f>
        <v>1/10/2018</v>
      </c>
      <c r="P511" s="18">
        <f>DATE(YEAR(O511),MONTH(Metrics!$B$5), DAY(Metrics!$B$5))</f>
        <v>43344</v>
      </c>
      <c r="Q511" s="16">
        <f t="shared" si="7"/>
        <v>2018</v>
      </c>
    </row>
    <row r="512" spans="13:17" ht="16" x14ac:dyDescent="0.2">
      <c r="M512" s="12">
        <v>1544</v>
      </c>
      <c r="N512" s="13" t="s">
        <v>22</v>
      </c>
      <c r="O512" s="16" t="str">
        <f>TEXT(VLOOKUP(M512, News!A:C, 3, FALSE), "M/D/YYYY")</f>
        <v>9/13/2018</v>
      </c>
      <c r="P512" s="18">
        <f>DATE(YEAR(O512),MONTH(Metrics!$B$5), DAY(Metrics!$B$5))</f>
        <v>43344</v>
      </c>
      <c r="Q512" s="16">
        <f t="shared" si="7"/>
        <v>2019</v>
      </c>
    </row>
    <row r="513" spans="13:17" ht="16" x14ac:dyDescent="0.2">
      <c r="M513" s="12">
        <v>2088</v>
      </c>
      <c r="N513" s="13" t="s">
        <v>22</v>
      </c>
      <c r="O513" s="16" t="str">
        <f>TEXT(VLOOKUP(M513, News!A:C, 3, FALSE), "M/D/YYYY")</f>
        <v>7/20/2017</v>
      </c>
      <c r="P513" s="18">
        <f>DATE(YEAR(O513),MONTH(Metrics!$B$5), DAY(Metrics!$B$5))</f>
        <v>42979</v>
      </c>
      <c r="Q513" s="16">
        <f t="shared" si="7"/>
        <v>2017</v>
      </c>
    </row>
    <row r="514" spans="13:17" ht="16" x14ac:dyDescent="0.2">
      <c r="M514" s="12">
        <v>2199</v>
      </c>
      <c r="N514" s="13" t="s">
        <v>22</v>
      </c>
      <c r="O514" s="16" t="str">
        <f>TEXT(VLOOKUP(M514, News!A:C, 3, FALSE), "M/D/YYYY")</f>
        <v>6/12/2017</v>
      </c>
      <c r="P514" s="18">
        <f>DATE(YEAR(O514),MONTH(Metrics!$B$5), DAY(Metrics!$B$5))</f>
        <v>42979</v>
      </c>
      <c r="Q514" s="16">
        <f t="shared" si="7"/>
        <v>2017</v>
      </c>
    </row>
    <row r="515" spans="13:17" ht="16" x14ac:dyDescent="0.2">
      <c r="M515" s="12">
        <v>2337</v>
      </c>
      <c r="N515" s="13" t="s">
        <v>22</v>
      </c>
      <c r="O515" s="16" t="str">
        <f>TEXT(VLOOKUP(M515, News!A:C, 3, FALSE), "M/D/YYYY")</f>
        <v>5/1/2017</v>
      </c>
      <c r="P515" s="18">
        <f>DATE(YEAR(O515),MONTH(Metrics!$B$5), DAY(Metrics!$B$5))</f>
        <v>42979</v>
      </c>
      <c r="Q515" s="16">
        <f t="shared" ref="Q515:Q578" si="8">IF(MONTH(O515) &gt;= MONTH(P515), YEAR(O515)+1, YEAR(O515))</f>
        <v>2017</v>
      </c>
    </row>
    <row r="516" spans="13:17" ht="16" x14ac:dyDescent="0.2">
      <c r="M516" s="12">
        <v>2340</v>
      </c>
      <c r="N516" s="13" t="s">
        <v>22</v>
      </c>
      <c r="O516" s="16" t="str">
        <f>TEXT(VLOOKUP(M516, News!A:C, 3, FALSE), "M/D/YYYY")</f>
        <v>4/29/2017</v>
      </c>
      <c r="P516" s="18">
        <f>DATE(YEAR(O516),MONTH(Metrics!$B$5), DAY(Metrics!$B$5))</f>
        <v>42979</v>
      </c>
      <c r="Q516" s="16">
        <f t="shared" si="8"/>
        <v>2017</v>
      </c>
    </row>
    <row r="517" spans="13:17" ht="16" x14ac:dyDescent="0.2">
      <c r="M517" s="12">
        <v>2768</v>
      </c>
      <c r="N517" s="13" t="s">
        <v>22</v>
      </c>
      <c r="O517" s="16" t="str">
        <f>TEXT(VLOOKUP(M517, News!A:C, 3, FALSE), "M/D/YYYY")</f>
        <v>12/31/2016</v>
      </c>
      <c r="P517" s="18">
        <f>DATE(YEAR(O517),MONTH(Metrics!$B$5), DAY(Metrics!$B$5))</f>
        <v>42614</v>
      </c>
      <c r="Q517" s="16">
        <f t="shared" si="8"/>
        <v>2017</v>
      </c>
    </row>
    <row r="518" spans="13:17" ht="16" x14ac:dyDescent="0.2">
      <c r="M518" s="12">
        <v>2828</v>
      </c>
      <c r="N518" s="13" t="s">
        <v>22</v>
      </c>
      <c r="O518" s="16" t="str">
        <f>TEXT(VLOOKUP(M518, News!A:C, 3, FALSE), "M/D/YYYY")</f>
        <v>12/28/2016</v>
      </c>
      <c r="P518" s="18">
        <f>DATE(YEAR(O518),MONTH(Metrics!$B$5), DAY(Metrics!$B$5))</f>
        <v>42614</v>
      </c>
      <c r="Q518" s="16">
        <f t="shared" si="8"/>
        <v>2017</v>
      </c>
    </row>
    <row r="519" spans="13:17" ht="16" x14ac:dyDescent="0.2">
      <c r="M519" s="12">
        <v>2995</v>
      </c>
      <c r="N519" s="13" t="s">
        <v>22</v>
      </c>
      <c r="O519" s="16" t="str">
        <f>TEXT(VLOOKUP(M519, News!A:C, 3, FALSE), "M/D/YYYY")</f>
        <v>11/30/2016</v>
      </c>
      <c r="P519" s="18">
        <f>DATE(YEAR(O519),MONTH(Metrics!$B$5), DAY(Metrics!$B$5))</f>
        <v>42614</v>
      </c>
      <c r="Q519" s="16">
        <f t="shared" si="8"/>
        <v>2017</v>
      </c>
    </row>
    <row r="520" spans="13:17" ht="16" x14ac:dyDescent="0.2">
      <c r="M520" s="12">
        <v>2999</v>
      </c>
      <c r="N520" s="13" t="s">
        <v>22</v>
      </c>
      <c r="O520" s="16" t="str">
        <f>TEXT(VLOOKUP(M520, News!A:C, 3, FALSE), "M/D/YYYY")</f>
        <v>11/28/2016</v>
      </c>
      <c r="P520" s="18">
        <f>DATE(YEAR(O520),MONTH(Metrics!$B$5), DAY(Metrics!$B$5))</f>
        <v>42614</v>
      </c>
      <c r="Q520" s="16">
        <f t="shared" si="8"/>
        <v>2017</v>
      </c>
    </row>
    <row r="521" spans="13:17" ht="16" x14ac:dyDescent="0.2">
      <c r="M521" s="12">
        <v>3225</v>
      </c>
      <c r="N521" s="13" t="s">
        <v>22</v>
      </c>
      <c r="O521" s="16" t="str">
        <f>TEXT(VLOOKUP(M521, News!A:C, 3, FALSE), "M/D/YYYY")</f>
        <v>12/13/2018</v>
      </c>
      <c r="P521" s="18">
        <f>DATE(YEAR(O521),MONTH(Metrics!$B$5), DAY(Metrics!$B$5))</f>
        <v>43344</v>
      </c>
      <c r="Q521" s="16">
        <f t="shared" si="8"/>
        <v>2019</v>
      </c>
    </row>
    <row r="522" spans="13:17" ht="16" x14ac:dyDescent="0.2">
      <c r="M522" s="12">
        <v>3314</v>
      </c>
      <c r="N522" s="13" t="s">
        <v>22</v>
      </c>
      <c r="O522" s="16" t="str">
        <f>TEXT(VLOOKUP(M522, News!A:C, 3, FALSE), "M/D/YYYY")</f>
        <v>7/30/2016</v>
      </c>
      <c r="P522" s="18">
        <f>DATE(YEAR(O522),MONTH(Metrics!$B$5), DAY(Metrics!$B$5))</f>
        <v>42614</v>
      </c>
      <c r="Q522" s="16">
        <f t="shared" si="8"/>
        <v>2016</v>
      </c>
    </row>
    <row r="523" spans="13:17" ht="16" x14ac:dyDescent="0.2">
      <c r="M523" s="12">
        <v>3642</v>
      </c>
      <c r="N523" s="13" t="s">
        <v>22</v>
      </c>
      <c r="O523" s="16" t="str">
        <f>TEXT(VLOOKUP(M523, News!A:C, 3, FALSE), "M/D/YYYY")</f>
        <v>11/22/2015</v>
      </c>
      <c r="P523" s="18">
        <f>DATE(YEAR(O523),MONTH(Metrics!$B$5), DAY(Metrics!$B$5))</f>
        <v>42248</v>
      </c>
      <c r="Q523" s="16">
        <f t="shared" si="8"/>
        <v>2016</v>
      </c>
    </row>
    <row r="524" spans="13:17" ht="16" x14ac:dyDescent="0.2">
      <c r="M524" s="12">
        <v>3644</v>
      </c>
      <c r="N524" s="13" t="s">
        <v>22</v>
      </c>
      <c r="O524" s="16" t="str">
        <f>TEXT(VLOOKUP(M524, News!A:C, 3, FALSE), "M/D/YYYY")</f>
        <v>11/19/2015</v>
      </c>
      <c r="P524" s="18">
        <f>DATE(YEAR(O524),MONTH(Metrics!$B$5), DAY(Metrics!$B$5))</f>
        <v>42248</v>
      </c>
      <c r="Q524" s="16">
        <f t="shared" si="8"/>
        <v>2016</v>
      </c>
    </row>
    <row r="525" spans="13:17" ht="16" x14ac:dyDescent="0.2">
      <c r="M525" s="12">
        <v>3871</v>
      </c>
      <c r="N525" s="13" t="s">
        <v>22</v>
      </c>
      <c r="O525" s="16" t="str">
        <f>TEXT(VLOOKUP(M525, News!A:C, 3, FALSE), "M/D/YYYY")</f>
        <v>4/2/2019</v>
      </c>
      <c r="P525" s="18">
        <f>DATE(YEAR(O525),MONTH(Metrics!$B$5), DAY(Metrics!$B$5))</f>
        <v>43709</v>
      </c>
      <c r="Q525" s="16">
        <f t="shared" si="8"/>
        <v>2019</v>
      </c>
    </row>
    <row r="526" spans="13:17" ht="16" x14ac:dyDescent="0.2">
      <c r="M526" s="12">
        <v>3978</v>
      </c>
      <c r="N526" s="13" t="s">
        <v>22</v>
      </c>
      <c r="O526" s="16" t="str">
        <f>TEXT(VLOOKUP(M526, News!A:C, 3, FALSE), "M/D/YYYY")</f>
        <v>2/28/2015</v>
      </c>
      <c r="P526" s="18">
        <f>DATE(YEAR(O526),MONTH(Metrics!$B$5), DAY(Metrics!$B$5))</f>
        <v>42248</v>
      </c>
      <c r="Q526" s="16">
        <f t="shared" si="8"/>
        <v>2015</v>
      </c>
    </row>
    <row r="527" spans="13:17" ht="16" x14ac:dyDescent="0.2">
      <c r="M527" s="12">
        <v>4225</v>
      </c>
      <c r="N527" s="13" t="s">
        <v>22</v>
      </c>
      <c r="O527" s="16" t="str">
        <f>TEXT(VLOOKUP(M527, News!A:C, 3, FALSE), "M/D/YYYY")</f>
        <v>6/19/2019</v>
      </c>
      <c r="P527" s="18">
        <f>DATE(YEAR(O527),MONTH(Metrics!$B$5), DAY(Metrics!$B$5))</f>
        <v>43709</v>
      </c>
      <c r="Q527" s="16">
        <f t="shared" si="8"/>
        <v>2019</v>
      </c>
    </row>
    <row r="528" spans="13:17" ht="16" x14ac:dyDescent="0.2">
      <c r="M528" s="12">
        <v>4234</v>
      </c>
      <c r="N528" s="13" t="s">
        <v>22</v>
      </c>
      <c r="O528" s="16" t="str">
        <f>TEXT(VLOOKUP(M528, News!A:C, 3, FALSE), "M/D/YYYY")</f>
        <v>6/20/2019</v>
      </c>
      <c r="P528" s="18">
        <f>DATE(YEAR(O528),MONTH(Metrics!$B$5), DAY(Metrics!$B$5))</f>
        <v>43709</v>
      </c>
      <c r="Q528" s="16">
        <f t="shared" si="8"/>
        <v>2019</v>
      </c>
    </row>
    <row r="529" spans="13:17" ht="16" x14ac:dyDescent="0.2">
      <c r="M529" s="12">
        <v>4283</v>
      </c>
      <c r="N529" s="13" t="s">
        <v>22</v>
      </c>
      <c r="O529" s="16" t="str">
        <f>TEXT(VLOOKUP(M529, News!A:C, 3, FALSE), "M/D/YYYY")</f>
        <v>7/17/2019</v>
      </c>
      <c r="P529" s="18">
        <f>DATE(YEAR(O529),MONTH(Metrics!$B$5), DAY(Metrics!$B$5))</f>
        <v>43709</v>
      </c>
      <c r="Q529" s="16">
        <f t="shared" si="8"/>
        <v>2019</v>
      </c>
    </row>
    <row r="530" spans="13:17" ht="16" x14ac:dyDescent="0.2">
      <c r="M530" s="12">
        <v>4387</v>
      </c>
      <c r="N530" s="13" t="s">
        <v>22</v>
      </c>
      <c r="O530" s="16" t="str">
        <f>TEXT(VLOOKUP(M530, News!A:C, 3, FALSE), "M/D/YYYY")</f>
        <v>9/9/2019</v>
      </c>
      <c r="P530" s="18">
        <f>DATE(YEAR(O530),MONTH(Metrics!$B$5), DAY(Metrics!$B$5))</f>
        <v>43709</v>
      </c>
      <c r="Q530" s="16">
        <f t="shared" si="8"/>
        <v>2020</v>
      </c>
    </row>
    <row r="531" spans="13:17" ht="16" x14ac:dyDescent="0.2">
      <c r="M531" s="12">
        <v>4534</v>
      </c>
      <c r="N531" s="13" t="s">
        <v>22</v>
      </c>
      <c r="O531" s="16" t="str">
        <f>TEXT(VLOOKUP(M531, News!A:C, 3, FALSE), "M/D/YYYY")</f>
        <v>11/1/2019</v>
      </c>
      <c r="P531" s="18">
        <f>DATE(YEAR(O531),MONTH(Metrics!$B$5), DAY(Metrics!$B$5))</f>
        <v>43709</v>
      </c>
      <c r="Q531" s="16">
        <f t="shared" si="8"/>
        <v>2020</v>
      </c>
    </row>
    <row r="532" spans="13:17" ht="16" x14ac:dyDescent="0.2">
      <c r="M532" s="12">
        <v>4636</v>
      </c>
      <c r="N532" s="13" t="s">
        <v>22</v>
      </c>
      <c r="O532" s="16" t="str">
        <f>TEXT(VLOOKUP(M532, News!A:C, 3, FALSE), "M/D/YYYY")</f>
        <v>11/26/2019</v>
      </c>
      <c r="P532" s="18">
        <f>DATE(YEAR(O532),MONTH(Metrics!$B$5), DAY(Metrics!$B$5))</f>
        <v>43709</v>
      </c>
      <c r="Q532" s="16">
        <f t="shared" si="8"/>
        <v>2020</v>
      </c>
    </row>
    <row r="533" spans="13:17" ht="16" x14ac:dyDescent="0.2">
      <c r="M533" s="12">
        <v>4658</v>
      </c>
      <c r="N533" s="13" t="s">
        <v>22</v>
      </c>
      <c r="O533" s="16" t="str">
        <f>TEXT(VLOOKUP(M533, News!A:C, 3, FALSE), "M/D/YYYY")</f>
        <v>12/2/2019</v>
      </c>
      <c r="P533" s="18">
        <f>DATE(YEAR(O533),MONTH(Metrics!$B$5), DAY(Metrics!$B$5))</f>
        <v>43709</v>
      </c>
      <c r="Q533" s="16">
        <f t="shared" si="8"/>
        <v>2020</v>
      </c>
    </row>
    <row r="534" spans="13:17" ht="16" x14ac:dyDescent="0.2">
      <c r="M534" s="12">
        <v>4662</v>
      </c>
      <c r="N534" s="13" t="s">
        <v>22</v>
      </c>
      <c r="O534" s="16" t="str">
        <f>TEXT(VLOOKUP(M534, News!A:C, 3, FALSE), "M/D/YYYY")</f>
        <v>11/1/2019</v>
      </c>
      <c r="P534" s="18">
        <f>DATE(YEAR(O534),MONTH(Metrics!$B$5), DAY(Metrics!$B$5))</f>
        <v>43709</v>
      </c>
      <c r="Q534" s="16">
        <f t="shared" si="8"/>
        <v>2020</v>
      </c>
    </row>
    <row r="535" spans="13:17" ht="16" x14ac:dyDescent="0.2">
      <c r="M535" s="12">
        <v>4794</v>
      </c>
      <c r="N535" s="13" t="s">
        <v>22</v>
      </c>
      <c r="O535" s="16" t="str">
        <f>TEXT(VLOOKUP(M535, News!A:C, 3, FALSE), "M/D/YYYY")</f>
        <v>2/19/2020</v>
      </c>
      <c r="P535" s="18">
        <f>DATE(YEAR(O535),MONTH(Metrics!$B$5), DAY(Metrics!$B$5))</f>
        <v>44075</v>
      </c>
      <c r="Q535" s="16">
        <f t="shared" si="8"/>
        <v>2020</v>
      </c>
    </row>
    <row r="536" spans="13:17" ht="16" x14ac:dyDescent="0.2">
      <c r="M536" s="12">
        <v>4800</v>
      </c>
      <c r="N536" s="13" t="s">
        <v>22</v>
      </c>
      <c r="O536" s="16" t="str">
        <f>TEXT(VLOOKUP(M536, News!A:C, 3, FALSE), "M/D/YYYY")</f>
        <v>12/18/2019</v>
      </c>
      <c r="P536" s="18">
        <f>DATE(YEAR(O536),MONTH(Metrics!$B$5), DAY(Metrics!$B$5))</f>
        <v>43709</v>
      </c>
      <c r="Q536" s="16">
        <f t="shared" si="8"/>
        <v>2020</v>
      </c>
    </row>
    <row r="537" spans="13:17" ht="16" x14ac:dyDescent="0.2">
      <c r="M537" s="12">
        <v>4883</v>
      </c>
      <c r="N537" s="13" t="s">
        <v>22</v>
      </c>
      <c r="O537" s="16" t="str">
        <f>TEXT(VLOOKUP(M537, News!A:C, 3, FALSE), "M/D/YYYY")</f>
        <v>4/9/2020</v>
      </c>
      <c r="P537" s="18">
        <f>DATE(YEAR(O537),MONTH(Metrics!$B$5), DAY(Metrics!$B$5))</f>
        <v>44075</v>
      </c>
      <c r="Q537" s="16">
        <f t="shared" si="8"/>
        <v>2020</v>
      </c>
    </row>
    <row r="538" spans="13:17" ht="16" x14ac:dyDescent="0.2">
      <c r="M538" s="12">
        <v>4888</v>
      </c>
      <c r="N538" s="13" t="s">
        <v>22</v>
      </c>
      <c r="O538" s="16" t="str">
        <f>TEXT(VLOOKUP(M538, News!A:C, 3, FALSE), "M/D/YYYY")</f>
        <v>3/26/2020</v>
      </c>
      <c r="P538" s="18">
        <f>DATE(YEAR(O538),MONTH(Metrics!$B$5), DAY(Metrics!$B$5))</f>
        <v>44075</v>
      </c>
      <c r="Q538" s="16">
        <f t="shared" si="8"/>
        <v>2020</v>
      </c>
    </row>
    <row r="539" spans="13:17" ht="16" x14ac:dyDescent="0.2">
      <c r="M539" s="12">
        <v>4924</v>
      </c>
      <c r="N539" s="13" t="s">
        <v>22</v>
      </c>
      <c r="O539" s="16" t="str">
        <f>TEXT(VLOOKUP(M539, News!A:C, 3, FALSE), "M/D/YYYY")</f>
        <v>5/26/2020</v>
      </c>
      <c r="P539" s="18">
        <f>DATE(YEAR(O539),MONTH(Metrics!$B$5), DAY(Metrics!$B$5))</f>
        <v>44075</v>
      </c>
      <c r="Q539" s="16">
        <f t="shared" si="8"/>
        <v>2020</v>
      </c>
    </row>
    <row r="540" spans="13:17" ht="16" x14ac:dyDescent="0.2">
      <c r="M540" s="12">
        <v>4964</v>
      </c>
      <c r="N540" s="13" t="s">
        <v>22</v>
      </c>
      <c r="O540" s="16" t="str">
        <f>TEXT(VLOOKUP(M540, News!A:C, 3, FALSE), "M/D/YYYY")</f>
        <v>6/23/2020</v>
      </c>
      <c r="P540" s="18">
        <f>DATE(YEAR(O540),MONTH(Metrics!$B$5), DAY(Metrics!$B$5))</f>
        <v>44075</v>
      </c>
      <c r="Q540" s="16">
        <f t="shared" si="8"/>
        <v>2020</v>
      </c>
    </row>
    <row r="541" spans="13:17" ht="16" x14ac:dyDescent="0.2">
      <c r="M541" s="12">
        <v>4998</v>
      </c>
      <c r="N541" s="13" t="s">
        <v>22</v>
      </c>
      <c r="O541" s="16" t="str">
        <f>TEXT(VLOOKUP(M541, News!A:C, 3, FALSE), "M/D/YYYY")</f>
        <v>7/14/2020</v>
      </c>
      <c r="P541" s="18">
        <f>DATE(YEAR(O541),MONTH(Metrics!$B$5), DAY(Metrics!$B$5))</f>
        <v>44075</v>
      </c>
      <c r="Q541" s="16">
        <f t="shared" si="8"/>
        <v>2020</v>
      </c>
    </row>
    <row r="542" spans="13:17" ht="16" x14ac:dyDescent="0.2">
      <c r="M542" s="12">
        <v>5003</v>
      </c>
      <c r="N542" s="13" t="s">
        <v>22</v>
      </c>
      <c r="O542" s="16" t="str">
        <f>TEXT(VLOOKUP(M542, News!A:C, 3, FALSE), "M/D/YYYY")</f>
        <v>7/23/2020</v>
      </c>
      <c r="P542" s="18">
        <f>DATE(YEAR(O542),MONTH(Metrics!$B$5), DAY(Metrics!$B$5))</f>
        <v>44075</v>
      </c>
      <c r="Q542" s="16">
        <f t="shared" si="8"/>
        <v>2020</v>
      </c>
    </row>
    <row r="543" spans="13:17" ht="16" x14ac:dyDescent="0.2">
      <c r="M543" s="12">
        <v>5016</v>
      </c>
      <c r="N543" s="13" t="s">
        <v>22</v>
      </c>
      <c r="O543" s="16" t="str">
        <f>TEXT(VLOOKUP(M543, News!A:C, 3, FALSE), "M/D/YYYY")</f>
        <v>8/5/2020</v>
      </c>
      <c r="P543" s="18">
        <f>DATE(YEAR(O543),MONTH(Metrics!$B$5), DAY(Metrics!$B$5))</f>
        <v>44075</v>
      </c>
      <c r="Q543" s="16">
        <f t="shared" si="8"/>
        <v>2020</v>
      </c>
    </row>
    <row r="544" spans="13:17" ht="16" x14ac:dyDescent="0.2">
      <c r="M544" s="12">
        <v>5070</v>
      </c>
      <c r="N544" s="13" t="s">
        <v>22</v>
      </c>
      <c r="O544" s="16" t="str">
        <f>TEXT(VLOOKUP(M544, News!A:C, 3, FALSE), "M/D/YYYY")</f>
        <v>9/2/2020</v>
      </c>
      <c r="P544" s="18">
        <f>DATE(YEAR(O544),MONTH(Metrics!$B$5), DAY(Metrics!$B$5))</f>
        <v>44075</v>
      </c>
      <c r="Q544" s="16">
        <f t="shared" si="8"/>
        <v>2021</v>
      </c>
    </row>
    <row r="545" spans="13:17" ht="16" x14ac:dyDescent="0.2">
      <c r="M545" s="12">
        <v>5523</v>
      </c>
      <c r="N545" s="13" t="s">
        <v>22</v>
      </c>
      <c r="O545" s="16" t="str">
        <f>TEXT(VLOOKUP(M545, News!A:C, 3, FALSE), "M/D/YYYY")</f>
        <v>10/29/2020</v>
      </c>
      <c r="P545" s="18">
        <f>DATE(YEAR(O545),MONTH(Metrics!$B$5), DAY(Metrics!$B$5))</f>
        <v>44075</v>
      </c>
      <c r="Q545" s="16">
        <f t="shared" si="8"/>
        <v>2021</v>
      </c>
    </row>
    <row r="546" spans="13:17" ht="16" x14ac:dyDescent="0.2">
      <c r="M546" s="12">
        <v>5732</v>
      </c>
      <c r="N546" s="13" t="s">
        <v>22</v>
      </c>
      <c r="O546" s="16" t="str">
        <f>TEXT(VLOOKUP(M546, News!A:C, 3, FALSE), "M/D/YYYY")</f>
        <v>12/21/2020</v>
      </c>
      <c r="P546" s="18">
        <f>DATE(YEAR(O546),MONTH(Metrics!$B$5), DAY(Metrics!$B$5))</f>
        <v>44075</v>
      </c>
      <c r="Q546" s="16">
        <f t="shared" si="8"/>
        <v>2021</v>
      </c>
    </row>
    <row r="547" spans="13:17" ht="16" x14ac:dyDescent="0.2">
      <c r="M547" s="12">
        <v>5761</v>
      </c>
      <c r="N547" s="13" t="s">
        <v>22</v>
      </c>
      <c r="O547" s="16" t="str">
        <f>TEXT(VLOOKUP(M547, News!A:C, 3, FALSE), "M/D/YYYY")</f>
        <v>1/15/2021</v>
      </c>
      <c r="P547" s="18">
        <f>DATE(YEAR(O547),MONTH(Metrics!$B$5), DAY(Metrics!$B$5))</f>
        <v>44440</v>
      </c>
      <c r="Q547" s="16">
        <f t="shared" si="8"/>
        <v>2021</v>
      </c>
    </row>
    <row r="548" spans="13:17" ht="16" x14ac:dyDescent="0.2">
      <c r="M548" s="12">
        <v>5904</v>
      </c>
      <c r="N548" s="13" t="s">
        <v>22</v>
      </c>
      <c r="O548" s="16" t="str">
        <f>TEXT(VLOOKUP(M548, News!A:C, 3, FALSE), "M/D/YYYY")</f>
        <v>3/24/2021</v>
      </c>
      <c r="P548" s="18">
        <f>DATE(YEAR(O548),MONTH(Metrics!$B$5), DAY(Metrics!$B$5))</f>
        <v>44440</v>
      </c>
      <c r="Q548" s="16">
        <f t="shared" si="8"/>
        <v>2021</v>
      </c>
    </row>
    <row r="549" spans="13:17" ht="16" x14ac:dyDescent="0.2">
      <c r="M549" s="12">
        <v>5939</v>
      </c>
      <c r="N549" s="13" t="s">
        <v>22</v>
      </c>
      <c r="O549" s="16" t="str">
        <f>TEXT(VLOOKUP(M549, News!A:C, 3, FALSE), "M/D/YYYY")</f>
        <v>4/12/2021</v>
      </c>
      <c r="P549" s="18">
        <f>DATE(YEAR(O549),MONTH(Metrics!$B$5), DAY(Metrics!$B$5))</f>
        <v>44440</v>
      </c>
      <c r="Q549" s="16">
        <f t="shared" si="8"/>
        <v>2021</v>
      </c>
    </row>
    <row r="550" spans="13:17" ht="16" x14ac:dyDescent="0.2">
      <c r="M550" s="12">
        <v>5979</v>
      </c>
      <c r="N550" s="13" t="s">
        <v>22</v>
      </c>
      <c r="O550" s="16" t="str">
        <f>TEXT(VLOOKUP(M550, News!A:C, 3, FALSE), "M/D/YYYY")</f>
        <v>4/23/2021</v>
      </c>
      <c r="P550" s="18">
        <f>DATE(YEAR(O550),MONTH(Metrics!$B$5), DAY(Metrics!$B$5))</f>
        <v>44440</v>
      </c>
      <c r="Q550" s="16">
        <f t="shared" si="8"/>
        <v>2021</v>
      </c>
    </row>
    <row r="551" spans="13:17" ht="16" x14ac:dyDescent="0.2">
      <c r="M551" s="12">
        <v>6073</v>
      </c>
      <c r="N551" s="13" t="s">
        <v>22</v>
      </c>
      <c r="O551" s="16" t="str">
        <f>TEXT(VLOOKUP(M551, News!A:C, 3, FALSE), "M/D/YYYY")</f>
        <v>5/17/2021</v>
      </c>
      <c r="P551" s="18">
        <f>DATE(YEAR(O551),MONTH(Metrics!$B$5), DAY(Metrics!$B$5))</f>
        <v>44440</v>
      </c>
      <c r="Q551" s="16">
        <f t="shared" si="8"/>
        <v>2021</v>
      </c>
    </row>
    <row r="552" spans="13:17" ht="16" x14ac:dyDescent="0.2">
      <c r="M552" s="12">
        <v>6264</v>
      </c>
      <c r="N552" s="13" t="s">
        <v>22</v>
      </c>
      <c r="O552" s="16" t="str">
        <f>TEXT(VLOOKUP(M552, News!A:C, 3, FALSE), "M/D/YYYY")</f>
        <v>8/16/2021</v>
      </c>
      <c r="P552" s="18">
        <f>DATE(YEAR(O552),MONTH(Metrics!$B$5), DAY(Metrics!$B$5))</f>
        <v>44440</v>
      </c>
      <c r="Q552" s="16">
        <f t="shared" si="8"/>
        <v>2021</v>
      </c>
    </row>
    <row r="553" spans="13:17" ht="16" x14ac:dyDescent="0.2">
      <c r="M553" s="12">
        <v>6267</v>
      </c>
      <c r="N553" s="13" t="s">
        <v>22</v>
      </c>
      <c r="O553" s="16" t="str">
        <f>TEXT(VLOOKUP(M553, News!A:C, 3, FALSE), "M/D/YYYY")</f>
        <v>8/17/2021</v>
      </c>
      <c r="P553" s="18">
        <f>DATE(YEAR(O553),MONTH(Metrics!$B$5), DAY(Metrics!$B$5))</f>
        <v>44440</v>
      </c>
      <c r="Q553" s="16">
        <f t="shared" si="8"/>
        <v>2021</v>
      </c>
    </row>
    <row r="554" spans="13:17" ht="16" x14ac:dyDescent="0.2">
      <c r="M554" s="12">
        <v>6326</v>
      </c>
      <c r="N554" s="13" t="s">
        <v>22</v>
      </c>
      <c r="O554" s="16" t="str">
        <f>TEXT(VLOOKUP(M554, News!A:C, 3, FALSE), "M/D/YYYY")</f>
        <v>8/30/2021</v>
      </c>
      <c r="P554" s="18">
        <f>DATE(YEAR(O554),MONTH(Metrics!$B$5), DAY(Metrics!$B$5))</f>
        <v>44440</v>
      </c>
      <c r="Q554" s="16">
        <f t="shared" si="8"/>
        <v>2021</v>
      </c>
    </row>
    <row r="555" spans="13:17" ht="16" x14ac:dyDescent="0.2">
      <c r="M555" s="12">
        <v>6553</v>
      </c>
      <c r="N555" s="13" t="s">
        <v>22</v>
      </c>
      <c r="O555" s="16" t="str">
        <f>TEXT(VLOOKUP(M555, News!A:C, 3, FALSE), "M/D/YYYY")</f>
        <v>10/14/2021</v>
      </c>
      <c r="P555" s="18">
        <f>DATE(YEAR(O555),MONTH(Metrics!$B$5), DAY(Metrics!$B$5))</f>
        <v>44440</v>
      </c>
      <c r="Q555" s="16">
        <f t="shared" si="8"/>
        <v>2022</v>
      </c>
    </row>
    <row r="556" spans="13:17" ht="16" x14ac:dyDescent="0.2">
      <c r="M556" s="12">
        <v>6747</v>
      </c>
      <c r="N556" s="13" t="s">
        <v>22</v>
      </c>
      <c r="O556" s="16" t="str">
        <f>TEXT(VLOOKUP(M556, News!A:C, 3, FALSE), "M/D/YYYY")</f>
        <v>12/17/2021</v>
      </c>
      <c r="P556" s="18">
        <f>DATE(YEAR(O556),MONTH(Metrics!$B$5), DAY(Metrics!$B$5))</f>
        <v>44440</v>
      </c>
      <c r="Q556" s="16">
        <f t="shared" si="8"/>
        <v>2022</v>
      </c>
    </row>
    <row r="557" spans="13:17" ht="16" x14ac:dyDescent="0.2">
      <c r="M557" s="12">
        <v>6776</v>
      </c>
      <c r="N557" s="13" t="s">
        <v>22</v>
      </c>
      <c r="O557" s="16" t="str">
        <f>TEXT(VLOOKUP(M557, News!A:C, 3, FALSE), "M/D/YYYY")</f>
        <v>1/6/2022</v>
      </c>
      <c r="P557" s="18">
        <f>DATE(YEAR(O557),MONTH(Metrics!$B$5), DAY(Metrics!$B$5))</f>
        <v>44805</v>
      </c>
      <c r="Q557" s="16">
        <f t="shared" si="8"/>
        <v>2022</v>
      </c>
    </row>
    <row r="558" spans="13:17" ht="16" x14ac:dyDescent="0.2">
      <c r="M558" s="12">
        <v>6828</v>
      </c>
      <c r="N558" s="13" t="s">
        <v>22</v>
      </c>
      <c r="O558" s="16" t="str">
        <f>TEXT(VLOOKUP(M558, News!A:C, 3, FALSE), "M/D/YYYY")</f>
        <v>1/26/2022</v>
      </c>
      <c r="P558" s="18">
        <f>DATE(YEAR(O558),MONTH(Metrics!$B$5), DAY(Metrics!$B$5))</f>
        <v>44805</v>
      </c>
      <c r="Q558" s="16">
        <f t="shared" si="8"/>
        <v>2022</v>
      </c>
    </row>
    <row r="559" spans="13:17" ht="16" x14ac:dyDescent="0.2">
      <c r="M559" s="12">
        <v>6871</v>
      </c>
      <c r="N559" s="13" t="s">
        <v>22</v>
      </c>
      <c r="O559" s="16" t="str">
        <f>TEXT(VLOOKUP(M559, News!A:C, 3, FALSE), "M/D/YYYY")</f>
        <v>2/9/2022</v>
      </c>
      <c r="P559" s="18">
        <f>DATE(YEAR(O559),MONTH(Metrics!$B$5), DAY(Metrics!$B$5))</f>
        <v>44805</v>
      </c>
      <c r="Q559" s="16">
        <f t="shared" si="8"/>
        <v>2022</v>
      </c>
    </row>
    <row r="560" spans="13:17" ht="16" x14ac:dyDescent="0.2">
      <c r="M560" s="12">
        <v>6885</v>
      </c>
      <c r="N560" s="13" t="s">
        <v>22</v>
      </c>
      <c r="O560" s="16" t="str">
        <f>TEXT(VLOOKUP(M560, News!A:C, 3, FALSE), "M/D/YYYY")</f>
        <v>2/15/2022</v>
      </c>
      <c r="P560" s="18">
        <f>DATE(YEAR(O560),MONTH(Metrics!$B$5), DAY(Metrics!$B$5))</f>
        <v>44805</v>
      </c>
      <c r="Q560" s="16">
        <f t="shared" si="8"/>
        <v>2022</v>
      </c>
    </row>
    <row r="561" spans="13:17" ht="16" x14ac:dyDescent="0.2">
      <c r="M561" s="12">
        <v>6944</v>
      </c>
      <c r="N561" s="13" t="s">
        <v>22</v>
      </c>
      <c r="O561" s="16" t="str">
        <f>TEXT(VLOOKUP(M561, News!A:C, 3, FALSE), "M/D/YYYY")</f>
        <v>2/28/2022</v>
      </c>
      <c r="P561" s="18">
        <f>DATE(YEAR(O561),MONTH(Metrics!$B$5), DAY(Metrics!$B$5))</f>
        <v>44805</v>
      </c>
      <c r="Q561" s="16">
        <f t="shared" si="8"/>
        <v>2022</v>
      </c>
    </row>
    <row r="562" spans="13:17" ht="16" x14ac:dyDescent="0.2">
      <c r="M562" s="12">
        <v>7223</v>
      </c>
      <c r="N562" s="13" t="s">
        <v>22</v>
      </c>
      <c r="O562" s="16" t="str">
        <f>TEXT(VLOOKUP(M562, News!A:C, 3, FALSE), "M/D/YYYY")</f>
        <v>6/29/2022</v>
      </c>
      <c r="P562" s="18">
        <f>DATE(YEAR(O562),MONTH(Metrics!$B$5), DAY(Metrics!$B$5))</f>
        <v>44805</v>
      </c>
      <c r="Q562" s="16">
        <f t="shared" si="8"/>
        <v>2022</v>
      </c>
    </row>
    <row r="563" spans="13:17" ht="16" x14ac:dyDescent="0.2">
      <c r="M563" s="12">
        <v>7265</v>
      </c>
      <c r="N563" s="13" t="s">
        <v>22</v>
      </c>
      <c r="O563" s="16" t="str">
        <f>TEXT(VLOOKUP(M563, News!A:C, 3, FALSE), "M/D/YYYY")</f>
        <v>7/12/2022</v>
      </c>
      <c r="P563" s="18">
        <f>DATE(YEAR(O563),MONTH(Metrics!$B$5), DAY(Metrics!$B$5))</f>
        <v>44805</v>
      </c>
      <c r="Q563" s="16">
        <f t="shared" si="8"/>
        <v>2022</v>
      </c>
    </row>
    <row r="564" spans="13:17" ht="16" x14ac:dyDescent="0.2">
      <c r="M564" s="12">
        <v>7285</v>
      </c>
      <c r="N564" s="13" t="s">
        <v>22</v>
      </c>
      <c r="O564" s="16" t="str">
        <f>TEXT(VLOOKUP(M564, News!A:C, 3, FALSE), "M/D/YYYY")</f>
        <v>8/3/2022</v>
      </c>
      <c r="P564" s="18">
        <f>DATE(YEAR(O564),MONTH(Metrics!$B$5), DAY(Metrics!$B$5))</f>
        <v>44805</v>
      </c>
      <c r="Q564" s="16">
        <f t="shared" si="8"/>
        <v>2022</v>
      </c>
    </row>
    <row r="565" spans="13:17" ht="16" x14ac:dyDescent="0.2">
      <c r="M565" s="12">
        <v>7325</v>
      </c>
      <c r="N565" s="13" t="s">
        <v>22</v>
      </c>
      <c r="O565" s="16" t="str">
        <f>TEXT(VLOOKUP(M565, News!A:C, 3, FALSE), "M/D/YYYY")</f>
        <v>8/11/2022</v>
      </c>
      <c r="P565" s="18">
        <f>DATE(YEAR(O565),MONTH(Metrics!$B$5), DAY(Metrics!$B$5))</f>
        <v>44805</v>
      </c>
      <c r="Q565" s="16">
        <f t="shared" si="8"/>
        <v>2022</v>
      </c>
    </row>
    <row r="566" spans="13:17" ht="16" x14ac:dyDescent="0.2">
      <c r="M566" s="12">
        <v>7359</v>
      </c>
      <c r="N566" s="13" t="s">
        <v>22</v>
      </c>
      <c r="O566" s="16" t="str">
        <f>TEXT(VLOOKUP(M566, News!A:C, 3, FALSE), "M/D/YYYY")</f>
        <v>8/29/2022</v>
      </c>
      <c r="P566" s="18">
        <f>DATE(YEAR(O566),MONTH(Metrics!$B$5), DAY(Metrics!$B$5))</f>
        <v>44805</v>
      </c>
      <c r="Q566" s="16">
        <f t="shared" si="8"/>
        <v>2022</v>
      </c>
    </row>
    <row r="567" spans="13:17" ht="16" x14ac:dyDescent="0.2">
      <c r="M567" s="12">
        <v>7449</v>
      </c>
      <c r="N567" s="13" t="s">
        <v>22</v>
      </c>
      <c r="O567" s="16" t="str">
        <f>TEXT(VLOOKUP(M567, News!A:C, 3, FALSE), "M/D/YYYY")</f>
        <v>8/29/2022</v>
      </c>
      <c r="P567" s="18">
        <f>DATE(YEAR(O567),MONTH(Metrics!$B$5), DAY(Metrics!$B$5))</f>
        <v>44805</v>
      </c>
      <c r="Q567" s="16">
        <f t="shared" si="8"/>
        <v>2022</v>
      </c>
    </row>
    <row r="568" spans="13:17" ht="16" x14ac:dyDescent="0.2">
      <c r="M568" s="12">
        <v>7744</v>
      </c>
      <c r="N568" s="13" t="s">
        <v>22</v>
      </c>
      <c r="O568" s="16" t="str">
        <f>TEXT(VLOOKUP(M568, News!A:C, 3, FALSE), "M/D/YYYY")</f>
        <v>11/28/2022</v>
      </c>
      <c r="P568" s="18">
        <f>DATE(YEAR(O568),MONTH(Metrics!$B$5), DAY(Metrics!$B$5))</f>
        <v>44805</v>
      </c>
      <c r="Q568" s="16">
        <f t="shared" si="8"/>
        <v>2023</v>
      </c>
    </row>
    <row r="569" spans="13:17" ht="16" x14ac:dyDescent="0.2">
      <c r="M569" s="12">
        <v>7768</v>
      </c>
      <c r="N569" s="13" t="s">
        <v>22</v>
      </c>
      <c r="O569" s="16" t="str">
        <f>TEXT(VLOOKUP(M569, News!A:C, 3, FALSE), "M/D/YYYY")</f>
        <v>12/7/2022</v>
      </c>
      <c r="P569" s="18">
        <f>DATE(YEAR(O569),MONTH(Metrics!$B$5), DAY(Metrics!$B$5))</f>
        <v>44805</v>
      </c>
      <c r="Q569" s="16">
        <f t="shared" si="8"/>
        <v>2023</v>
      </c>
    </row>
    <row r="570" spans="13:17" ht="16" x14ac:dyDescent="0.2">
      <c r="M570" s="12">
        <v>7918</v>
      </c>
      <c r="N570" s="13" t="s">
        <v>22</v>
      </c>
      <c r="O570" s="16" t="str">
        <f>TEXT(VLOOKUP(M570, News!A:C, 3, FALSE), "M/D/YYYY")</f>
        <v>1/17/2023</v>
      </c>
      <c r="P570" s="18">
        <f>DATE(YEAR(O570),MONTH(Metrics!$B$5), DAY(Metrics!$B$5))</f>
        <v>45170</v>
      </c>
      <c r="Q570" s="16">
        <f t="shared" si="8"/>
        <v>2023</v>
      </c>
    </row>
    <row r="571" spans="13:17" ht="16" x14ac:dyDescent="0.2">
      <c r="M571" s="12">
        <v>7996</v>
      </c>
      <c r="N571" s="13" t="s">
        <v>22</v>
      </c>
      <c r="O571" s="16" t="str">
        <f>TEXT(VLOOKUP(M571, News!A:C, 3, FALSE), "M/D/YYYY")</f>
        <v>1/31/2023</v>
      </c>
      <c r="P571" s="18">
        <f>DATE(YEAR(O571),MONTH(Metrics!$B$5), DAY(Metrics!$B$5))</f>
        <v>45170</v>
      </c>
      <c r="Q571" s="16">
        <f t="shared" si="8"/>
        <v>2023</v>
      </c>
    </row>
    <row r="572" spans="13:17" ht="16" x14ac:dyDescent="0.2">
      <c r="M572" s="12">
        <v>8131</v>
      </c>
      <c r="N572" s="13" t="s">
        <v>22</v>
      </c>
      <c r="O572" s="16" t="str">
        <f>TEXT(VLOOKUP(M572, News!A:C, 3, FALSE), "M/D/YYYY")</f>
        <v>3/8/2023</v>
      </c>
      <c r="P572" s="18">
        <f>DATE(YEAR(O572),MONTH(Metrics!$B$5), DAY(Metrics!$B$5))</f>
        <v>45170</v>
      </c>
      <c r="Q572" s="16">
        <f t="shared" si="8"/>
        <v>2023</v>
      </c>
    </row>
    <row r="573" spans="13:17" ht="16" x14ac:dyDescent="0.2">
      <c r="M573" s="12">
        <v>8247</v>
      </c>
      <c r="N573" s="13" t="s">
        <v>22</v>
      </c>
      <c r="O573" s="16" t="str">
        <f>TEXT(VLOOKUP(M573, News!A:C, 3, FALSE), "M/D/YYYY")</f>
        <v>4/25/2023</v>
      </c>
      <c r="P573" s="18">
        <f>DATE(YEAR(O573),MONTH(Metrics!$B$5), DAY(Metrics!$B$5))</f>
        <v>45170</v>
      </c>
      <c r="Q573" s="16">
        <f t="shared" si="8"/>
        <v>2023</v>
      </c>
    </row>
    <row r="574" spans="13:17" ht="16" x14ac:dyDescent="0.2">
      <c r="M574" s="12">
        <v>8250</v>
      </c>
      <c r="N574" s="13" t="s">
        <v>22</v>
      </c>
      <c r="O574" s="16" t="str">
        <f>TEXT(VLOOKUP(M574, News!A:C, 3, FALSE), "M/D/YYYY")</f>
        <v>4/25/2023</v>
      </c>
      <c r="P574" s="18">
        <f>DATE(YEAR(O574),MONTH(Metrics!$B$5), DAY(Metrics!$B$5))</f>
        <v>45170</v>
      </c>
      <c r="Q574" s="16">
        <f t="shared" si="8"/>
        <v>2023</v>
      </c>
    </row>
    <row r="575" spans="13:17" ht="16" x14ac:dyDescent="0.2">
      <c r="M575" s="12">
        <v>1372</v>
      </c>
      <c r="N575" s="13" t="s">
        <v>22</v>
      </c>
      <c r="O575" s="16" t="str">
        <f>TEXT(VLOOKUP(M575, News!A:C, 3, FALSE), "M/D/YYYY")</f>
        <v>10/5/2017</v>
      </c>
      <c r="P575" s="18">
        <f>DATE(YEAR(O575),MONTH(Metrics!$B$5), DAY(Metrics!$B$5))</f>
        <v>42979</v>
      </c>
      <c r="Q575" s="16">
        <f t="shared" si="8"/>
        <v>2018</v>
      </c>
    </row>
    <row r="576" spans="13:17" ht="16" x14ac:dyDescent="0.2">
      <c r="M576" s="12">
        <v>2338</v>
      </c>
      <c r="N576" s="13" t="s">
        <v>22</v>
      </c>
      <c r="O576" s="16" t="str">
        <f>TEXT(VLOOKUP(M576, News!A:C, 3, FALSE), "M/D/YYYY")</f>
        <v>4/30/2017</v>
      </c>
      <c r="P576" s="18">
        <f>DATE(YEAR(O576),MONTH(Metrics!$B$5), DAY(Metrics!$B$5))</f>
        <v>42979</v>
      </c>
      <c r="Q576" s="16">
        <f t="shared" si="8"/>
        <v>2017</v>
      </c>
    </row>
    <row r="577" spans="13:17" ht="16" x14ac:dyDescent="0.2">
      <c r="M577" s="12">
        <v>2989</v>
      </c>
      <c r="N577" s="13" t="s">
        <v>22</v>
      </c>
      <c r="O577" s="16" t="str">
        <f>TEXT(VLOOKUP(M577, News!A:C, 3, FALSE), "M/D/YYYY")</f>
        <v>12/1/2016</v>
      </c>
      <c r="P577" s="18">
        <f>DATE(YEAR(O577),MONTH(Metrics!$B$5), DAY(Metrics!$B$5))</f>
        <v>42614</v>
      </c>
      <c r="Q577" s="16">
        <f t="shared" si="8"/>
        <v>2017</v>
      </c>
    </row>
    <row r="578" spans="13:17" ht="16" x14ac:dyDescent="0.2">
      <c r="M578" s="12">
        <v>3053</v>
      </c>
      <c r="N578" s="13" t="s">
        <v>22</v>
      </c>
      <c r="O578" s="16" t="str">
        <f>TEXT(VLOOKUP(M578, News!A:C, 3, FALSE), "M/D/YYYY")</f>
        <v>10/17/2016</v>
      </c>
      <c r="P578" s="18">
        <f>DATE(YEAR(O578),MONTH(Metrics!$B$5), DAY(Metrics!$B$5))</f>
        <v>42614</v>
      </c>
      <c r="Q578" s="16">
        <f t="shared" si="8"/>
        <v>2017</v>
      </c>
    </row>
    <row r="579" spans="13:17" ht="16" x14ac:dyDescent="0.2">
      <c r="M579" s="12">
        <v>3250</v>
      </c>
      <c r="N579" s="13" t="s">
        <v>22</v>
      </c>
      <c r="O579" s="16" t="str">
        <f>TEXT(VLOOKUP(M579, News!A:C, 3, FALSE), "M/D/YYYY")</f>
        <v>9/1/2016</v>
      </c>
      <c r="P579" s="18">
        <f>DATE(YEAR(O579),MONTH(Metrics!$B$5), DAY(Metrics!$B$5))</f>
        <v>42614</v>
      </c>
      <c r="Q579" s="16">
        <f t="shared" ref="Q579:Q628" si="9">IF(MONTH(O579) &gt;= MONTH(P579), YEAR(O579)+1, YEAR(O579))</f>
        <v>2017</v>
      </c>
    </row>
    <row r="580" spans="13:17" ht="16" x14ac:dyDescent="0.2">
      <c r="M580" s="12">
        <v>3332</v>
      </c>
      <c r="N580" s="13" t="s">
        <v>22</v>
      </c>
      <c r="O580" s="16" t="str">
        <f>TEXT(VLOOKUP(M580, News!A:C, 3, FALSE), "M/D/YYYY")</f>
        <v>7/12/2016</v>
      </c>
      <c r="P580" s="18">
        <f>DATE(YEAR(O580),MONTH(Metrics!$B$5), DAY(Metrics!$B$5))</f>
        <v>42614</v>
      </c>
      <c r="Q580" s="16">
        <f t="shared" si="9"/>
        <v>2016</v>
      </c>
    </row>
    <row r="581" spans="13:17" ht="16" x14ac:dyDescent="0.2">
      <c r="M581" s="12">
        <v>3338</v>
      </c>
      <c r="N581" s="13" t="s">
        <v>22</v>
      </c>
      <c r="O581" s="16" t="str">
        <f>TEXT(VLOOKUP(M581, News!A:C, 3, FALSE), "M/D/YYYY")</f>
        <v>6/27/2016</v>
      </c>
      <c r="P581" s="18">
        <f>DATE(YEAR(O581),MONTH(Metrics!$B$5), DAY(Metrics!$B$5))</f>
        <v>42614</v>
      </c>
      <c r="Q581" s="16">
        <f t="shared" si="9"/>
        <v>2016</v>
      </c>
    </row>
    <row r="582" spans="13:17" ht="16" x14ac:dyDescent="0.2">
      <c r="M582" s="12">
        <v>3532</v>
      </c>
      <c r="N582" s="13" t="s">
        <v>22</v>
      </c>
      <c r="O582" s="16" t="str">
        <f>TEXT(VLOOKUP(M582, News!A:C, 3, FALSE), "M/D/YYYY")</f>
        <v>4/29/2016</v>
      </c>
      <c r="P582" s="18">
        <f>DATE(YEAR(O582),MONTH(Metrics!$B$5), DAY(Metrics!$B$5))</f>
        <v>42614</v>
      </c>
      <c r="Q582" s="16">
        <f t="shared" si="9"/>
        <v>2016</v>
      </c>
    </row>
    <row r="583" spans="13:17" ht="16" x14ac:dyDescent="0.2">
      <c r="M583" s="12">
        <v>3534</v>
      </c>
      <c r="N583" s="13" t="s">
        <v>22</v>
      </c>
      <c r="O583" s="16" t="str">
        <f>TEXT(VLOOKUP(M583, News!A:C, 3, FALSE), "M/D/YYYY")</f>
        <v>4/28/2016</v>
      </c>
      <c r="P583" s="18">
        <f>DATE(YEAR(O583),MONTH(Metrics!$B$5), DAY(Metrics!$B$5))</f>
        <v>42614</v>
      </c>
      <c r="Q583" s="16">
        <f t="shared" si="9"/>
        <v>2016</v>
      </c>
    </row>
    <row r="584" spans="13:17" ht="16" x14ac:dyDescent="0.2">
      <c r="M584" s="12">
        <v>3537</v>
      </c>
      <c r="N584" s="13" t="s">
        <v>22</v>
      </c>
      <c r="O584" s="16" t="str">
        <f>TEXT(VLOOKUP(M584, News!A:C, 3, FALSE), "M/D/YYYY")</f>
        <v>4/25/2016</v>
      </c>
      <c r="P584" s="18">
        <f>DATE(YEAR(O584),MONTH(Metrics!$B$5), DAY(Metrics!$B$5))</f>
        <v>42614</v>
      </c>
      <c r="Q584" s="16">
        <f t="shared" si="9"/>
        <v>2016</v>
      </c>
    </row>
    <row r="585" spans="13:17" ht="16" x14ac:dyDescent="0.2">
      <c r="M585" s="12">
        <v>3941</v>
      </c>
      <c r="N585" s="13" t="s">
        <v>22</v>
      </c>
      <c r="O585" s="16" t="str">
        <f>TEXT(VLOOKUP(M585, News!A:C, 3, FALSE), "M/D/YYYY")</f>
        <v>4/25/2015</v>
      </c>
      <c r="P585" s="18">
        <f>DATE(YEAR(O585),MONTH(Metrics!$B$5), DAY(Metrics!$B$5))</f>
        <v>42248</v>
      </c>
      <c r="Q585" s="16">
        <f t="shared" si="9"/>
        <v>2015</v>
      </c>
    </row>
    <row r="586" spans="13:17" ht="16" x14ac:dyDescent="0.2">
      <c r="M586" s="12">
        <v>3972</v>
      </c>
      <c r="N586" s="13" t="s">
        <v>22</v>
      </c>
      <c r="O586" s="16" t="str">
        <f>TEXT(VLOOKUP(M586, News!A:C, 3, FALSE), "M/D/YYYY")</f>
        <v>3/29/2015</v>
      </c>
      <c r="P586" s="18">
        <f>DATE(YEAR(O586),MONTH(Metrics!$B$5), DAY(Metrics!$B$5))</f>
        <v>42248</v>
      </c>
      <c r="Q586" s="16">
        <f t="shared" si="9"/>
        <v>2015</v>
      </c>
    </row>
    <row r="587" spans="13:17" ht="16" x14ac:dyDescent="0.2">
      <c r="M587" s="12">
        <v>4045</v>
      </c>
      <c r="N587" s="13" t="s">
        <v>22</v>
      </c>
      <c r="O587" s="16" t="str">
        <f>TEXT(VLOOKUP(M587, News!A:C, 3, FALSE), "M/D/YYYY")</f>
        <v>11/6/2014</v>
      </c>
      <c r="P587" s="18">
        <f>DATE(YEAR(O587),MONTH(Metrics!$B$5), DAY(Metrics!$B$5))</f>
        <v>41883</v>
      </c>
      <c r="Q587" s="16">
        <f t="shared" si="9"/>
        <v>2015</v>
      </c>
    </row>
    <row r="588" spans="13:17" ht="16" x14ac:dyDescent="0.2">
      <c r="M588" s="12">
        <v>4048</v>
      </c>
      <c r="N588" s="13" t="s">
        <v>22</v>
      </c>
      <c r="O588" s="16" t="str">
        <f>TEXT(VLOOKUP(M588, News!A:C, 3, FALSE), "M/D/YYYY")</f>
        <v>11/2/2014</v>
      </c>
      <c r="P588" s="18">
        <f>DATE(YEAR(O588),MONTH(Metrics!$B$5), DAY(Metrics!$B$5))</f>
        <v>41883</v>
      </c>
      <c r="Q588" s="16">
        <f t="shared" si="9"/>
        <v>2015</v>
      </c>
    </row>
    <row r="589" spans="13:17" ht="16" x14ac:dyDescent="0.2">
      <c r="M589" s="12">
        <v>4073</v>
      </c>
      <c r="N589" s="13" t="s">
        <v>22</v>
      </c>
      <c r="O589" s="16" t="str">
        <f>TEXT(VLOOKUP(M589, News!A:C, 3, FALSE), "M/D/YYYY")</f>
        <v>9/30/2014</v>
      </c>
      <c r="P589" s="18">
        <f>DATE(YEAR(O589),MONTH(Metrics!$B$5), DAY(Metrics!$B$5))</f>
        <v>41883</v>
      </c>
      <c r="Q589" s="16">
        <f t="shared" si="9"/>
        <v>2015</v>
      </c>
    </row>
    <row r="590" spans="13:17" ht="16" x14ac:dyDescent="0.2">
      <c r="M590" s="12">
        <v>4075</v>
      </c>
      <c r="N590" s="13" t="s">
        <v>22</v>
      </c>
      <c r="O590" s="16" t="str">
        <f>TEXT(VLOOKUP(M590, News!A:C, 3, FALSE), "M/D/YYYY")</f>
        <v>9/30/2014</v>
      </c>
      <c r="P590" s="18">
        <f>DATE(YEAR(O590),MONTH(Metrics!$B$5), DAY(Metrics!$B$5))</f>
        <v>41883</v>
      </c>
      <c r="Q590" s="16">
        <f t="shared" si="9"/>
        <v>2015</v>
      </c>
    </row>
    <row r="591" spans="13:17" ht="16" x14ac:dyDescent="0.2">
      <c r="M591" s="12">
        <v>4468</v>
      </c>
      <c r="N591" s="13" t="s">
        <v>22</v>
      </c>
      <c r="O591" s="16" t="str">
        <f>TEXT(VLOOKUP(M591, News!A:C, 3, FALSE), "M/D/YYYY")</f>
        <v>5/4/2014</v>
      </c>
      <c r="P591" s="18">
        <f>DATE(YEAR(O591),MONTH(Metrics!$B$5), DAY(Metrics!$B$5))</f>
        <v>41883</v>
      </c>
      <c r="Q591" s="16">
        <f t="shared" si="9"/>
        <v>2014</v>
      </c>
    </row>
    <row r="592" spans="13:17" ht="16" x14ac:dyDescent="0.2">
      <c r="M592" s="12">
        <v>1361</v>
      </c>
      <c r="N592" s="13" t="s">
        <v>22</v>
      </c>
      <c r="O592" s="16" t="str">
        <f>TEXT(VLOOKUP(M592, News!A:C, 3, FALSE), "M/D/YYYY")</f>
        <v>10/16/2017</v>
      </c>
      <c r="P592" s="18">
        <f>DATE(YEAR(O592),MONTH(Metrics!$B$5), DAY(Metrics!$B$5))</f>
        <v>42979</v>
      </c>
      <c r="Q592" s="16">
        <f t="shared" si="9"/>
        <v>2018</v>
      </c>
    </row>
    <row r="593" spans="13:17" ht="16" x14ac:dyDescent="0.2">
      <c r="M593" s="12">
        <v>2007</v>
      </c>
      <c r="N593" s="13" t="s">
        <v>22</v>
      </c>
      <c r="O593" s="16" t="str">
        <f>TEXT(VLOOKUP(M593, News!A:C, 3, FALSE), "M/D/YYYY")</f>
        <v>8/22/2017</v>
      </c>
      <c r="P593" s="18">
        <f>DATE(YEAR(O593),MONTH(Metrics!$B$5), DAY(Metrics!$B$5))</f>
        <v>42979</v>
      </c>
      <c r="Q593" s="16">
        <f t="shared" si="9"/>
        <v>2017</v>
      </c>
    </row>
    <row r="594" spans="13:17" ht="16" x14ac:dyDescent="0.2">
      <c r="M594" s="12">
        <v>2311</v>
      </c>
      <c r="N594" s="13" t="s">
        <v>22</v>
      </c>
      <c r="O594" s="16" t="str">
        <f>TEXT(VLOOKUP(M594, News!A:C, 3, FALSE), "M/D/YYYY")</f>
        <v>5/16/2017</v>
      </c>
      <c r="P594" s="18">
        <f>DATE(YEAR(O594),MONTH(Metrics!$B$5), DAY(Metrics!$B$5))</f>
        <v>42979</v>
      </c>
      <c r="Q594" s="16">
        <f t="shared" si="9"/>
        <v>2017</v>
      </c>
    </row>
    <row r="595" spans="13:17" ht="16" x14ac:dyDescent="0.2">
      <c r="M595" s="12">
        <v>3334</v>
      </c>
      <c r="N595" s="13" t="s">
        <v>22</v>
      </c>
      <c r="O595" s="16" t="str">
        <f>TEXT(VLOOKUP(M595, News!A:C, 3, FALSE), "M/D/YYYY")</f>
        <v>6/30/2016</v>
      </c>
      <c r="P595" s="18">
        <f>DATE(YEAR(O595),MONTH(Metrics!$B$5), DAY(Metrics!$B$5))</f>
        <v>42614</v>
      </c>
      <c r="Q595" s="16">
        <f t="shared" si="9"/>
        <v>2016</v>
      </c>
    </row>
    <row r="596" spans="13:17" ht="16" x14ac:dyDescent="0.2">
      <c r="M596" s="12">
        <v>3336</v>
      </c>
      <c r="N596" s="13" t="s">
        <v>22</v>
      </c>
      <c r="O596" s="16" t="str">
        <f>TEXT(VLOOKUP(M596, News!A:C, 3, FALSE), "M/D/YYYY")</f>
        <v>6/29/2016</v>
      </c>
      <c r="P596" s="18">
        <f>DATE(YEAR(O596),MONTH(Metrics!$B$5), DAY(Metrics!$B$5))</f>
        <v>42614</v>
      </c>
      <c r="Q596" s="16">
        <f t="shared" si="9"/>
        <v>2016</v>
      </c>
    </row>
    <row r="597" spans="13:17" ht="16" x14ac:dyDescent="0.2">
      <c r="M597" s="12">
        <v>3562</v>
      </c>
      <c r="N597" s="13" t="s">
        <v>22</v>
      </c>
      <c r="O597" s="16" t="str">
        <f>TEXT(VLOOKUP(M597, News!A:C, 3, FALSE), "M/D/YYYY")</f>
        <v>2/15/2016</v>
      </c>
      <c r="P597" s="18">
        <f>DATE(YEAR(O597),MONTH(Metrics!$B$5), DAY(Metrics!$B$5))</f>
        <v>42614</v>
      </c>
      <c r="Q597" s="16">
        <f t="shared" si="9"/>
        <v>2016</v>
      </c>
    </row>
    <row r="598" spans="13:17" ht="16" x14ac:dyDescent="0.2">
      <c r="M598" s="12">
        <v>3739</v>
      </c>
      <c r="N598" s="13" t="s">
        <v>22</v>
      </c>
      <c r="O598" s="16" t="str">
        <f>TEXT(VLOOKUP(M598, News!A:C, 3, FALSE), "M/D/YYYY")</f>
        <v>10/20/2015</v>
      </c>
      <c r="P598" s="18">
        <f>DATE(YEAR(O598),MONTH(Metrics!$B$5), DAY(Metrics!$B$5))</f>
        <v>42248</v>
      </c>
      <c r="Q598" s="16">
        <f t="shared" si="9"/>
        <v>2016</v>
      </c>
    </row>
    <row r="599" spans="13:17" ht="16" x14ac:dyDescent="0.2">
      <c r="M599" s="12">
        <v>3791</v>
      </c>
      <c r="N599" s="13" t="s">
        <v>22</v>
      </c>
      <c r="O599" s="16" t="str">
        <f>TEXT(VLOOKUP(M599, News!A:C, 3, FALSE), "M/D/YYYY")</f>
        <v>7/30/2015</v>
      </c>
      <c r="P599" s="18">
        <f>DATE(YEAR(O599),MONTH(Metrics!$B$5), DAY(Metrics!$B$5))</f>
        <v>42248</v>
      </c>
      <c r="Q599" s="16">
        <f t="shared" si="9"/>
        <v>2015</v>
      </c>
    </row>
    <row r="600" spans="13:17" ht="16" x14ac:dyDescent="0.2">
      <c r="M600" s="12">
        <v>4008</v>
      </c>
      <c r="N600" s="13" t="s">
        <v>22</v>
      </c>
      <c r="O600" s="16" t="str">
        <f>TEXT(VLOOKUP(M600, News!A:C, 3, FALSE), "M/D/YYYY")</f>
        <v>2/17/2015</v>
      </c>
      <c r="P600" s="18">
        <f>DATE(YEAR(O600),MONTH(Metrics!$B$5), DAY(Metrics!$B$5))</f>
        <v>42248</v>
      </c>
      <c r="Q600" s="16">
        <f t="shared" si="9"/>
        <v>2015</v>
      </c>
    </row>
    <row r="601" spans="13:17" ht="16" x14ac:dyDescent="0.2">
      <c r="M601" s="12">
        <v>4058</v>
      </c>
      <c r="N601" s="13" t="s">
        <v>22</v>
      </c>
      <c r="O601" s="16" t="str">
        <f>TEXT(VLOOKUP(M601, News!A:C, 3, FALSE), "M/D/YYYY")</f>
        <v>10/27/2014</v>
      </c>
      <c r="P601" s="18">
        <f>DATE(YEAR(O601),MONTH(Metrics!$B$5), DAY(Metrics!$B$5))</f>
        <v>41883</v>
      </c>
      <c r="Q601" s="16">
        <f t="shared" si="9"/>
        <v>2015</v>
      </c>
    </row>
    <row r="602" spans="13:17" ht="16" x14ac:dyDescent="0.2">
      <c r="M602" s="12">
        <v>1357</v>
      </c>
      <c r="N602" s="13" t="s">
        <v>22</v>
      </c>
      <c r="O602" s="16" t="str">
        <f>TEXT(VLOOKUP(M602, News!A:C, 3, FALSE), "M/D/YYYY")</f>
        <v>5/2/2018</v>
      </c>
      <c r="P602" s="18">
        <f>DATE(YEAR(O602),MONTH(Metrics!$B$5), DAY(Metrics!$B$5))</f>
        <v>43344</v>
      </c>
      <c r="Q602" s="16">
        <f t="shared" si="9"/>
        <v>2018</v>
      </c>
    </row>
    <row r="603" spans="13:17" ht="16" x14ac:dyDescent="0.2">
      <c r="M603" s="12">
        <v>1436</v>
      </c>
      <c r="N603" s="13" t="s">
        <v>22</v>
      </c>
      <c r="O603" s="16" t="str">
        <f>TEXT(VLOOKUP(M603, News!A:C, 3, FALSE), "M/D/YYYY")</f>
        <v>2/12/2018</v>
      </c>
      <c r="P603" s="18">
        <f>DATE(YEAR(O603),MONTH(Metrics!$B$5), DAY(Metrics!$B$5))</f>
        <v>43344</v>
      </c>
      <c r="Q603" s="16">
        <f t="shared" si="9"/>
        <v>2018</v>
      </c>
    </row>
    <row r="604" spans="13:17" ht="16" x14ac:dyDescent="0.2">
      <c r="M604" s="12">
        <v>1453</v>
      </c>
      <c r="N604" s="13" t="s">
        <v>22</v>
      </c>
      <c r="O604" s="16" t="str">
        <f>TEXT(VLOOKUP(M604, News!A:C, 3, FALSE), "M/D/YYYY")</f>
        <v>1/9/2018</v>
      </c>
      <c r="P604" s="18">
        <f>DATE(YEAR(O604),MONTH(Metrics!$B$5), DAY(Metrics!$B$5))</f>
        <v>43344</v>
      </c>
      <c r="Q604" s="16">
        <f t="shared" si="9"/>
        <v>2018</v>
      </c>
    </row>
    <row r="605" spans="13:17" ht="16" x14ac:dyDescent="0.2">
      <c r="M605" s="12">
        <v>1465</v>
      </c>
      <c r="N605" s="13" t="s">
        <v>22</v>
      </c>
      <c r="O605" s="16" t="str">
        <f>TEXT(VLOOKUP(M605, News!A:C, 3, FALSE), "M/D/YYYY")</f>
        <v>12/1/2017</v>
      </c>
      <c r="P605" s="18">
        <f>DATE(YEAR(O605),MONTH(Metrics!$B$5), DAY(Metrics!$B$5))</f>
        <v>42979</v>
      </c>
      <c r="Q605" s="16">
        <f t="shared" si="9"/>
        <v>2018</v>
      </c>
    </row>
    <row r="606" spans="13:17" ht="16" x14ac:dyDescent="0.2">
      <c r="M606" s="12">
        <v>2084</v>
      </c>
      <c r="N606" s="13" t="s">
        <v>22</v>
      </c>
      <c r="O606" s="16" t="str">
        <f>TEXT(VLOOKUP(M606, News!A:C, 3, FALSE), "M/D/YYYY")</f>
        <v>7/31/2017</v>
      </c>
      <c r="P606" s="18">
        <f>DATE(YEAR(O606),MONTH(Metrics!$B$5), DAY(Metrics!$B$5))</f>
        <v>42979</v>
      </c>
      <c r="Q606" s="16">
        <f t="shared" si="9"/>
        <v>2017</v>
      </c>
    </row>
    <row r="607" spans="13:17" ht="16" x14ac:dyDescent="0.2">
      <c r="M607" s="12">
        <v>2087</v>
      </c>
      <c r="N607" s="13" t="s">
        <v>22</v>
      </c>
      <c r="O607" s="16" t="str">
        <f>TEXT(VLOOKUP(M607, News!A:C, 3, FALSE), "M/D/YYYY")</f>
        <v>7/31/2017</v>
      </c>
      <c r="P607" s="18">
        <f>DATE(YEAR(O607),MONTH(Metrics!$B$5), DAY(Metrics!$B$5))</f>
        <v>42979</v>
      </c>
      <c r="Q607" s="16">
        <f t="shared" si="9"/>
        <v>2017</v>
      </c>
    </row>
    <row r="608" spans="13:17" ht="16" x14ac:dyDescent="0.2">
      <c r="M608" s="12">
        <v>2209</v>
      </c>
      <c r="N608" s="13" t="s">
        <v>22</v>
      </c>
      <c r="O608" s="16" t="str">
        <f>TEXT(VLOOKUP(M608, News!A:C, 3, FALSE), "M/D/YYYY")</f>
        <v>6/2/2017</v>
      </c>
      <c r="P608" s="18">
        <f>DATE(YEAR(O608),MONTH(Metrics!$B$5), DAY(Metrics!$B$5))</f>
        <v>42979</v>
      </c>
      <c r="Q608" s="16">
        <f t="shared" si="9"/>
        <v>2017</v>
      </c>
    </row>
    <row r="609" spans="13:17" ht="16" x14ac:dyDescent="0.2">
      <c r="M609" s="12">
        <v>2783</v>
      </c>
      <c r="N609" s="13" t="s">
        <v>22</v>
      </c>
      <c r="O609" s="16" t="str">
        <f>TEXT(VLOOKUP(M609, News!A:C, 3, FALSE), "M/D/YYYY")</f>
        <v>11/27/2018</v>
      </c>
      <c r="P609" s="18">
        <f>DATE(YEAR(O609),MONTH(Metrics!$B$5), DAY(Metrics!$B$5))</f>
        <v>43344</v>
      </c>
      <c r="Q609" s="16">
        <f t="shared" si="9"/>
        <v>2019</v>
      </c>
    </row>
    <row r="610" spans="13:17" ht="16" x14ac:dyDescent="0.2">
      <c r="M610" s="12">
        <v>2977</v>
      </c>
      <c r="N610" s="13" t="s">
        <v>22</v>
      </c>
      <c r="O610" s="16" t="str">
        <f>TEXT(VLOOKUP(M610, News!A:C, 3, FALSE), "M/D/YYYY")</f>
        <v>12/3/2018</v>
      </c>
      <c r="P610" s="18">
        <f>DATE(YEAR(O610),MONTH(Metrics!$B$5), DAY(Metrics!$B$5))</f>
        <v>43344</v>
      </c>
      <c r="Q610" s="16">
        <f t="shared" si="9"/>
        <v>2019</v>
      </c>
    </row>
    <row r="611" spans="13:17" ht="16" x14ac:dyDescent="0.2">
      <c r="M611" s="12">
        <v>3274</v>
      </c>
      <c r="N611" s="13" t="s">
        <v>22</v>
      </c>
      <c r="O611" s="16" t="str">
        <f>TEXT(VLOOKUP(M611, News!A:C, 3, FALSE), "M/D/YYYY")</f>
        <v>1/10/2019</v>
      </c>
      <c r="P611" s="18">
        <f>DATE(YEAR(O611),MONTH(Metrics!$B$5), DAY(Metrics!$B$5))</f>
        <v>43709</v>
      </c>
      <c r="Q611" s="16">
        <f t="shared" si="9"/>
        <v>2019</v>
      </c>
    </row>
    <row r="612" spans="13:17" ht="16" x14ac:dyDescent="0.2">
      <c r="M612" s="12">
        <v>3629</v>
      </c>
      <c r="N612" s="13" t="s">
        <v>22</v>
      </c>
      <c r="O612" s="16" t="str">
        <f>TEXT(VLOOKUP(M612, News!A:C, 3, FALSE), "M/D/YYYY")</f>
        <v>2/19/2019</v>
      </c>
      <c r="P612" s="18">
        <f>DATE(YEAR(O612),MONTH(Metrics!$B$5), DAY(Metrics!$B$5))</f>
        <v>43709</v>
      </c>
      <c r="Q612" s="16">
        <f t="shared" si="9"/>
        <v>2019</v>
      </c>
    </row>
    <row r="613" spans="13:17" ht="16" x14ac:dyDescent="0.2">
      <c r="M613" s="12">
        <v>3823</v>
      </c>
      <c r="N613" s="13" t="s">
        <v>22</v>
      </c>
      <c r="O613" s="16" t="str">
        <f>TEXT(VLOOKUP(M613, News!A:C, 3, FALSE), "M/D/YYYY")</f>
        <v>3/13/2019</v>
      </c>
      <c r="P613" s="18">
        <f>DATE(YEAR(O613),MONTH(Metrics!$B$5), DAY(Metrics!$B$5))</f>
        <v>43709</v>
      </c>
      <c r="Q613" s="16">
        <f t="shared" si="9"/>
        <v>2019</v>
      </c>
    </row>
    <row r="614" spans="13:17" ht="16" x14ac:dyDescent="0.2">
      <c r="M614" s="12">
        <v>4195</v>
      </c>
      <c r="N614" s="13" t="s">
        <v>22</v>
      </c>
      <c r="O614" s="16" t="str">
        <f>TEXT(VLOOKUP(M614, News!A:C, 3, FALSE), "M/D/YYYY")</f>
        <v>6/6/2019</v>
      </c>
      <c r="P614" s="18">
        <f>DATE(YEAR(O614),MONTH(Metrics!$B$5), DAY(Metrics!$B$5))</f>
        <v>43709</v>
      </c>
      <c r="Q614" s="16">
        <f t="shared" si="9"/>
        <v>2019</v>
      </c>
    </row>
    <row r="615" spans="13:17" ht="16" x14ac:dyDescent="0.2">
      <c r="M615" s="12">
        <v>4411</v>
      </c>
      <c r="N615" s="13" t="s">
        <v>22</v>
      </c>
      <c r="O615" s="16" t="str">
        <f>TEXT(VLOOKUP(M615, News!A:C, 3, FALSE), "M/D/YYYY")</f>
        <v>9/12/2019</v>
      </c>
      <c r="P615" s="18">
        <f>DATE(YEAR(O615),MONTH(Metrics!$B$5), DAY(Metrics!$B$5))</f>
        <v>43709</v>
      </c>
      <c r="Q615" s="16">
        <f t="shared" si="9"/>
        <v>2020</v>
      </c>
    </row>
    <row r="616" spans="13:17" ht="16" x14ac:dyDescent="0.2">
      <c r="M616" s="12">
        <v>4574</v>
      </c>
      <c r="N616" s="13" t="s">
        <v>22</v>
      </c>
      <c r="O616" s="16" t="str">
        <f>TEXT(VLOOKUP(M616, News!A:C, 3, FALSE), "M/D/YYYY")</f>
        <v>11/12/2019</v>
      </c>
      <c r="P616" s="18">
        <f>DATE(YEAR(O616),MONTH(Metrics!$B$5), DAY(Metrics!$B$5))</f>
        <v>43709</v>
      </c>
      <c r="Q616" s="16">
        <f t="shared" si="9"/>
        <v>2020</v>
      </c>
    </row>
    <row r="617" spans="13:17" ht="16" x14ac:dyDescent="0.2">
      <c r="M617" s="12">
        <v>6033</v>
      </c>
      <c r="N617" s="13" t="s">
        <v>22</v>
      </c>
      <c r="O617" s="16" t="str">
        <f>TEXT(VLOOKUP(M617, News!A:C, 3, FALSE), "M/D/YYYY")</f>
        <v>5/5/2021</v>
      </c>
      <c r="P617" s="18">
        <f>DATE(YEAR(O617),MONTH(Metrics!$B$5), DAY(Metrics!$B$5))</f>
        <v>44440</v>
      </c>
      <c r="Q617" s="16">
        <f t="shared" si="9"/>
        <v>2021</v>
      </c>
    </row>
    <row r="618" spans="13:17" ht="16" x14ac:dyDescent="0.2">
      <c r="M618" s="12">
        <v>6078</v>
      </c>
      <c r="N618" s="13" t="s">
        <v>22</v>
      </c>
      <c r="O618" s="16" t="str">
        <f>TEXT(VLOOKUP(M618, News!A:C, 3, FALSE), "M/D/YYYY")</f>
        <v>5/17/2021</v>
      </c>
      <c r="P618" s="18">
        <f>DATE(YEAR(O618),MONTH(Metrics!$B$5), DAY(Metrics!$B$5))</f>
        <v>44440</v>
      </c>
      <c r="Q618" s="16">
        <f t="shared" si="9"/>
        <v>2021</v>
      </c>
    </row>
    <row r="619" spans="13:17" ht="16" x14ac:dyDescent="0.2">
      <c r="M619" s="12">
        <v>6094</v>
      </c>
      <c r="N619" s="13" t="s">
        <v>22</v>
      </c>
      <c r="O619" s="16" t="str">
        <f>TEXT(VLOOKUP(M619, News!A:C, 3, FALSE), "M/D/YYYY")</f>
        <v>5/20/2021</v>
      </c>
      <c r="P619" s="18">
        <f>DATE(YEAR(O619),MONTH(Metrics!$B$5), DAY(Metrics!$B$5))</f>
        <v>44440</v>
      </c>
      <c r="Q619" s="16">
        <f t="shared" si="9"/>
        <v>2021</v>
      </c>
    </row>
    <row r="620" spans="13:17" ht="16" x14ac:dyDescent="0.2">
      <c r="M620" s="12">
        <v>6180</v>
      </c>
      <c r="N620" s="13" t="s">
        <v>22</v>
      </c>
      <c r="O620" s="16" t="str">
        <f>TEXT(VLOOKUP(M620, News!A:C, 3, FALSE), "M/D/YYYY")</f>
        <v>6/29/2021</v>
      </c>
      <c r="P620" s="18">
        <f>DATE(YEAR(O620),MONTH(Metrics!$B$5), DAY(Metrics!$B$5))</f>
        <v>44440</v>
      </c>
      <c r="Q620" s="16">
        <f t="shared" si="9"/>
        <v>2021</v>
      </c>
    </row>
    <row r="621" spans="13:17" ht="16" x14ac:dyDescent="0.2">
      <c r="M621" s="12">
        <v>6642</v>
      </c>
      <c r="N621" s="13" t="s">
        <v>22</v>
      </c>
      <c r="O621" s="16" t="str">
        <f>TEXT(VLOOKUP(M621, News!A:C, 3, FALSE), "M/D/YYYY")</f>
        <v>11/8/2021</v>
      </c>
      <c r="P621" s="18">
        <f>DATE(YEAR(O621),MONTH(Metrics!$B$5), DAY(Metrics!$B$5))</f>
        <v>44440</v>
      </c>
      <c r="Q621" s="16">
        <f t="shared" si="9"/>
        <v>2022</v>
      </c>
    </row>
    <row r="622" spans="13:17" ht="16" x14ac:dyDescent="0.2">
      <c r="M622" s="12">
        <v>7066</v>
      </c>
      <c r="N622" s="13" t="s">
        <v>22</v>
      </c>
      <c r="O622" s="16" t="str">
        <f>TEXT(VLOOKUP(M622, News!A:C, 3, FALSE), "M/D/YYYY")</f>
        <v>4/20/2022</v>
      </c>
      <c r="P622" s="18">
        <f>DATE(YEAR(O622),MONTH(Metrics!$B$5), DAY(Metrics!$B$5))</f>
        <v>44805</v>
      </c>
      <c r="Q622" s="16">
        <f t="shared" si="9"/>
        <v>2022</v>
      </c>
    </row>
    <row r="623" spans="13:17" ht="16" x14ac:dyDescent="0.2">
      <c r="M623" s="12">
        <v>7177</v>
      </c>
      <c r="N623" s="13" t="s">
        <v>22</v>
      </c>
      <c r="O623" s="16" t="str">
        <f>TEXT(VLOOKUP(M623, News!A:C, 3, FALSE), "M/D/YYYY")</f>
        <v>6/13/2022</v>
      </c>
      <c r="P623" s="18">
        <f>DATE(YEAR(O623),MONTH(Metrics!$B$5), DAY(Metrics!$B$5))</f>
        <v>44805</v>
      </c>
      <c r="Q623" s="16">
        <f t="shared" si="9"/>
        <v>2022</v>
      </c>
    </row>
    <row r="624" spans="13:17" ht="16" x14ac:dyDescent="0.2">
      <c r="M624" s="12">
        <v>7296</v>
      </c>
      <c r="N624" s="13" t="s">
        <v>22</v>
      </c>
      <c r="O624" s="16" t="str">
        <f>TEXT(VLOOKUP(M624, News!A:C, 3, FALSE), "M/D/YYYY")</f>
        <v>8/8/2022</v>
      </c>
      <c r="P624" s="18">
        <f>DATE(YEAR(O624),MONTH(Metrics!$B$5), DAY(Metrics!$B$5))</f>
        <v>44805</v>
      </c>
      <c r="Q624" s="16">
        <f t="shared" si="9"/>
        <v>2022</v>
      </c>
    </row>
    <row r="625" spans="13:17" ht="16" x14ac:dyDescent="0.2">
      <c r="M625" s="12">
        <v>7385</v>
      </c>
      <c r="N625" s="13" t="s">
        <v>22</v>
      </c>
      <c r="O625" s="16" t="str">
        <f>TEXT(VLOOKUP(M625, News!A:C, 3, FALSE), "M/D/YYYY")</f>
        <v>9/1/2022</v>
      </c>
      <c r="P625" s="18">
        <f>DATE(YEAR(O625),MONTH(Metrics!$B$5), DAY(Metrics!$B$5))</f>
        <v>44805</v>
      </c>
      <c r="Q625" s="16">
        <f t="shared" si="9"/>
        <v>2023</v>
      </c>
    </row>
    <row r="626" spans="13:17" ht="16" x14ac:dyDescent="0.2">
      <c r="M626" s="12">
        <v>7643</v>
      </c>
      <c r="N626" s="13" t="s">
        <v>22</v>
      </c>
      <c r="O626" s="16" t="str">
        <f>TEXT(VLOOKUP(M626, News!A:C, 3, FALSE), "M/D/YYYY")</f>
        <v>10/18/2022</v>
      </c>
      <c r="P626" s="18">
        <f>DATE(YEAR(O626),MONTH(Metrics!$B$5), DAY(Metrics!$B$5))</f>
        <v>44805</v>
      </c>
      <c r="Q626" s="16">
        <f t="shared" si="9"/>
        <v>2023</v>
      </c>
    </row>
    <row r="627" spans="13:17" ht="16" x14ac:dyDescent="0.2">
      <c r="M627" s="12">
        <v>7735</v>
      </c>
      <c r="N627" s="13" t="s">
        <v>22</v>
      </c>
      <c r="O627" s="16" t="str">
        <f>TEXT(VLOOKUP(M627, News!A:C, 3, FALSE), "M/D/YYYY")</f>
        <v>11/21/2022</v>
      </c>
      <c r="P627" s="18">
        <f>DATE(YEAR(O627),MONTH(Metrics!$B$5), DAY(Metrics!$B$5))</f>
        <v>44805</v>
      </c>
      <c r="Q627" s="16">
        <f t="shared" si="9"/>
        <v>2023</v>
      </c>
    </row>
    <row r="628" spans="13:17" ht="16" x14ac:dyDescent="0.2">
      <c r="M628" s="12">
        <v>8061</v>
      </c>
      <c r="N628" s="13" t="s">
        <v>22</v>
      </c>
      <c r="O628" s="16" t="str">
        <f>TEXT(VLOOKUP(M628, News!A:C, 3, FALSE), "M/D/YYYY")</f>
        <v>2/16/2023</v>
      </c>
      <c r="P628" s="18">
        <f>DATE(YEAR(O628),MONTH(Metrics!$B$5), DAY(Metrics!$B$5))</f>
        <v>45170</v>
      </c>
      <c r="Q628" s="16">
        <f t="shared" si="9"/>
        <v>2023</v>
      </c>
    </row>
    <row r="629" spans="13:17" ht="16" x14ac:dyDescent="0.2">
      <c r="M629" s="12"/>
      <c r="N629" s="13"/>
      <c r="O629" s="16" t="e">
        <f>TEXT(VLOOKUP(M629, News!A:C, 3, FALSE), "M/D/YYYY")</f>
        <v>#N/A</v>
      </c>
      <c r="P629" s="18" t="e">
        <f>DATE(YEAR(O629),MONTH(Metrics!$B$5), DAY(Metrics!$B$5))</f>
        <v>#N/A</v>
      </c>
      <c r="Q629" s="16" t="e">
        <f t="shared" ref="Q579:Q629" si="10">IF(MONTH(O629) &gt;= MONTH(P629), YEAR(O629)+1, YEAR(O629))</f>
        <v>#N/A</v>
      </c>
    </row>
    <row r="630" spans="13:17" ht="16" x14ac:dyDescent="0.2">
      <c r="M630" s="12"/>
      <c r="N630" s="13"/>
      <c r="O630" s="16"/>
    </row>
    <row r="631" spans="13:17" ht="16" x14ac:dyDescent="0.2">
      <c r="M631" s="12"/>
      <c r="N631" s="13"/>
      <c r="O631" s="16"/>
    </row>
    <row r="632" spans="13:17" ht="16" x14ac:dyDescent="0.2">
      <c r="M632" s="12"/>
      <c r="N632" s="13"/>
      <c r="O632" s="16"/>
    </row>
    <row r="633" spans="13:17" ht="16" x14ac:dyDescent="0.2">
      <c r="M633" s="12"/>
      <c r="N633" s="13"/>
      <c r="O633" s="16"/>
    </row>
    <row r="634" spans="13:17" ht="16" x14ac:dyDescent="0.2">
      <c r="M634" s="12"/>
      <c r="N634" s="13"/>
      <c r="O634" s="16"/>
    </row>
    <row r="635" spans="13:17" ht="16" x14ac:dyDescent="0.2">
      <c r="M635" s="12"/>
      <c r="N635" s="13"/>
      <c r="O635" s="16"/>
    </row>
    <row r="636" spans="13:17" ht="16" x14ac:dyDescent="0.2">
      <c r="M636" s="12"/>
      <c r="N636" s="13"/>
      <c r="O636" s="16"/>
    </row>
    <row r="637" spans="13:17" ht="16" x14ac:dyDescent="0.2">
      <c r="M637" s="12"/>
      <c r="N637" s="13"/>
      <c r="O637" s="16"/>
    </row>
    <row r="638" spans="13:17" ht="16" x14ac:dyDescent="0.2">
      <c r="M638" s="12"/>
      <c r="N638" s="13"/>
      <c r="O638" s="16"/>
    </row>
    <row r="639" spans="13:17" ht="16" x14ac:dyDescent="0.2">
      <c r="M639" s="12"/>
      <c r="N639" s="13"/>
      <c r="O639" s="16"/>
    </row>
    <row r="640" spans="13:17" ht="16" x14ac:dyDescent="0.2">
      <c r="M640" s="12"/>
      <c r="N640" s="13"/>
      <c r="O640" s="16"/>
    </row>
    <row r="641" spans="13:15" ht="16" x14ac:dyDescent="0.2">
      <c r="M641" s="12"/>
      <c r="N641" s="13"/>
      <c r="O641" s="16"/>
    </row>
    <row r="642" spans="13:15" ht="16" x14ac:dyDescent="0.2">
      <c r="M642" s="12"/>
      <c r="N642" s="13"/>
      <c r="O642" s="16"/>
    </row>
    <row r="643" spans="13:15" ht="16" x14ac:dyDescent="0.2">
      <c r="M643" s="12"/>
      <c r="N643" s="13"/>
      <c r="O643" s="16"/>
    </row>
    <row r="644" spans="13:15" ht="16" x14ac:dyDescent="0.2">
      <c r="M644" s="12"/>
      <c r="N644" s="13"/>
      <c r="O644" s="16"/>
    </row>
    <row r="645" spans="13:15" ht="16" x14ac:dyDescent="0.2">
      <c r="M645" s="12"/>
      <c r="N645" s="13"/>
      <c r="O645" s="16"/>
    </row>
    <row r="646" spans="13:15" ht="16" x14ac:dyDescent="0.2">
      <c r="M646" s="12"/>
      <c r="N646" s="13"/>
      <c r="O646" s="16"/>
    </row>
    <row r="647" spans="13:15" ht="16" x14ac:dyDescent="0.2">
      <c r="M647" s="12"/>
      <c r="N647" s="13"/>
      <c r="O647" s="16"/>
    </row>
    <row r="648" spans="13:15" ht="16" x14ac:dyDescent="0.2">
      <c r="M648" s="12"/>
      <c r="N648" s="13"/>
      <c r="O648" s="16"/>
    </row>
    <row r="649" spans="13:15" ht="16" x14ac:dyDescent="0.2">
      <c r="M649" s="12"/>
      <c r="N649" s="13"/>
      <c r="O649" s="16"/>
    </row>
    <row r="650" spans="13:15" ht="16" x14ac:dyDescent="0.2">
      <c r="M650" s="12"/>
      <c r="N650" s="13"/>
      <c r="O650" s="16"/>
    </row>
    <row r="651" spans="13:15" ht="16" x14ac:dyDescent="0.2">
      <c r="M651" s="12"/>
      <c r="N651" s="13"/>
      <c r="O651" s="16"/>
    </row>
    <row r="652" spans="13:15" ht="16" x14ac:dyDescent="0.2">
      <c r="M652" s="12"/>
      <c r="N652" s="13"/>
      <c r="O652" s="16"/>
    </row>
    <row r="653" spans="13:15" ht="16" x14ac:dyDescent="0.2">
      <c r="M653" s="12"/>
      <c r="N653" s="13"/>
      <c r="O653" s="16"/>
    </row>
    <row r="654" spans="13:15" ht="16" x14ac:dyDescent="0.2">
      <c r="M654" s="12"/>
      <c r="N654" s="13"/>
      <c r="O654" s="16"/>
    </row>
    <row r="655" spans="13:15" ht="16" x14ac:dyDescent="0.2">
      <c r="M655" s="12"/>
      <c r="N655" s="13"/>
      <c r="O655" s="16"/>
    </row>
    <row r="656" spans="13:15" ht="16" x14ac:dyDescent="0.2">
      <c r="M656" s="12"/>
      <c r="N656" s="13"/>
      <c r="O656" s="16"/>
    </row>
    <row r="657" spans="13:15" ht="16" x14ac:dyDescent="0.2">
      <c r="M657" s="12"/>
      <c r="N657" s="13"/>
      <c r="O657" s="16"/>
    </row>
    <row r="658" spans="13:15" ht="16" x14ac:dyDescent="0.2">
      <c r="M658" s="12"/>
      <c r="N658" s="13"/>
      <c r="O658" s="16"/>
    </row>
    <row r="659" spans="13:15" ht="16" x14ac:dyDescent="0.2">
      <c r="M659" s="12"/>
      <c r="N659" s="13"/>
      <c r="O659" s="16"/>
    </row>
    <row r="660" spans="13:15" ht="16" x14ac:dyDescent="0.2">
      <c r="M660" s="12"/>
      <c r="N660" s="13"/>
      <c r="O660" s="16"/>
    </row>
    <row r="661" spans="13:15" ht="16" x14ac:dyDescent="0.2">
      <c r="M661" s="12"/>
      <c r="N661" s="13"/>
      <c r="O661" s="16"/>
    </row>
    <row r="662" spans="13:15" ht="16" x14ac:dyDescent="0.2">
      <c r="M662" s="12"/>
      <c r="N662" s="13"/>
      <c r="O662" s="16"/>
    </row>
    <row r="663" spans="13:15" ht="16" x14ac:dyDescent="0.2">
      <c r="M663" s="12"/>
      <c r="N663" s="13"/>
      <c r="O663" s="16"/>
    </row>
    <row r="664" spans="13:15" ht="16" x14ac:dyDescent="0.2">
      <c r="M664" s="12"/>
      <c r="N664" s="13"/>
      <c r="O664" s="16"/>
    </row>
    <row r="665" spans="13:15" ht="16" x14ac:dyDescent="0.2">
      <c r="M665" s="12"/>
      <c r="N665" s="13"/>
      <c r="O665" s="16"/>
    </row>
    <row r="666" spans="13:15" ht="16" x14ac:dyDescent="0.2">
      <c r="M666" s="12"/>
      <c r="N666" s="13"/>
      <c r="O666" s="16"/>
    </row>
    <row r="667" spans="13:15" ht="16" x14ac:dyDescent="0.2">
      <c r="M667" s="12"/>
      <c r="N667" s="13"/>
      <c r="O667" s="16"/>
    </row>
    <row r="668" spans="13:15" ht="16" x14ac:dyDescent="0.2">
      <c r="M668" s="12"/>
      <c r="N668" s="13"/>
      <c r="O668" s="16"/>
    </row>
    <row r="669" spans="13:15" ht="16" x14ac:dyDescent="0.2">
      <c r="M669" s="12"/>
      <c r="N669" s="13"/>
      <c r="O669" s="16"/>
    </row>
    <row r="670" spans="13:15" ht="16" x14ac:dyDescent="0.2">
      <c r="M670" s="12"/>
      <c r="N670" s="13"/>
      <c r="O670" s="16"/>
    </row>
    <row r="671" spans="13:15" ht="16" x14ac:dyDescent="0.2">
      <c r="M671" s="12"/>
      <c r="N671" s="13"/>
      <c r="O671" s="16"/>
    </row>
    <row r="672" spans="13:15" ht="16" x14ac:dyDescent="0.2">
      <c r="M672" s="12"/>
      <c r="N672" s="13"/>
      <c r="O672" s="16"/>
    </row>
    <row r="673" spans="13:15" ht="16" x14ac:dyDescent="0.2">
      <c r="M673" s="12"/>
      <c r="N673" s="13"/>
      <c r="O673" s="16"/>
    </row>
    <row r="674" spans="13:15" ht="16" x14ac:dyDescent="0.2">
      <c r="M674" s="12"/>
      <c r="N674" s="13"/>
      <c r="O674" s="16"/>
    </row>
    <row r="675" spans="13:15" ht="16" x14ac:dyDescent="0.2">
      <c r="M675" s="12"/>
      <c r="N675" s="13"/>
      <c r="O675" s="16"/>
    </row>
    <row r="676" spans="13:15" ht="16" x14ac:dyDescent="0.2">
      <c r="M676" s="12"/>
      <c r="N676" s="13"/>
      <c r="O676" s="16"/>
    </row>
    <row r="677" spans="13:15" ht="16" x14ac:dyDescent="0.2">
      <c r="M677" s="12"/>
      <c r="N677" s="13"/>
      <c r="O677" s="16"/>
    </row>
    <row r="678" spans="13:15" ht="16" x14ac:dyDescent="0.2">
      <c r="M678" s="12"/>
      <c r="N678" s="13"/>
      <c r="O678" s="16"/>
    </row>
    <row r="679" spans="13:15" ht="16" x14ac:dyDescent="0.2">
      <c r="M679" s="12"/>
      <c r="N679" s="13"/>
      <c r="O679" s="16"/>
    </row>
    <row r="680" spans="13:15" ht="16" x14ac:dyDescent="0.2">
      <c r="M680" s="12"/>
      <c r="N680" s="13"/>
      <c r="O680" s="16"/>
    </row>
    <row r="681" spans="13:15" ht="16" x14ac:dyDescent="0.2">
      <c r="M681" s="12"/>
      <c r="N681" s="13"/>
      <c r="O681" s="16"/>
    </row>
    <row r="682" spans="13:15" ht="16" x14ac:dyDescent="0.2">
      <c r="M682" s="12"/>
      <c r="N682" s="13"/>
      <c r="O682" s="16"/>
    </row>
    <row r="683" spans="13:15" ht="16" x14ac:dyDescent="0.2">
      <c r="M683" s="12"/>
      <c r="N683" s="13"/>
      <c r="O683" s="16"/>
    </row>
    <row r="684" spans="13:15" ht="16" x14ac:dyDescent="0.2">
      <c r="M684" s="12"/>
      <c r="N684" s="13"/>
      <c r="O684" s="16"/>
    </row>
    <row r="685" spans="13:15" ht="16" x14ac:dyDescent="0.2">
      <c r="M685" s="12"/>
      <c r="N685" s="13"/>
      <c r="O685" s="16"/>
    </row>
    <row r="686" spans="13:15" ht="16" x14ac:dyDescent="0.2">
      <c r="M686" s="12"/>
      <c r="N686" s="13"/>
      <c r="O686" s="16"/>
    </row>
    <row r="687" spans="13:15" ht="16" x14ac:dyDescent="0.2">
      <c r="M687" s="12"/>
      <c r="N687" s="13"/>
      <c r="O687" s="16"/>
    </row>
    <row r="688" spans="13:15" ht="16" x14ac:dyDescent="0.2">
      <c r="M688" s="12"/>
      <c r="N688" s="13"/>
      <c r="O688" s="16"/>
    </row>
    <row r="689" spans="13:15" ht="16" x14ac:dyDescent="0.2">
      <c r="M689" s="12"/>
      <c r="N689" s="13"/>
      <c r="O689" s="16"/>
    </row>
    <row r="690" spans="13:15" ht="16" x14ac:dyDescent="0.2">
      <c r="M690" s="12"/>
      <c r="N690" s="13"/>
      <c r="O690" s="16"/>
    </row>
    <row r="691" spans="13:15" ht="16" x14ac:dyDescent="0.2">
      <c r="M691" s="12"/>
      <c r="N691" s="13"/>
      <c r="O691" s="16"/>
    </row>
    <row r="692" spans="13:15" ht="16" x14ac:dyDescent="0.2">
      <c r="M692" s="12"/>
      <c r="N692" s="13"/>
      <c r="O692" s="16"/>
    </row>
    <row r="693" spans="13:15" ht="16" x14ac:dyDescent="0.2">
      <c r="M693" s="12"/>
      <c r="N693" s="13"/>
      <c r="O693" s="16"/>
    </row>
    <row r="694" spans="13:15" ht="16" x14ac:dyDescent="0.2">
      <c r="M694" s="12"/>
      <c r="N694" s="13"/>
      <c r="O694" s="16"/>
    </row>
    <row r="695" spans="13:15" ht="16" x14ac:dyDescent="0.2">
      <c r="M695" s="12"/>
      <c r="N695" s="13"/>
      <c r="O695" s="16"/>
    </row>
    <row r="696" spans="13:15" ht="16" x14ac:dyDescent="0.2">
      <c r="M696" s="12"/>
      <c r="N696" s="13"/>
      <c r="O696" s="16"/>
    </row>
    <row r="697" spans="13:15" ht="16" x14ac:dyDescent="0.2">
      <c r="M697" s="12"/>
      <c r="N697" s="13"/>
      <c r="O697" s="16"/>
    </row>
    <row r="698" spans="13:15" ht="16" x14ac:dyDescent="0.2">
      <c r="M698" s="12"/>
      <c r="N698" s="13"/>
      <c r="O698" s="16"/>
    </row>
    <row r="699" spans="13:15" ht="16" x14ac:dyDescent="0.2">
      <c r="M699" s="12"/>
      <c r="N699" s="13"/>
      <c r="O699" s="16"/>
    </row>
    <row r="700" spans="13:15" ht="16" x14ac:dyDescent="0.2">
      <c r="M700" s="12"/>
      <c r="N700" s="13"/>
      <c r="O700" s="16"/>
    </row>
    <row r="701" spans="13:15" ht="16" x14ac:dyDescent="0.2">
      <c r="M701" s="12"/>
      <c r="N701" s="13"/>
      <c r="O701" s="16"/>
    </row>
    <row r="702" spans="13:15" ht="16" x14ac:dyDescent="0.2">
      <c r="M702" s="12"/>
      <c r="N702" s="13"/>
      <c r="O702" s="16"/>
    </row>
    <row r="703" spans="13:15" ht="16" x14ac:dyDescent="0.2">
      <c r="M703" s="12"/>
      <c r="N703" s="13"/>
      <c r="O703" s="16"/>
    </row>
    <row r="704" spans="13:15" ht="16" x14ac:dyDescent="0.2">
      <c r="M704" s="12"/>
      <c r="N704" s="13"/>
      <c r="O704" s="16"/>
    </row>
    <row r="705" spans="13:15" ht="16" x14ac:dyDescent="0.2">
      <c r="M705" s="12"/>
      <c r="N705" s="13"/>
      <c r="O705" s="16"/>
    </row>
    <row r="706" spans="13:15" ht="16" x14ac:dyDescent="0.2">
      <c r="M706" s="12"/>
      <c r="N706" s="13"/>
      <c r="O706" s="16"/>
    </row>
    <row r="707" spans="13:15" ht="16" x14ac:dyDescent="0.2">
      <c r="M707" s="12"/>
      <c r="N707" s="13"/>
      <c r="O707" s="16"/>
    </row>
    <row r="708" spans="13:15" ht="16" x14ac:dyDescent="0.2">
      <c r="M708" s="12"/>
      <c r="N708" s="13"/>
      <c r="O708" s="16"/>
    </row>
    <row r="709" spans="13:15" ht="16" x14ac:dyDescent="0.2">
      <c r="M709" s="12"/>
      <c r="N709" s="13"/>
      <c r="O709" s="16"/>
    </row>
    <row r="710" spans="13:15" ht="16" x14ac:dyDescent="0.2">
      <c r="M710" s="12"/>
      <c r="N710" s="13"/>
      <c r="O710" s="16"/>
    </row>
    <row r="711" spans="13:15" ht="16" x14ac:dyDescent="0.2">
      <c r="M711" s="12"/>
      <c r="N711" s="13"/>
      <c r="O711" s="16"/>
    </row>
    <row r="712" spans="13:15" ht="16" x14ac:dyDescent="0.2">
      <c r="M712" s="12"/>
      <c r="N712" s="13"/>
      <c r="O712" s="16"/>
    </row>
    <row r="713" spans="13:15" ht="16" x14ac:dyDescent="0.2">
      <c r="M713" s="12"/>
      <c r="N713" s="13"/>
      <c r="O713" s="16"/>
    </row>
    <row r="714" spans="13:15" ht="16" x14ac:dyDescent="0.2">
      <c r="M714" s="12"/>
      <c r="N714" s="13"/>
      <c r="O714" s="16"/>
    </row>
    <row r="715" spans="13:15" ht="16" x14ac:dyDescent="0.2">
      <c r="M715" s="12"/>
      <c r="N715" s="13"/>
      <c r="O715" s="16"/>
    </row>
    <row r="716" spans="13:15" ht="16" x14ac:dyDescent="0.2">
      <c r="M716" s="12"/>
      <c r="N716" s="13"/>
      <c r="O716" s="16"/>
    </row>
    <row r="717" spans="13:15" ht="16" x14ac:dyDescent="0.2">
      <c r="M717" s="12"/>
      <c r="N717" s="13"/>
      <c r="O717" s="16"/>
    </row>
    <row r="718" spans="13:15" ht="16" x14ac:dyDescent="0.2">
      <c r="M718" s="12"/>
      <c r="N718" s="13"/>
      <c r="O718" s="16"/>
    </row>
    <row r="719" spans="13:15" ht="16" x14ac:dyDescent="0.2">
      <c r="M719" s="12"/>
      <c r="N719" s="13"/>
      <c r="O719" s="16"/>
    </row>
    <row r="720" spans="13:15" ht="16" x14ac:dyDescent="0.2">
      <c r="M720" s="12"/>
      <c r="N720" s="13"/>
      <c r="O720" s="16"/>
    </row>
    <row r="721" spans="13:15" ht="16" x14ac:dyDescent="0.2">
      <c r="M721" s="12"/>
      <c r="N721" s="13"/>
      <c r="O721" s="16"/>
    </row>
    <row r="722" spans="13:15" ht="16" x14ac:dyDescent="0.2">
      <c r="M722" s="12"/>
      <c r="N722" s="13"/>
      <c r="O722" s="16"/>
    </row>
    <row r="723" spans="13:15" ht="16" x14ac:dyDescent="0.2">
      <c r="M723" s="12"/>
      <c r="N723" s="13"/>
      <c r="O723" s="16"/>
    </row>
    <row r="724" spans="13:15" ht="16" x14ac:dyDescent="0.2">
      <c r="M724" s="12"/>
      <c r="N724" s="13"/>
      <c r="O724" s="16"/>
    </row>
    <row r="725" spans="13:15" ht="16" x14ac:dyDescent="0.2">
      <c r="M725" s="12"/>
      <c r="N725" s="13"/>
      <c r="O725" s="16"/>
    </row>
    <row r="726" spans="13:15" ht="16" x14ac:dyDescent="0.2">
      <c r="M726" s="12"/>
      <c r="N726" s="13"/>
      <c r="O726" s="16"/>
    </row>
    <row r="727" spans="13:15" ht="16" x14ac:dyDescent="0.2">
      <c r="M727" s="12"/>
      <c r="N727" s="13"/>
      <c r="O727" s="16"/>
    </row>
    <row r="728" spans="13:15" ht="16" x14ac:dyDescent="0.2">
      <c r="M728" s="12"/>
      <c r="N728" s="13"/>
      <c r="O728" s="16"/>
    </row>
    <row r="729" spans="13:15" ht="16" x14ac:dyDescent="0.2">
      <c r="M729" s="12"/>
      <c r="N729" s="13"/>
      <c r="O729" s="16"/>
    </row>
    <row r="730" spans="13:15" ht="16" x14ac:dyDescent="0.2">
      <c r="M730" s="12"/>
      <c r="N730" s="13"/>
      <c r="O730" s="16"/>
    </row>
    <row r="731" spans="13:15" ht="16" x14ac:dyDescent="0.2">
      <c r="M731" s="12"/>
      <c r="N731" s="13"/>
      <c r="O731" s="16"/>
    </row>
    <row r="732" spans="13:15" ht="16" x14ac:dyDescent="0.2">
      <c r="M732" s="12"/>
      <c r="N732" s="13"/>
      <c r="O732" s="16"/>
    </row>
    <row r="733" spans="13:15" ht="16" x14ac:dyDescent="0.2">
      <c r="M733" s="12"/>
      <c r="N733" s="13"/>
      <c r="O733" s="16"/>
    </row>
    <row r="734" spans="13:15" ht="16" x14ac:dyDescent="0.2">
      <c r="M734" s="12"/>
      <c r="N734" s="13"/>
      <c r="O734" s="16"/>
    </row>
    <row r="735" spans="13:15" ht="16" x14ac:dyDescent="0.2">
      <c r="M735" s="12"/>
      <c r="N735" s="13"/>
      <c r="O735" s="16"/>
    </row>
    <row r="736" spans="13:15" ht="16" x14ac:dyDescent="0.2">
      <c r="M736" s="12"/>
      <c r="N736" s="13"/>
      <c r="O736" s="16"/>
    </row>
    <row r="737" spans="13:15" ht="16" x14ac:dyDescent="0.2">
      <c r="M737" s="12"/>
      <c r="N737" s="13"/>
      <c r="O737" s="16"/>
    </row>
    <row r="738" spans="13:15" ht="16" x14ac:dyDescent="0.2">
      <c r="M738" s="12"/>
      <c r="N738" s="13"/>
      <c r="O738" s="16"/>
    </row>
    <row r="739" spans="13:15" ht="16" x14ac:dyDescent="0.2">
      <c r="M739" s="12"/>
      <c r="N739" s="13"/>
      <c r="O739" s="16"/>
    </row>
    <row r="740" spans="13:15" ht="16" x14ac:dyDescent="0.2">
      <c r="M740" s="12"/>
      <c r="N740" s="13"/>
      <c r="O740" s="16"/>
    </row>
    <row r="741" spans="13:15" ht="16" x14ac:dyDescent="0.2">
      <c r="M741" s="12"/>
      <c r="N741" s="13"/>
      <c r="O741" s="16"/>
    </row>
    <row r="742" spans="13:15" ht="16" x14ac:dyDescent="0.2">
      <c r="M742" s="12"/>
      <c r="N742" s="13"/>
      <c r="O742" s="16"/>
    </row>
    <row r="743" spans="13:15" ht="16" x14ac:dyDescent="0.2">
      <c r="M743" s="12"/>
      <c r="N743" s="13"/>
      <c r="O743" s="16"/>
    </row>
    <row r="744" spans="13:15" ht="16" x14ac:dyDescent="0.2">
      <c r="M744" s="12"/>
      <c r="N744" s="13"/>
      <c r="O744" s="16"/>
    </row>
    <row r="745" spans="13:15" ht="16" x14ac:dyDescent="0.2">
      <c r="M745" s="12"/>
      <c r="N745" s="13"/>
      <c r="O745" s="16"/>
    </row>
    <row r="746" spans="13:15" ht="16" x14ac:dyDescent="0.2">
      <c r="M746" s="12"/>
      <c r="N746" s="13"/>
      <c r="O746" s="16"/>
    </row>
    <row r="747" spans="13:15" ht="16" x14ac:dyDescent="0.2">
      <c r="M747" s="12"/>
      <c r="N747" s="13"/>
      <c r="O747" s="16"/>
    </row>
    <row r="748" spans="13:15" ht="16" x14ac:dyDescent="0.2">
      <c r="M748" s="12"/>
      <c r="N748" s="13"/>
      <c r="O748" s="16"/>
    </row>
    <row r="749" spans="13:15" ht="16" x14ac:dyDescent="0.2">
      <c r="M749" s="12"/>
      <c r="N749" s="13"/>
      <c r="O749" s="16"/>
    </row>
    <row r="750" spans="13:15" ht="16" x14ac:dyDescent="0.2">
      <c r="M750" s="12"/>
      <c r="N750" s="13"/>
      <c r="O750" s="16"/>
    </row>
    <row r="751" spans="13:15" ht="16" x14ac:dyDescent="0.2">
      <c r="M751" s="12"/>
      <c r="N751" s="13"/>
      <c r="O751" s="16"/>
    </row>
    <row r="752" spans="13:15" ht="16" x14ac:dyDescent="0.2">
      <c r="M752" s="12"/>
      <c r="N752" s="13"/>
      <c r="O752" s="16"/>
    </row>
    <row r="753" spans="13:15" ht="16" x14ac:dyDescent="0.2">
      <c r="M753" s="12"/>
      <c r="N753" s="13"/>
      <c r="O753" s="16"/>
    </row>
    <row r="754" spans="13:15" ht="16" x14ac:dyDescent="0.2">
      <c r="M754" s="12"/>
      <c r="N754" s="13"/>
      <c r="O754" s="16"/>
    </row>
    <row r="755" spans="13:15" ht="16" x14ac:dyDescent="0.2">
      <c r="M755" s="12"/>
      <c r="N755" s="13"/>
      <c r="O755" s="16"/>
    </row>
    <row r="756" spans="13:15" ht="16" x14ac:dyDescent="0.2">
      <c r="M756" s="12"/>
      <c r="N756" s="13"/>
      <c r="O756" s="16"/>
    </row>
    <row r="757" spans="13:15" ht="16" x14ac:dyDescent="0.2">
      <c r="M757" s="12"/>
      <c r="N757" s="13"/>
      <c r="O757" s="16"/>
    </row>
    <row r="758" spans="13:15" ht="16" x14ac:dyDescent="0.2">
      <c r="M758" s="12"/>
      <c r="N758" s="13"/>
      <c r="O758" s="16"/>
    </row>
    <row r="759" spans="13:15" ht="16" x14ac:dyDescent="0.2">
      <c r="M759" s="12"/>
      <c r="N759" s="13"/>
      <c r="O759" s="16"/>
    </row>
    <row r="760" spans="13:15" ht="16" x14ac:dyDescent="0.2">
      <c r="M760" s="12"/>
      <c r="N760" s="13"/>
      <c r="O760" s="16"/>
    </row>
    <row r="761" spans="13:15" ht="16" x14ac:dyDescent="0.2">
      <c r="M761" s="12"/>
      <c r="N761" s="13"/>
      <c r="O761" s="16"/>
    </row>
    <row r="762" spans="13:15" ht="16" x14ac:dyDescent="0.2">
      <c r="M762" s="12"/>
      <c r="N762" s="13"/>
      <c r="O762" s="16"/>
    </row>
    <row r="763" spans="13:15" ht="16" x14ac:dyDescent="0.2">
      <c r="M763" s="12"/>
      <c r="N763" s="13"/>
      <c r="O763" s="16"/>
    </row>
    <row r="764" spans="13:15" ht="16" x14ac:dyDescent="0.2">
      <c r="M764" s="12"/>
      <c r="N764" s="13"/>
      <c r="O764" s="16"/>
    </row>
    <row r="765" spans="13:15" ht="16" x14ac:dyDescent="0.2">
      <c r="M765" s="12"/>
      <c r="N765" s="13"/>
      <c r="O765" s="16"/>
    </row>
    <row r="766" spans="13:15" ht="16" x14ac:dyDescent="0.2">
      <c r="M766" s="12"/>
      <c r="N766" s="13"/>
      <c r="O766" s="16"/>
    </row>
    <row r="767" spans="13:15" ht="16" x14ac:dyDescent="0.2">
      <c r="M767" s="12"/>
      <c r="N767" s="13"/>
      <c r="O767" s="16"/>
    </row>
    <row r="768" spans="13:15" ht="16" x14ac:dyDescent="0.2">
      <c r="M768" s="12"/>
      <c r="N768" s="13"/>
      <c r="O768" s="16"/>
    </row>
    <row r="769" spans="13:15" ht="16" x14ac:dyDescent="0.2">
      <c r="M769" s="12"/>
      <c r="N769" s="13"/>
      <c r="O769" s="16"/>
    </row>
    <row r="770" spans="13:15" ht="16" x14ac:dyDescent="0.2">
      <c r="M770" s="12"/>
      <c r="N770" s="13"/>
      <c r="O770" s="16"/>
    </row>
    <row r="771" spans="13:15" ht="16" x14ac:dyDescent="0.2">
      <c r="M771" s="12"/>
      <c r="N771" s="13"/>
      <c r="O771" s="16"/>
    </row>
    <row r="772" spans="13:15" ht="16" x14ac:dyDescent="0.2">
      <c r="M772" s="12"/>
      <c r="N772" s="13"/>
      <c r="O772" s="16"/>
    </row>
    <row r="773" spans="13:15" ht="16" x14ac:dyDescent="0.2">
      <c r="M773" s="12"/>
      <c r="N773" s="13"/>
      <c r="O773" s="16"/>
    </row>
    <row r="774" spans="13:15" ht="16" x14ac:dyDescent="0.2">
      <c r="M774" s="12"/>
      <c r="N774" s="13"/>
      <c r="O774" s="16"/>
    </row>
    <row r="775" spans="13:15" ht="16" x14ac:dyDescent="0.2">
      <c r="M775" s="12"/>
      <c r="N775" s="13"/>
      <c r="O775" s="16"/>
    </row>
    <row r="776" spans="13:15" ht="16" x14ac:dyDescent="0.2">
      <c r="M776" s="12"/>
      <c r="N776" s="13"/>
      <c r="O776" s="16"/>
    </row>
    <row r="777" spans="13:15" ht="16" x14ac:dyDescent="0.2">
      <c r="M777" s="12"/>
      <c r="N777" s="13"/>
      <c r="O777" s="16"/>
    </row>
    <row r="778" spans="13:15" ht="16" x14ac:dyDescent="0.2">
      <c r="M778" s="12"/>
      <c r="N778" s="13"/>
      <c r="O778" s="16"/>
    </row>
    <row r="779" spans="13:15" ht="16" x14ac:dyDescent="0.2">
      <c r="M779" s="12"/>
      <c r="N779" s="13"/>
      <c r="O779" s="16"/>
    </row>
    <row r="780" spans="13:15" ht="16" x14ac:dyDescent="0.2">
      <c r="M780" s="12"/>
      <c r="N780" s="13"/>
      <c r="O780" s="16"/>
    </row>
    <row r="781" spans="13:15" ht="16" x14ac:dyDescent="0.2">
      <c r="M781" s="12"/>
      <c r="N781" s="13"/>
      <c r="O781" s="16"/>
    </row>
    <row r="782" spans="13:15" ht="16" x14ac:dyDescent="0.2">
      <c r="M782" s="12"/>
      <c r="N782" s="13"/>
      <c r="O782" s="16"/>
    </row>
    <row r="783" spans="13:15" ht="16" x14ac:dyDescent="0.2">
      <c r="M783" s="12"/>
      <c r="N783" s="13"/>
      <c r="O783" s="16"/>
    </row>
    <row r="784" spans="13:15" ht="16" x14ac:dyDescent="0.2">
      <c r="M784" s="12"/>
      <c r="N784" s="13"/>
      <c r="O784" s="16"/>
    </row>
    <row r="785" spans="13:15" ht="16" x14ac:dyDescent="0.2">
      <c r="M785" s="12"/>
      <c r="N785" s="13"/>
      <c r="O785" s="16"/>
    </row>
    <row r="786" spans="13:15" ht="16" x14ac:dyDescent="0.2">
      <c r="M786" s="12"/>
      <c r="N786" s="13"/>
      <c r="O786" s="16"/>
    </row>
    <row r="787" spans="13:15" ht="16" x14ac:dyDescent="0.2">
      <c r="M787" s="12"/>
      <c r="N787" s="13"/>
      <c r="O787" s="16"/>
    </row>
    <row r="788" spans="13:15" ht="16" x14ac:dyDescent="0.2">
      <c r="M788" s="12"/>
      <c r="N788" s="13"/>
      <c r="O788" s="16"/>
    </row>
    <row r="789" spans="13:15" ht="16" x14ac:dyDescent="0.2">
      <c r="M789" s="12"/>
      <c r="N789" s="13"/>
      <c r="O789" s="16"/>
    </row>
    <row r="790" spans="13:15" ht="16" x14ac:dyDescent="0.2">
      <c r="M790" s="12"/>
      <c r="N790" s="13"/>
      <c r="O790" s="16"/>
    </row>
    <row r="791" spans="13:15" ht="16" x14ac:dyDescent="0.2">
      <c r="M791" s="12"/>
      <c r="N791" s="13"/>
      <c r="O791" s="16"/>
    </row>
    <row r="792" spans="13:15" ht="16" x14ac:dyDescent="0.2">
      <c r="M792" s="12"/>
      <c r="N792" s="13"/>
      <c r="O792" s="16"/>
    </row>
    <row r="793" spans="13:15" ht="16" x14ac:dyDescent="0.2">
      <c r="M793" s="12"/>
      <c r="N793" s="13"/>
      <c r="O793" s="16"/>
    </row>
    <row r="794" spans="13:15" ht="16" x14ac:dyDescent="0.2">
      <c r="M794" s="12"/>
      <c r="N794" s="13"/>
      <c r="O794" s="16"/>
    </row>
    <row r="795" spans="13:15" ht="16" x14ac:dyDescent="0.2">
      <c r="M795" s="12"/>
      <c r="N795" s="13"/>
      <c r="O795" s="16"/>
    </row>
    <row r="796" spans="13:15" ht="16" x14ac:dyDescent="0.2">
      <c r="M796" s="12"/>
      <c r="N796" s="13"/>
      <c r="O796" s="16"/>
    </row>
    <row r="797" spans="13:15" ht="16" x14ac:dyDescent="0.2">
      <c r="M797" s="12"/>
      <c r="N797" s="13"/>
      <c r="O797" s="16"/>
    </row>
    <row r="798" spans="13:15" ht="16" x14ac:dyDescent="0.2">
      <c r="M798" s="12"/>
      <c r="N798" s="13"/>
      <c r="O798" s="16"/>
    </row>
    <row r="799" spans="13:15" ht="16" x14ac:dyDescent="0.2">
      <c r="M799" s="12"/>
      <c r="N799" s="13"/>
      <c r="O799" s="16"/>
    </row>
    <row r="800" spans="13:15" ht="16" x14ac:dyDescent="0.2">
      <c r="M800" s="12"/>
      <c r="N800" s="13"/>
      <c r="O800" s="16"/>
    </row>
    <row r="801" spans="13:15" ht="16" x14ac:dyDescent="0.2">
      <c r="M801" s="12"/>
      <c r="N801" s="13"/>
      <c r="O801" s="16"/>
    </row>
    <row r="802" spans="13:15" ht="16" x14ac:dyDescent="0.2">
      <c r="M802" s="12"/>
      <c r="N802" s="13"/>
      <c r="O802" s="16"/>
    </row>
    <row r="803" spans="13:15" ht="16" x14ac:dyDescent="0.2">
      <c r="M803" s="12"/>
      <c r="N803" s="13"/>
      <c r="O803" s="16"/>
    </row>
    <row r="804" spans="13:15" ht="16" x14ac:dyDescent="0.2">
      <c r="M804" s="12"/>
      <c r="N804" s="13"/>
      <c r="O804" s="16"/>
    </row>
    <row r="805" spans="13:15" ht="16" x14ac:dyDescent="0.2">
      <c r="M805" s="12"/>
      <c r="N805" s="13"/>
      <c r="O805" s="16"/>
    </row>
    <row r="806" spans="13:15" ht="16" x14ac:dyDescent="0.2">
      <c r="M806" s="12"/>
      <c r="N806" s="13"/>
      <c r="O806" s="16"/>
    </row>
    <row r="807" spans="13:15" ht="16" x14ac:dyDescent="0.2">
      <c r="M807" s="12"/>
      <c r="N807" s="13"/>
      <c r="O807" s="16"/>
    </row>
    <row r="808" spans="13:15" ht="16" x14ac:dyDescent="0.2">
      <c r="M808" s="12"/>
      <c r="N808" s="13"/>
      <c r="O808" s="16"/>
    </row>
    <row r="809" spans="13:15" ht="16" x14ac:dyDescent="0.2">
      <c r="M809" s="12"/>
      <c r="N809" s="13"/>
      <c r="O809" s="16"/>
    </row>
    <row r="810" spans="13:15" ht="16" x14ac:dyDescent="0.2">
      <c r="M810" s="12"/>
      <c r="N810" s="13"/>
      <c r="O810" s="16"/>
    </row>
    <row r="811" spans="13:15" ht="16" x14ac:dyDescent="0.2">
      <c r="M811" s="12"/>
      <c r="N811" s="13"/>
      <c r="O811" s="16"/>
    </row>
    <row r="812" spans="13:15" ht="16" x14ac:dyDescent="0.2">
      <c r="M812" s="12"/>
      <c r="N812" s="13"/>
      <c r="O812" s="16"/>
    </row>
    <row r="813" spans="13:15" ht="16" x14ac:dyDescent="0.2">
      <c r="M813" s="12"/>
      <c r="N813" s="13"/>
      <c r="O813" s="16"/>
    </row>
    <row r="814" spans="13:15" ht="16" x14ac:dyDescent="0.2">
      <c r="M814" s="12"/>
      <c r="N814" s="13"/>
      <c r="O814" s="16"/>
    </row>
    <row r="815" spans="13:15" ht="16" x14ac:dyDescent="0.2">
      <c r="M815" s="12"/>
      <c r="N815" s="13"/>
      <c r="O815" s="16"/>
    </row>
    <row r="816" spans="13:15" ht="16" x14ac:dyDescent="0.2">
      <c r="M816" s="12"/>
      <c r="N816" s="13"/>
      <c r="O816" s="16"/>
    </row>
    <row r="817" spans="13:15" ht="16" x14ac:dyDescent="0.2">
      <c r="M817" s="12"/>
      <c r="N817" s="13"/>
      <c r="O817" s="16"/>
    </row>
    <row r="818" spans="13:15" ht="16" x14ac:dyDescent="0.2">
      <c r="M818" s="12"/>
      <c r="N818" s="13"/>
      <c r="O818" s="16"/>
    </row>
    <row r="819" spans="13:15" ht="16" x14ac:dyDescent="0.2">
      <c r="M819" s="12"/>
      <c r="N819" s="13"/>
      <c r="O819" s="16"/>
    </row>
    <row r="820" spans="13:15" ht="16" x14ac:dyDescent="0.2">
      <c r="M820" s="12"/>
      <c r="N820" s="13"/>
      <c r="O820" s="16"/>
    </row>
    <row r="821" spans="13:15" ht="16" x14ac:dyDescent="0.2">
      <c r="M821" s="12"/>
      <c r="N821" s="13"/>
      <c r="O821" s="16"/>
    </row>
    <row r="822" spans="13:15" ht="16" x14ac:dyDescent="0.2">
      <c r="M822" s="12"/>
      <c r="N822" s="13"/>
      <c r="O822" s="16"/>
    </row>
    <row r="823" spans="13:15" ht="16" x14ac:dyDescent="0.2">
      <c r="M823" s="12"/>
      <c r="N823" s="13"/>
      <c r="O823" s="16"/>
    </row>
    <row r="824" spans="13:15" ht="16" x14ac:dyDescent="0.2">
      <c r="M824" s="12"/>
      <c r="N824" s="13"/>
      <c r="O824" s="16"/>
    </row>
    <row r="825" spans="13:15" ht="16" x14ac:dyDescent="0.2">
      <c r="M825" s="12"/>
      <c r="N825" s="13"/>
      <c r="O825" s="16"/>
    </row>
    <row r="826" spans="13:15" ht="16" x14ac:dyDescent="0.2">
      <c r="M826" s="12"/>
      <c r="N826" s="13"/>
      <c r="O826" s="16"/>
    </row>
    <row r="827" spans="13:15" ht="16" x14ac:dyDescent="0.2">
      <c r="M827" s="12"/>
      <c r="N827" s="13"/>
      <c r="O827" s="16"/>
    </row>
    <row r="828" spans="13:15" ht="16" x14ac:dyDescent="0.2">
      <c r="M828" s="12"/>
      <c r="N828" s="13"/>
      <c r="O828" s="16"/>
    </row>
    <row r="829" spans="13:15" ht="16" x14ac:dyDescent="0.2">
      <c r="M829" s="12"/>
      <c r="N829" s="13"/>
      <c r="O829" s="16"/>
    </row>
    <row r="830" spans="13:15" ht="16" x14ac:dyDescent="0.2">
      <c r="M830" s="12"/>
      <c r="N830" s="13"/>
      <c r="O830" s="16"/>
    </row>
    <row r="831" spans="13:15" ht="16" x14ac:dyDescent="0.2">
      <c r="M831" s="12"/>
      <c r="N831" s="13"/>
      <c r="O831" s="16"/>
    </row>
    <row r="832" spans="13:15" ht="16" x14ac:dyDescent="0.2">
      <c r="M832" s="12"/>
      <c r="N832" s="13"/>
      <c r="O832" s="16"/>
    </row>
    <row r="833" spans="13:15" ht="16" x14ac:dyDescent="0.2">
      <c r="M833" s="12"/>
      <c r="N833" s="13"/>
      <c r="O833" s="16"/>
    </row>
    <row r="834" spans="13:15" ht="16" x14ac:dyDescent="0.2">
      <c r="M834" s="12"/>
      <c r="N834" s="13"/>
      <c r="O834" s="16"/>
    </row>
    <row r="835" spans="13:15" ht="16" x14ac:dyDescent="0.2">
      <c r="M835" s="12"/>
      <c r="N835" s="13"/>
      <c r="O835" s="16"/>
    </row>
    <row r="836" spans="13:15" ht="16" x14ac:dyDescent="0.2">
      <c r="M836" s="12"/>
      <c r="N836" s="13"/>
      <c r="O836" s="16"/>
    </row>
    <row r="837" spans="13:15" ht="16" x14ac:dyDescent="0.2">
      <c r="M837" s="12"/>
      <c r="N837" s="13"/>
      <c r="O837" s="16"/>
    </row>
    <row r="838" spans="13:15" ht="16" x14ac:dyDescent="0.2">
      <c r="M838" s="12"/>
      <c r="N838" s="13"/>
      <c r="O838" s="16"/>
    </row>
    <row r="839" spans="13:15" ht="16" x14ac:dyDescent="0.2">
      <c r="M839" s="12"/>
      <c r="N839" s="13"/>
      <c r="O839" s="16"/>
    </row>
    <row r="840" spans="13:15" ht="16" x14ac:dyDescent="0.2">
      <c r="M840" s="12"/>
      <c r="N840" s="13"/>
      <c r="O840" s="16"/>
    </row>
    <row r="841" spans="13:15" ht="16" x14ac:dyDescent="0.2">
      <c r="M841" s="12"/>
      <c r="N841" s="13"/>
      <c r="O841" s="16"/>
    </row>
    <row r="842" spans="13:15" ht="16" x14ac:dyDescent="0.2">
      <c r="M842" s="12"/>
      <c r="N842" s="13"/>
      <c r="O842" s="16"/>
    </row>
    <row r="843" spans="13:15" ht="16" x14ac:dyDescent="0.2">
      <c r="M843" s="12"/>
      <c r="N843" s="13"/>
      <c r="O843" s="16"/>
    </row>
    <row r="844" spans="13:15" ht="16" x14ac:dyDescent="0.2">
      <c r="M844" s="12"/>
      <c r="N844" s="13"/>
      <c r="O844" s="16"/>
    </row>
    <row r="845" spans="13:15" ht="16" x14ac:dyDescent="0.2">
      <c r="M845" s="12"/>
      <c r="N845" s="13"/>
      <c r="O845" s="16"/>
    </row>
    <row r="846" spans="13:15" ht="16" x14ac:dyDescent="0.2">
      <c r="M846" s="12"/>
      <c r="N846" s="13"/>
      <c r="O846" s="16"/>
    </row>
    <row r="847" spans="13:15" ht="16" x14ac:dyDescent="0.2">
      <c r="M847" s="12"/>
      <c r="N847" s="13"/>
      <c r="O847" s="16"/>
    </row>
    <row r="848" spans="13:15" ht="16" x14ac:dyDescent="0.2">
      <c r="M848" s="12"/>
      <c r="N848" s="13"/>
      <c r="O848" s="16"/>
    </row>
    <row r="849" spans="13:15" ht="16" x14ac:dyDescent="0.2">
      <c r="M849" s="12"/>
      <c r="N849" s="13"/>
      <c r="O849" s="16"/>
    </row>
    <row r="850" spans="13:15" ht="16" x14ac:dyDescent="0.2">
      <c r="M850" s="12"/>
      <c r="N850" s="13"/>
      <c r="O850" s="16"/>
    </row>
    <row r="851" spans="13:15" ht="16" x14ac:dyDescent="0.2">
      <c r="M851" s="12"/>
      <c r="N851" s="13"/>
      <c r="O851" s="16"/>
    </row>
    <row r="852" spans="13:15" ht="16" x14ac:dyDescent="0.2">
      <c r="M852" s="12"/>
      <c r="N852" s="13"/>
      <c r="O852" s="16"/>
    </row>
    <row r="853" spans="13:15" ht="16" x14ac:dyDescent="0.2">
      <c r="M853" s="12"/>
      <c r="N853" s="13"/>
      <c r="O853" s="16"/>
    </row>
    <row r="854" spans="13:15" ht="16" x14ac:dyDescent="0.2">
      <c r="M854" s="12"/>
      <c r="N854" s="13"/>
      <c r="O854" s="16"/>
    </row>
    <row r="855" spans="13:15" ht="16" x14ac:dyDescent="0.2">
      <c r="M855" s="12"/>
      <c r="N855" s="13"/>
      <c r="O855" s="16"/>
    </row>
    <row r="856" spans="13:15" ht="16" x14ac:dyDescent="0.2">
      <c r="M856" s="12"/>
      <c r="N856" s="13"/>
      <c r="O856" s="16"/>
    </row>
    <row r="857" spans="13:15" ht="16" x14ac:dyDescent="0.2">
      <c r="M857" s="12"/>
      <c r="N857" s="13"/>
      <c r="O857" s="16"/>
    </row>
    <row r="858" spans="13:15" ht="16" x14ac:dyDescent="0.2">
      <c r="M858" s="12"/>
      <c r="N858" s="13"/>
      <c r="O858" s="16"/>
    </row>
    <row r="859" spans="13:15" ht="16" x14ac:dyDescent="0.2">
      <c r="M859" s="12"/>
      <c r="N859" s="13"/>
      <c r="O859" s="16"/>
    </row>
    <row r="860" spans="13:15" ht="16" x14ac:dyDescent="0.2">
      <c r="M860" s="12"/>
      <c r="N860" s="13"/>
      <c r="O860" s="16"/>
    </row>
    <row r="861" spans="13:15" ht="16" x14ac:dyDescent="0.2">
      <c r="M861" s="12"/>
      <c r="N861" s="13"/>
      <c r="O861" s="16"/>
    </row>
    <row r="862" spans="13:15" ht="16" x14ac:dyDescent="0.2">
      <c r="M862" s="12"/>
      <c r="N862" s="13"/>
      <c r="O862" s="16"/>
    </row>
    <row r="863" spans="13:15" ht="16" x14ac:dyDescent="0.2">
      <c r="M863" s="12"/>
      <c r="N863" s="13"/>
      <c r="O863" s="16"/>
    </row>
    <row r="864" spans="13:15" ht="16" x14ac:dyDescent="0.2">
      <c r="M864" s="12"/>
      <c r="N864" s="13"/>
      <c r="O864" s="16"/>
    </row>
    <row r="865" spans="13:15" ht="16" x14ac:dyDescent="0.2">
      <c r="M865" s="12"/>
      <c r="N865" s="13"/>
      <c r="O865" s="16"/>
    </row>
    <row r="866" spans="13:15" ht="16" x14ac:dyDescent="0.2">
      <c r="M866" s="12"/>
      <c r="N866" s="13"/>
      <c r="O866" s="16"/>
    </row>
    <row r="867" spans="13:15" ht="16" x14ac:dyDescent="0.2">
      <c r="M867" s="12"/>
      <c r="N867" s="13"/>
      <c r="O867" s="16"/>
    </row>
    <row r="868" spans="13:15" ht="16" x14ac:dyDescent="0.2">
      <c r="M868" s="12"/>
      <c r="N868" s="13"/>
      <c r="O868" s="16"/>
    </row>
    <row r="869" spans="13:15" ht="16" x14ac:dyDescent="0.2">
      <c r="M869" s="12"/>
      <c r="N869" s="13"/>
      <c r="O869" s="16"/>
    </row>
    <row r="870" spans="13:15" ht="16" x14ac:dyDescent="0.2">
      <c r="M870" s="12"/>
      <c r="N870" s="13"/>
      <c r="O870" s="16"/>
    </row>
    <row r="871" spans="13:15" ht="16" x14ac:dyDescent="0.2">
      <c r="M871" s="12"/>
      <c r="N871" s="13"/>
      <c r="O871" s="16"/>
    </row>
    <row r="872" spans="13:15" ht="16" x14ac:dyDescent="0.2">
      <c r="M872" s="12"/>
      <c r="N872" s="13"/>
      <c r="O872" s="16"/>
    </row>
    <row r="873" spans="13:15" ht="16" x14ac:dyDescent="0.2">
      <c r="M873" s="12"/>
      <c r="N873" s="13"/>
      <c r="O873" s="16"/>
    </row>
    <row r="874" spans="13:15" ht="16" x14ac:dyDescent="0.2">
      <c r="M874" s="12"/>
      <c r="N874" s="13"/>
      <c r="O874" s="16"/>
    </row>
    <row r="875" spans="13:15" ht="16" x14ac:dyDescent="0.2">
      <c r="M875" s="12"/>
      <c r="N875" s="13"/>
      <c r="O875" s="16"/>
    </row>
    <row r="876" spans="13:15" ht="16" x14ac:dyDescent="0.2">
      <c r="M876" s="12"/>
      <c r="N876" s="13"/>
      <c r="O876" s="16"/>
    </row>
    <row r="877" spans="13:15" ht="16" x14ac:dyDescent="0.2">
      <c r="M877" s="12"/>
      <c r="N877" s="13"/>
      <c r="O877" s="16"/>
    </row>
    <row r="878" spans="13:15" ht="16" x14ac:dyDescent="0.2">
      <c r="M878" s="12"/>
      <c r="N878" s="13"/>
      <c r="O878" s="16"/>
    </row>
    <row r="879" spans="13:15" ht="16" x14ac:dyDescent="0.2">
      <c r="M879" s="12"/>
      <c r="N879" s="13"/>
      <c r="O879" s="16"/>
    </row>
    <row r="880" spans="13:15" ht="16" x14ac:dyDescent="0.2">
      <c r="M880" s="12"/>
      <c r="N880" s="13"/>
      <c r="O880" s="16"/>
    </row>
    <row r="881" spans="13:15" ht="16" x14ac:dyDescent="0.2">
      <c r="M881" s="12"/>
      <c r="N881" s="13"/>
      <c r="O881" s="16"/>
    </row>
    <row r="882" spans="13:15" ht="16" x14ac:dyDescent="0.2">
      <c r="M882" s="12"/>
      <c r="N882" s="13"/>
      <c r="O882" s="16"/>
    </row>
    <row r="883" spans="13:15" ht="16" x14ac:dyDescent="0.2">
      <c r="M883" s="12"/>
      <c r="N883" s="13"/>
      <c r="O883" s="16"/>
    </row>
    <row r="884" spans="13:15" ht="16" x14ac:dyDescent="0.2">
      <c r="M884" s="12"/>
      <c r="N884" s="13"/>
      <c r="O884" s="16"/>
    </row>
    <row r="885" spans="13:15" ht="16" x14ac:dyDescent="0.2">
      <c r="M885" s="12"/>
      <c r="N885" s="13"/>
      <c r="O885" s="16"/>
    </row>
    <row r="886" spans="13:15" ht="16" x14ac:dyDescent="0.2">
      <c r="M886" s="12"/>
      <c r="N886" s="13"/>
      <c r="O886" s="16"/>
    </row>
    <row r="887" spans="13:15" ht="16" x14ac:dyDescent="0.2">
      <c r="M887" s="12"/>
      <c r="N887" s="13"/>
      <c r="O887" s="16"/>
    </row>
    <row r="888" spans="13:15" ht="16" x14ac:dyDescent="0.2">
      <c r="M888" s="12"/>
      <c r="N888" s="13"/>
      <c r="O888" s="16"/>
    </row>
    <row r="889" spans="13:15" ht="16" x14ac:dyDescent="0.2">
      <c r="M889" s="12"/>
      <c r="N889" s="13"/>
      <c r="O889" s="16"/>
    </row>
    <row r="890" spans="13:15" ht="16" x14ac:dyDescent="0.2">
      <c r="M890" s="12"/>
      <c r="N890" s="13"/>
      <c r="O890" s="16"/>
    </row>
    <row r="891" spans="13:15" ht="16" x14ac:dyDescent="0.2">
      <c r="M891" s="12"/>
      <c r="N891" s="13"/>
      <c r="O891" s="16"/>
    </row>
    <row r="892" spans="13:15" ht="16" x14ac:dyDescent="0.2">
      <c r="M892" s="12"/>
      <c r="N892" s="13"/>
      <c r="O892" s="16"/>
    </row>
    <row r="893" spans="13:15" ht="16" x14ac:dyDescent="0.2">
      <c r="M893" s="12"/>
      <c r="N893" s="13"/>
      <c r="O893" s="16"/>
    </row>
    <row r="894" spans="13:15" ht="16" x14ac:dyDescent="0.2">
      <c r="M894" s="12"/>
      <c r="N894" s="13"/>
      <c r="O894" s="16"/>
    </row>
    <row r="895" spans="13:15" ht="16" x14ac:dyDescent="0.2">
      <c r="M895" s="12"/>
      <c r="N895" s="13"/>
      <c r="O895" s="16"/>
    </row>
    <row r="896" spans="13:15" ht="16" x14ac:dyDescent="0.2">
      <c r="M896" s="12"/>
      <c r="N896" s="13"/>
      <c r="O896" s="16"/>
    </row>
    <row r="897" spans="13:15" ht="16" x14ac:dyDescent="0.2">
      <c r="M897" s="12"/>
      <c r="N897" s="13"/>
      <c r="O897" s="16"/>
    </row>
    <row r="898" spans="13:15" ht="16" x14ac:dyDescent="0.2">
      <c r="M898" s="12"/>
      <c r="N898" s="13"/>
      <c r="O898" s="16"/>
    </row>
    <row r="899" spans="13:15" ht="16" x14ac:dyDescent="0.2">
      <c r="M899" s="12"/>
      <c r="N899" s="13"/>
      <c r="O899" s="16"/>
    </row>
    <row r="900" spans="13:15" ht="16" x14ac:dyDescent="0.2">
      <c r="M900" s="12"/>
      <c r="N900" s="13"/>
      <c r="O900" s="16"/>
    </row>
    <row r="901" spans="13:15" ht="16" x14ac:dyDescent="0.2">
      <c r="M901" s="12"/>
      <c r="N901" s="13"/>
      <c r="O901" s="16"/>
    </row>
    <row r="902" spans="13:15" ht="16" x14ac:dyDescent="0.2">
      <c r="M902" s="12"/>
      <c r="N902" s="13"/>
      <c r="O902" s="16"/>
    </row>
    <row r="903" spans="13:15" ht="16" x14ac:dyDescent="0.2">
      <c r="M903" s="12"/>
      <c r="N903" s="13"/>
      <c r="O903" s="16"/>
    </row>
    <row r="904" spans="13:15" ht="16" x14ac:dyDescent="0.2">
      <c r="M904" s="12"/>
      <c r="N904" s="13"/>
      <c r="O904" s="16"/>
    </row>
    <row r="905" spans="13:15" ht="16" x14ac:dyDescent="0.2">
      <c r="M905" s="12"/>
      <c r="N905" s="13"/>
      <c r="O905" s="16"/>
    </row>
    <row r="906" spans="13:15" ht="16" x14ac:dyDescent="0.2">
      <c r="M906" s="12"/>
      <c r="N906" s="13"/>
      <c r="O906" s="16"/>
    </row>
    <row r="907" spans="13:15" ht="16" x14ac:dyDescent="0.2">
      <c r="M907" s="12"/>
      <c r="N907" s="13"/>
      <c r="O907" s="16"/>
    </row>
    <row r="908" spans="13:15" ht="16" x14ac:dyDescent="0.2">
      <c r="M908" s="12"/>
      <c r="N908" s="13"/>
      <c r="O908" s="16"/>
    </row>
    <row r="909" spans="13:15" ht="16" x14ac:dyDescent="0.2">
      <c r="M909" s="12"/>
      <c r="N909" s="13"/>
      <c r="O909" s="16"/>
    </row>
    <row r="910" spans="13:15" ht="16" x14ac:dyDescent="0.2">
      <c r="M910" s="12"/>
      <c r="N910" s="13"/>
      <c r="O910" s="16"/>
    </row>
    <row r="911" spans="13:15" ht="16" x14ac:dyDescent="0.2">
      <c r="M911" s="12"/>
      <c r="N911" s="13"/>
      <c r="O911" s="16"/>
    </row>
    <row r="912" spans="13:15" ht="16" x14ac:dyDescent="0.2">
      <c r="M912" s="12"/>
      <c r="N912" s="13"/>
      <c r="O912" s="16"/>
    </row>
    <row r="913" spans="13:15" ht="16" x14ac:dyDescent="0.2">
      <c r="M913" s="12"/>
      <c r="N913" s="13"/>
      <c r="O913" s="16"/>
    </row>
    <row r="914" spans="13:15" ht="16" x14ac:dyDescent="0.2">
      <c r="M914" s="12"/>
      <c r="N914" s="13"/>
      <c r="O914" s="16"/>
    </row>
    <row r="915" spans="13:15" ht="16" x14ac:dyDescent="0.2">
      <c r="M915" s="12"/>
      <c r="N915" s="13"/>
      <c r="O915" s="16"/>
    </row>
    <row r="916" spans="13:15" ht="16" x14ac:dyDescent="0.2">
      <c r="M916" s="12"/>
      <c r="N916" s="13"/>
      <c r="O916" s="16"/>
    </row>
    <row r="917" spans="13:15" ht="16" x14ac:dyDescent="0.2">
      <c r="M917" s="12"/>
      <c r="N917" s="13"/>
      <c r="O917" s="16"/>
    </row>
    <row r="918" spans="13:15" ht="16" x14ac:dyDescent="0.2">
      <c r="M918" s="12"/>
      <c r="N918" s="13"/>
      <c r="O918" s="16"/>
    </row>
    <row r="919" spans="13:15" ht="16" x14ac:dyDescent="0.2">
      <c r="M919" s="12"/>
      <c r="N919" s="13"/>
      <c r="O919" s="16"/>
    </row>
    <row r="920" spans="13:15" ht="16" x14ac:dyDescent="0.2">
      <c r="M920" s="12"/>
      <c r="N920" s="13"/>
      <c r="O920" s="16"/>
    </row>
    <row r="921" spans="13:15" ht="16" x14ac:dyDescent="0.2">
      <c r="M921" s="12"/>
      <c r="N921" s="13"/>
      <c r="O921" s="16"/>
    </row>
    <row r="922" spans="13:15" ht="16" x14ac:dyDescent="0.2">
      <c r="M922" s="12"/>
      <c r="N922" s="13"/>
      <c r="O922" s="16"/>
    </row>
    <row r="923" spans="13:15" ht="16" x14ac:dyDescent="0.2">
      <c r="M923" s="12"/>
      <c r="N923" s="13"/>
      <c r="O923" s="16"/>
    </row>
    <row r="924" spans="13:15" ht="16" x14ac:dyDescent="0.2">
      <c r="M924" s="12"/>
      <c r="N924" s="13"/>
      <c r="O924" s="16"/>
    </row>
    <row r="925" spans="13:15" ht="16" x14ac:dyDescent="0.2">
      <c r="M925" s="12"/>
      <c r="N925" s="13"/>
      <c r="O925" s="16"/>
    </row>
    <row r="926" spans="13:15" ht="16" x14ac:dyDescent="0.2">
      <c r="M926" s="12"/>
      <c r="N926" s="13"/>
      <c r="O926" s="16"/>
    </row>
    <row r="927" spans="13:15" ht="16" x14ac:dyDescent="0.2">
      <c r="M927" s="12"/>
      <c r="N927" s="13"/>
      <c r="O927" s="16"/>
    </row>
    <row r="928" spans="13:15" ht="16" x14ac:dyDescent="0.2">
      <c r="M928" s="12"/>
      <c r="N928" s="13"/>
      <c r="O928" s="16"/>
    </row>
    <row r="929" spans="13:15" ht="16" x14ac:dyDescent="0.2">
      <c r="M929" s="12"/>
      <c r="N929" s="13"/>
      <c r="O929" s="16"/>
    </row>
    <row r="930" spans="13:15" ht="16" x14ac:dyDescent="0.2">
      <c r="M930" s="12"/>
      <c r="N930" s="13"/>
      <c r="O930" s="16"/>
    </row>
    <row r="931" spans="13:15" ht="16" x14ac:dyDescent="0.2">
      <c r="M931" s="12"/>
      <c r="N931" s="13"/>
      <c r="O931" s="16"/>
    </row>
    <row r="932" spans="13:15" ht="16" x14ac:dyDescent="0.2">
      <c r="M932" s="12"/>
      <c r="N932" s="13"/>
      <c r="O932" s="16"/>
    </row>
    <row r="933" spans="13:15" ht="16" x14ac:dyDescent="0.2">
      <c r="M933" s="12"/>
      <c r="N933" s="13"/>
      <c r="O933" s="16"/>
    </row>
    <row r="934" spans="13:15" ht="16" x14ac:dyDescent="0.2">
      <c r="M934" s="12"/>
      <c r="N934" s="13"/>
      <c r="O934" s="16"/>
    </row>
    <row r="935" spans="13:15" ht="16" x14ac:dyDescent="0.2">
      <c r="M935" s="12"/>
      <c r="N935" s="13"/>
      <c r="O935" s="16"/>
    </row>
    <row r="936" spans="13:15" ht="16" x14ac:dyDescent="0.2">
      <c r="M936" s="12"/>
      <c r="N936" s="13"/>
      <c r="O936" s="16"/>
    </row>
    <row r="937" spans="13:15" ht="16" x14ac:dyDescent="0.2">
      <c r="M937" s="12"/>
      <c r="N937" s="13"/>
      <c r="O937" s="16"/>
    </row>
    <row r="938" spans="13:15" ht="16" x14ac:dyDescent="0.2">
      <c r="M938" s="12"/>
      <c r="N938" s="13"/>
      <c r="O938" s="16"/>
    </row>
    <row r="939" spans="13:15" ht="16" x14ac:dyDescent="0.2">
      <c r="M939" s="12"/>
      <c r="N939" s="13"/>
      <c r="O939" s="16"/>
    </row>
    <row r="940" spans="13:15" ht="16" x14ac:dyDescent="0.2">
      <c r="M940" s="12"/>
      <c r="N940" s="13"/>
      <c r="O940" s="16"/>
    </row>
    <row r="941" spans="13:15" ht="16" x14ac:dyDescent="0.2">
      <c r="M941" s="12"/>
      <c r="N941" s="13"/>
      <c r="O941" s="16"/>
    </row>
    <row r="942" spans="13:15" ht="16" x14ac:dyDescent="0.2">
      <c r="M942" s="12"/>
      <c r="N942" s="13"/>
      <c r="O942" s="16"/>
    </row>
    <row r="943" spans="13:15" ht="16" x14ac:dyDescent="0.2">
      <c r="M943" s="12"/>
      <c r="N943" s="13"/>
      <c r="O943" s="16"/>
    </row>
    <row r="944" spans="13:15" ht="16" x14ac:dyDescent="0.2">
      <c r="M944" s="12"/>
      <c r="N944" s="13"/>
      <c r="O944" s="16"/>
    </row>
    <row r="945" spans="13:15" ht="16" x14ac:dyDescent="0.2">
      <c r="M945" s="12"/>
      <c r="N945" s="13"/>
      <c r="O945" s="16"/>
    </row>
    <row r="946" spans="13:15" ht="16" x14ac:dyDescent="0.2">
      <c r="M946" s="12"/>
      <c r="N946" s="13"/>
      <c r="O946" s="16"/>
    </row>
    <row r="947" spans="13:15" ht="16" x14ac:dyDescent="0.2">
      <c r="M947" s="12"/>
      <c r="N947" s="13"/>
      <c r="O947" s="16"/>
    </row>
    <row r="948" spans="13:15" ht="16" x14ac:dyDescent="0.2">
      <c r="M948" s="12"/>
      <c r="N948" s="13"/>
      <c r="O948" s="16"/>
    </row>
    <row r="949" spans="13:15" ht="16" x14ac:dyDescent="0.2">
      <c r="M949" s="12"/>
      <c r="N949" s="13"/>
      <c r="O949" s="16"/>
    </row>
    <row r="950" spans="13:15" ht="16" x14ac:dyDescent="0.2">
      <c r="M950" s="12"/>
      <c r="N950" s="13"/>
      <c r="O950" s="16"/>
    </row>
    <row r="951" spans="13:15" ht="16" x14ac:dyDescent="0.2">
      <c r="M951" s="12"/>
      <c r="N951" s="13"/>
      <c r="O951" s="16"/>
    </row>
    <row r="952" spans="13:15" ht="16" x14ac:dyDescent="0.2">
      <c r="M952" s="12"/>
      <c r="N952" s="13"/>
      <c r="O952" s="16"/>
    </row>
    <row r="953" spans="13:15" ht="16" x14ac:dyDescent="0.2">
      <c r="M953" s="12"/>
      <c r="N953" s="13"/>
      <c r="O953" s="16"/>
    </row>
    <row r="954" spans="13:15" ht="16" x14ac:dyDescent="0.2">
      <c r="M954" s="12"/>
      <c r="N954" s="13"/>
      <c r="O954" s="16"/>
    </row>
    <row r="955" spans="13:15" ht="16" x14ac:dyDescent="0.2">
      <c r="M955" s="12"/>
      <c r="N955" s="13"/>
      <c r="O955" s="16"/>
    </row>
    <row r="956" spans="13:15" ht="16" x14ac:dyDescent="0.2">
      <c r="M956" s="12"/>
      <c r="N956" s="13"/>
      <c r="O956" s="16"/>
    </row>
    <row r="957" spans="13:15" ht="16" x14ac:dyDescent="0.2">
      <c r="M957" s="12"/>
      <c r="N957" s="13"/>
      <c r="O957" s="16"/>
    </row>
    <row r="958" spans="13:15" ht="16" x14ac:dyDescent="0.2">
      <c r="M958" s="12"/>
      <c r="N958" s="13"/>
      <c r="O958" s="16"/>
    </row>
    <row r="959" spans="13:15" ht="16" x14ac:dyDescent="0.2">
      <c r="M959" s="12"/>
      <c r="N959" s="13"/>
      <c r="O959" s="16"/>
    </row>
    <row r="960" spans="13:15" ht="16" x14ac:dyDescent="0.2">
      <c r="M960" s="12"/>
      <c r="N960" s="13"/>
      <c r="O960" s="16"/>
    </row>
    <row r="961" spans="13:15" ht="16" x14ac:dyDescent="0.2">
      <c r="M961" s="12"/>
      <c r="N961" s="13"/>
      <c r="O961" s="16"/>
    </row>
    <row r="962" spans="13:15" ht="16" x14ac:dyDescent="0.2">
      <c r="M962" s="12"/>
      <c r="N962" s="13"/>
      <c r="O962" s="16"/>
    </row>
    <row r="963" spans="13:15" ht="16" x14ac:dyDescent="0.2">
      <c r="M963" s="12"/>
      <c r="N963" s="13"/>
      <c r="O963" s="16"/>
    </row>
    <row r="964" spans="13:15" ht="16" x14ac:dyDescent="0.2">
      <c r="M964" s="12"/>
      <c r="N964" s="13"/>
      <c r="O964" s="16"/>
    </row>
    <row r="965" spans="13:15" ht="16" x14ac:dyDescent="0.2">
      <c r="M965" s="12"/>
      <c r="N965" s="13"/>
      <c r="O965" s="16"/>
    </row>
    <row r="966" spans="13:15" ht="16" x14ac:dyDescent="0.2">
      <c r="M966" s="12"/>
      <c r="N966" s="13"/>
      <c r="O966" s="16"/>
    </row>
    <row r="967" spans="13:15" ht="16" x14ac:dyDescent="0.2">
      <c r="M967" s="12"/>
      <c r="N967" s="13"/>
      <c r="O967" s="16"/>
    </row>
    <row r="968" spans="13:15" ht="16" x14ac:dyDescent="0.2">
      <c r="M968" s="12"/>
      <c r="N968" s="13"/>
      <c r="O968" s="16"/>
    </row>
    <row r="969" spans="13:15" ht="16" x14ac:dyDescent="0.2">
      <c r="M969" s="12"/>
      <c r="N969" s="13"/>
      <c r="O969" s="16"/>
    </row>
    <row r="970" spans="13:15" ht="16" x14ac:dyDescent="0.2">
      <c r="M970" s="12"/>
      <c r="N970" s="13"/>
      <c r="O970" s="16"/>
    </row>
    <row r="971" spans="13:15" ht="16" x14ac:dyDescent="0.2">
      <c r="M971" s="12"/>
      <c r="N971" s="13"/>
      <c r="O971" s="16"/>
    </row>
    <row r="972" spans="13:15" ht="16" x14ac:dyDescent="0.2">
      <c r="M972" s="12"/>
      <c r="N972" s="13"/>
      <c r="O972" s="16"/>
    </row>
    <row r="973" spans="13:15" ht="16" x14ac:dyDescent="0.2">
      <c r="M973" s="12"/>
      <c r="N973" s="13"/>
      <c r="O973" s="16"/>
    </row>
    <row r="974" spans="13:15" ht="16" x14ac:dyDescent="0.2">
      <c r="M974" s="12"/>
      <c r="N974" s="13"/>
      <c r="O974" s="16"/>
    </row>
    <row r="975" spans="13:15" ht="16" x14ac:dyDescent="0.2">
      <c r="M975" s="12"/>
      <c r="N975" s="13"/>
      <c r="O975" s="16"/>
    </row>
    <row r="976" spans="13:15" ht="16" x14ac:dyDescent="0.2">
      <c r="M976" s="12"/>
      <c r="N976" s="13"/>
      <c r="O976" s="16"/>
    </row>
    <row r="977" spans="13:15" ht="16" x14ac:dyDescent="0.2">
      <c r="M977" s="12"/>
      <c r="N977" s="13"/>
      <c r="O977" s="16"/>
    </row>
    <row r="978" spans="13:15" ht="16" x14ac:dyDescent="0.2">
      <c r="M978" s="12"/>
      <c r="N978" s="13"/>
      <c r="O978" s="16"/>
    </row>
    <row r="979" spans="13:15" ht="16" x14ac:dyDescent="0.2">
      <c r="M979" s="12"/>
      <c r="N979" s="13"/>
      <c r="O979" s="16"/>
    </row>
    <row r="980" spans="13:15" ht="16" x14ac:dyDescent="0.2">
      <c r="M980" s="12"/>
      <c r="N980" s="13"/>
      <c r="O980" s="16"/>
    </row>
    <row r="981" spans="13:15" ht="16" x14ac:dyDescent="0.2">
      <c r="M981" s="12"/>
      <c r="N981" s="13"/>
      <c r="O981" s="16"/>
    </row>
    <row r="982" spans="13:15" ht="16" x14ac:dyDescent="0.2">
      <c r="M982" s="12"/>
      <c r="N982" s="13"/>
      <c r="O982" s="16"/>
    </row>
    <row r="983" spans="13:15" ht="16" x14ac:dyDescent="0.2">
      <c r="M983" s="12"/>
      <c r="N983" s="13"/>
      <c r="O983" s="16"/>
    </row>
    <row r="984" spans="13:15" ht="16" x14ac:dyDescent="0.2">
      <c r="M984" s="12"/>
      <c r="N984" s="13"/>
      <c r="O984" s="16"/>
    </row>
    <row r="985" spans="13:15" ht="16" x14ac:dyDescent="0.2">
      <c r="M985" s="12"/>
      <c r="N985" s="13"/>
      <c r="O985" s="16"/>
    </row>
    <row r="986" spans="13:15" ht="16" x14ac:dyDescent="0.2">
      <c r="M986" s="12"/>
      <c r="N986" s="13"/>
      <c r="O986" s="16"/>
    </row>
    <row r="987" spans="13:15" ht="16" x14ac:dyDescent="0.2">
      <c r="M987" s="12"/>
      <c r="N987" s="13"/>
      <c r="O987" s="16"/>
    </row>
    <row r="988" spans="13:15" ht="16" x14ac:dyDescent="0.2">
      <c r="M988" s="12"/>
      <c r="N988" s="13"/>
      <c r="O988" s="16"/>
    </row>
    <row r="989" spans="13:15" ht="16" x14ac:dyDescent="0.2">
      <c r="M989" s="12"/>
      <c r="N989" s="13"/>
      <c r="O989" s="16"/>
    </row>
    <row r="990" spans="13:15" ht="16" x14ac:dyDescent="0.2">
      <c r="M990" s="12"/>
      <c r="N990" s="13"/>
      <c r="O990" s="16"/>
    </row>
    <row r="991" spans="13:15" ht="16" x14ac:dyDescent="0.2">
      <c r="M991" s="12"/>
      <c r="N991" s="13"/>
      <c r="O991" s="16"/>
    </row>
    <row r="992" spans="13:15" ht="16" x14ac:dyDescent="0.2">
      <c r="M992" s="12"/>
      <c r="N992" s="13"/>
      <c r="O992" s="16"/>
    </row>
    <row r="993" spans="13:15" ht="16" x14ac:dyDescent="0.2">
      <c r="M993" s="12"/>
      <c r="N993" s="13"/>
      <c r="O993" s="16"/>
    </row>
    <row r="994" spans="13:15" ht="16" x14ac:dyDescent="0.2">
      <c r="M994" s="12"/>
      <c r="N994" s="13"/>
      <c r="O994" s="16"/>
    </row>
    <row r="995" spans="13:15" ht="16" x14ac:dyDescent="0.2">
      <c r="M995" s="12"/>
      <c r="N995" s="13"/>
      <c r="O995" s="16"/>
    </row>
    <row r="996" spans="13:15" ht="16" x14ac:dyDescent="0.2">
      <c r="M996" s="12"/>
      <c r="N996" s="13"/>
      <c r="O996" s="16"/>
    </row>
    <row r="997" spans="13:15" ht="16" x14ac:dyDescent="0.2">
      <c r="M997" s="12"/>
      <c r="N997" s="13"/>
      <c r="O997" s="16"/>
    </row>
    <row r="998" spans="13:15" ht="16" x14ac:dyDescent="0.2">
      <c r="M998" s="12"/>
      <c r="N998" s="13"/>
      <c r="O998" s="16"/>
    </row>
    <row r="999" spans="13:15" ht="16" x14ac:dyDescent="0.2">
      <c r="M999" s="12"/>
      <c r="N999" s="13"/>
      <c r="O999" s="16"/>
    </row>
    <row r="1000" spans="13:15" ht="16" x14ac:dyDescent="0.2">
      <c r="M1000" s="12"/>
      <c r="N1000" s="13"/>
      <c r="O1000" s="16"/>
    </row>
    <row r="1001" spans="13:15" ht="16" x14ac:dyDescent="0.2">
      <c r="M1001" s="12"/>
      <c r="N1001" s="13"/>
      <c r="O1001" s="16"/>
    </row>
    <row r="1002" spans="13:15" ht="16" x14ac:dyDescent="0.2">
      <c r="M1002" s="12"/>
      <c r="N1002" s="13"/>
      <c r="O1002" s="16"/>
    </row>
    <row r="1003" spans="13:15" ht="16" x14ac:dyDescent="0.2">
      <c r="M1003" s="12"/>
      <c r="N1003" s="13"/>
      <c r="O1003" s="16"/>
    </row>
    <row r="1004" spans="13:15" ht="16" x14ac:dyDescent="0.2">
      <c r="M1004" s="12"/>
      <c r="N1004" s="13"/>
      <c r="O1004" s="16"/>
    </row>
    <row r="1005" spans="13:15" ht="16" x14ac:dyDescent="0.2">
      <c r="M1005" s="12"/>
      <c r="N1005" s="13"/>
      <c r="O1005" s="16"/>
    </row>
    <row r="1006" spans="13:15" ht="16" x14ac:dyDescent="0.2">
      <c r="M1006" s="12"/>
      <c r="N1006" s="13"/>
      <c r="O1006" s="16"/>
    </row>
    <row r="1007" spans="13:15" ht="16" x14ac:dyDescent="0.2">
      <c r="M1007" s="12"/>
      <c r="N1007" s="13"/>
      <c r="O1007" s="16"/>
    </row>
    <row r="1008" spans="13:15" ht="16" x14ac:dyDescent="0.2">
      <c r="M1008" s="12"/>
      <c r="N1008" s="13"/>
      <c r="O1008" s="16"/>
    </row>
    <row r="1009" spans="13:15" ht="16" x14ac:dyDescent="0.2">
      <c r="M1009" s="12"/>
      <c r="N1009" s="13"/>
      <c r="O1009" s="16"/>
    </row>
    <row r="1010" spans="13:15" ht="16" x14ac:dyDescent="0.2">
      <c r="M1010" s="12"/>
      <c r="N1010" s="13"/>
      <c r="O1010" s="16"/>
    </row>
    <row r="1011" spans="13:15" ht="16" x14ac:dyDescent="0.2">
      <c r="M1011" s="12"/>
      <c r="N1011" s="13"/>
      <c r="O1011" s="16"/>
    </row>
    <row r="1012" spans="13:15" ht="16" x14ac:dyDescent="0.2">
      <c r="M1012" s="12"/>
      <c r="N1012" s="13"/>
      <c r="O1012" s="16"/>
    </row>
    <row r="1013" spans="13:15" ht="16" x14ac:dyDescent="0.2">
      <c r="M1013" s="12"/>
      <c r="N1013" s="13"/>
      <c r="O1013" s="16"/>
    </row>
    <row r="1014" spans="13:15" ht="16" x14ac:dyDescent="0.2">
      <c r="M1014" s="12"/>
      <c r="N1014" s="13"/>
      <c r="O1014" s="16"/>
    </row>
    <row r="1015" spans="13:15" ht="16" x14ac:dyDescent="0.2">
      <c r="M1015" s="12"/>
      <c r="N1015" s="13"/>
      <c r="O1015" s="16"/>
    </row>
    <row r="1016" spans="13:15" ht="16" x14ac:dyDescent="0.2">
      <c r="M1016" s="12"/>
      <c r="N1016" s="13"/>
      <c r="O1016" s="16"/>
    </row>
    <row r="1017" spans="13:15" ht="16" x14ac:dyDescent="0.2">
      <c r="M1017" s="12"/>
      <c r="N1017" s="13"/>
      <c r="O1017" s="16"/>
    </row>
    <row r="1018" spans="13:15" ht="16" x14ac:dyDescent="0.2">
      <c r="M1018" s="12"/>
      <c r="N1018" s="13"/>
      <c r="O1018" s="16"/>
    </row>
    <row r="1019" spans="13:15" ht="16" x14ac:dyDescent="0.2">
      <c r="M1019" s="12"/>
      <c r="N1019" s="13"/>
      <c r="O1019" s="16"/>
    </row>
    <row r="1020" spans="13:15" ht="16" x14ac:dyDescent="0.2">
      <c r="M1020" s="12"/>
      <c r="N1020" s="13"/>
      <c r="O1020" s="16"/>
    </row>
    <row r="1021" spans="13:15" ht="16" x14ac:dyDescent="0.2">
      <c r="M1021" s="12"/>
      <c r="N1021" s="13"/>
      <c r="O1021" s="16"/>
    </row>
    <row r="1022" spans="13:15" ht="16" x14ac:dyDescent="0.2">
      <c r="M1022" s="12"/>
      <c r="N1022" s="13"/>
      <c r="O1022" s="16"/>
    </row>
    <row r="1023" spans="13:15" ht="16" x14ac:dyDescent="0.2">
      <c r="M1023" s="12"/>
      <c r="N1023" s="13"/>
      <c r="O1023" s="16"/>
    </row>
    <row r="1024" spans="13:15" ht="16" x14ac:dyDescent="0.2">
      <c r="M1024" s="12"/>
      <c r="N1024" s="13"/>
      <c r="O1024" s="16"/>
    </row>
    <row r="1025" spans="13:15" ht="16" x14ac:dyDescent="0.2">
      <c r="M1025" s="12"/>
      <c r="N1025" s="13"/>
      <c r="O1025" s="16"/>
    </row>
    <row r="1026" spans="13:15" ht="16" x14ac:dyDescent="0.2">
      <c r="M1026" s="12"/>
      <c r="N1026" s="13"/>
      <c r="O1026" s="16"/>
    </row>
    <row r="1027" spans="13:15" ht="16" x14ac:dyDescent="0.2">
      <c r="M1027" s="12"/>
      <c r="N1027" s="13"/>
      <c r="O1027" s="16"/>
    </row>
    <row r="1028" spans="13:15" ht="16" x14ac:dyDescent="0.2">
      <c r="M1028" s="12"/>
      <c r="N1028" s="13"/>
      <c r="O1028" s="16"/>
    </row>
    <row r="1029" spans="13:15" ht="16" x14ac:dyDescent="0.2">
      <c r="M1029" s="12"/>
      <c r="N1029" s="13"/>
      <c r="O1029" s="16"/>
    </row>
    <row r="1030" spans="13:15" ht="16" x14ac:dyDescent="0.2">
      <c r="M1030" s="12"/>
      <c r="N1030" s="13"/>
      <c r="O1030" s="16"/>
    </row>
    <row r="1031" spans="13:15" ht="16" x14ac:dyDescent="0.2">
      <c r="M1031" s="12"/>
      <c r="N1031" s="13"/>
      <c r="O1031" s="16"/>
    </row>
    <row r="1032" spans="13:15" ht="16" x14ac:dyDescent="0.2">
      <c r="M1032" s="12"/>
      <c r="N1032" s="13"/>
      <c r="O1032" s="16"/>
    </row>
    <row r="1033" spans="13:15" ht="16" x14ac:dyDescent="0.2">
      <c r="M1033" s="12"/>
      <c r="N1033" s="13"/>
      <c r="O1033" s="16"/>
    </row>
    <row r="1034" spans="13:15" ht="16" x14ac:dyDescent="0.2">
      <c r="M1034" s="12"/>
      <c r="N1034" s="13"/>
      <c r="O1034" s="16"/>
    </row>
    <row r="1035" spans="13:15" ht="16" x14ac:dyDescent="0.2">
      <c r="M1035" s="12"/>
      <c r="N1035" s="13"/>
      <c r="O1035" s="16"/>
    </row>
    <row r="1036" spans="13:15" ht="16" x14ac:dyDescent="0.2">
      <c r="M1036" s="12"/>
      <c r="N1036" s="13"/>
      <c r="O1036" s="16"/>
    </row>
    <row r="1037" spans="13:15" ht="16" x14ac:dyDescent="0.2">
      <c r="M1037" s="12"/>
      <c r="N1037" s="13"/>
      <c r="O1037" s="16"/>
    </row>
    <row r="1038" spans="13:15" ht="16" x14ac:dyDescent="0.2">
      <c r="M1038" s="12"/>
      <c r="N1038" s="13"/>
      <c r="O1038" s="16"/>
    </row>
    <row r="1039" spans="13:15" ht="16" x14ac:dyDescent="0.2">
      <c r="M1039" s="12"/>
      <c r="N1039" s="13"/>
      <c r="O1039" s="16"/>
    </row>
    <row r="1040" spans="13:15" ht="16" x14ac:dyDescent="0.2">
      <c r="M1040" s="12"/>
      <c r="N1040" s="13"/>
      <c r="O1040" s="16"/>
    </row>
    <row r="1041" spans="13:15" ht="16" x14ac:dyDescent="0.2">
      <c r="M1041" s="12"/>
      <c r="N1041" s="13"/>
      <c r="O1041" s="16"/>
    </row>
    <row r="1042" spans="13:15" ht="16" x14ac:dyDescent="0.2">
      <c r="M1042" s="12"/>
      <c r="N1042" s="13"/>
      <c r="O1042" s="16"/>
    </row>
    <row r="1043" spans="13:15" ht="16" x14ac:dyDescent="0.2">
      <c r="M1043" s="12"/>
      <c r="N1043" s="13"/>
      <c r="O1043" s="16"/>
    </row>
    <row r="1044" spans="13:15" ht="16" x14ac:dyDescent="0.2">
      <c r="M1044" s="12"/>
      <c r="N1044" s="13"/>
      <c r="O1044" s="16"/>
    </row>
    <row r="1045" spans="13:15" ht="16" x14ac:dyDescent="0.2">
      <c r="M1045" s="12"/>
      <c r="N1045" s="13"/>
      <c r="O1045" s="16"/>
    </row>
    <row r="1046" spans="13:15" ht="16" x14ac:dyDescent="0.2">
      <c r="M1046" s="12"/>
      <c r="N1046" s="13"/>
      <c r="O1046" s="16"/>
    </row>
    <row r="1047" spans="13:15" ht="16" x14ac:dyDescent="0.2">
      <c r="M1047" s="12"/>
      <c r="N1047" s="13"/>
      <c r="O1047" s="16"/>
    </row>
    <row r="1048" spans="13:15" ht="16" x14ac:dyDescent="0.2">
      <c r="M1048" s="12"/>
      <c r="N1048" s="13"/>
      <c r="O1048" s="16"/>
    </row>
    <row r="1049" spans="13:15" ht="16" x14ac:dyDescent="0.2">
      <c r="M1049" s="12"/>
      <c r="N1049" s="13"/>
      <c r="O1049" s="16"/>
    </row>
    <row r="1050" spans="13:15" ht="16" x14ac:dyDescent="0.2">
      <c r="M1050" s="12"/>
      <c r="N1050" s="13"/>
      <c r="O1050" s="16"/>
    </row>
    <row r="1051" spans="13:15" ht="16" x14ac:dyDescent="0.2">
      <c r="M1051" s="12"/>
      <c r="N1051" s="13"/>
      <c r="O1051" s="16"/>
    </row>
    <row r="1052" spans="13:15" ht="16" x14ac:dyDescent="0.2">
      <c r="M1052" s="12"/>
      <c r="N1052" s="13"/>
      <c r="O1052" s="16"/>
    </row>
    <row r="1053" spans="13:15" ht="16" x14ac:dyDescent="0.2">
      <c r="M1053" s="12"/>
      <c r="N1053" s="13"/>
      <c r="O1053" s="16"/>
    </row>
    <row r="1054" spans="13:15" ht="16" x14ac:dyDescent="0.2">
      <c r="M1054" s="12"/>
      <c r="N1054" s="13"/>
      <c r="O1054" s="16"/>
    </row>
    <row r="1055" spans="13:15" ht="16" x14ac:dyDescent="0.2">
      <c r="M1055" s="12"/>
      <c r="N1055" s="13"/>
      <c r="O1055" s="16"/>
    </row>
    <row r="1056" spans="13:15" ht="16" x14ac:dyDescent="0.2">
      <c r="M1056" s="12"/>
      <c r="N1056" s="13"/>
      <c r="O1056" s="16"/>
    </row>
    <row r="1057" spans="13:15" ht="16" x14ac:dyDescent="0.2">
      <c r="M1057" s="12"/>
      <c r="N1057" s="13"/>
      <c r="O1057" s="16"/>
    </row>
    <row r="1058" spans="13:15" ht="16" x14ac:dyDescent="0.2">
      <c r="M1058" s="12"/>
      <c r="N1058" s="13"/>
      <c r="O1058" s="16"/>
    </row>
    <row r="1059" spans="13:15" ht="16" x14ac:dyDescent="0.2">
      <c r="M1059" s="12"/>
      <c r="N1059" s="13"/>
      <c r="O1059" s="16"/>
    </row>
    <row r="1060" spans="13:15" ht="16" x14ac:dyDescent="0.2">
      <c r="M1060" s="12"/>
      <c r="N1060" s="13"/>
      <c r="O1060" s="16"/>
    </row>
    <row r="1061" spans="13:15" ht="16" x14ac:dyDescent="0.2">
      <c r="M1061" s="12"/>
      <c r="N1061" s="13"/>
      <c r="O1061" s="16"/>
    </row>
    <row r="1062" spans="13:15" ht="16" x14ac:dyDescent="0.2">
      <c r="M1062" s="12"/>
      <c r="N1062" s="13"/>
      <c r="O1062" s="16"/>
    </row>
    <row r="1063" spans="13:15" ht="16" x14ac:dyDescent="0.2">
      <c r="M1063" s="12"/>
      <c r="N1063" s="13"/>
      <c r="O1063" s="16"/>
    </row>
    <row r="1064" spans="13:15" ht="16" x14ac:dyDescent="0.2">
      <c r="M1064" s="12"/>
      <c r="N1064" s="13"/>
      <c r="O1064" s="16"/>
    </row>
    <row r="1065" spans="13:15" ht="16" x14ac:dyDescent="0.2">
      <c r="M1065" s="12"/>
      <c r="N1065" s="13"/>
      <c r="O1065" s="16"/>
    </row>
    <row r="1066" spans="13:15" ht="16" x14ac:dyDescent="0.2">
      <c r="M1066" s="12"/>
      <c r="N1066" s="13"/>
      <c r="O1066" s="16"/>
    </row>
    <row r="1067" spans="13:15" ht="16" x14ac:dyDescent="0.2">
      <c r="M1067" s="12"/>
      <c r="N1067" s="13"/>
      <c r="O1067" s="16"/>
    </row>
    <row r="1068" spans="13:15" ht="16" x14ac:dyDescent="0.2">
      <c r="M1068" s="12"/>
      <c r="N1068" s="13"/>
      <c r="O1068" s="16"/>
    </row>
    <row r="1069" spans="13:15" ht="16" x14ac:dyDescent="0.2">
      <c r="M1069" s="12"/>
      <c r="N1069" s="13"/>
      <c r="O1069" s="16"/>
    </row>
    <row r="1070" spans="13:15" ht="16" x14ac:dyDescent="0.2">
      <c r="M1070" s="12"/>
      <c r="N1070" s="13"/>
      <c r="O1070" s="16"/>
    </row>
    <row r="1071" spans="13:15" ht="16" x14ac:dyDescent="0.2">
      <c r="M1071" s="12"/>
      <c r="N1071" s="13"/>
      <c r="O1071" s="16"/>
    </row>
    <row r="1072" spans="13:15" ht="16" x14ac:dyDescent="0.2">
      <c r="M1072" s="12"/>
      <c r="N1072" s="13"/>
      <c r="O1072" s="16"/>
    </row>
    <row r="1073" spans="13:15" ht="16" x14ac:dyDescent="0.2">
      <c r="M1073" s="12"/>
      <c r="N1073" s="13"/>
      <c r="O1073" s="16"/>
    </row>
    <row r="1074" spans="13:15" ht="16" x14ac:dyDescent="0.2">
      <c r="M1074" s="12"/>
      <c r="N1074" s="13"/>
      <c r="O1074" s="16"/>
    </row>
    <row r="1075" spans="13:15" ht="16" x14ac:dyDescent="0.2">
      <c r="M1075" s="12"/>
      <c r="N1075" s="13"/>
      <c r="O1075" s="16"/>
    </row>
    <row r="1076" spans="13:15" ht="16" x14ac:dyDescent="0.2">
      <c r="M1076" s="12"/>
      <c r="N1076" s="13"/>
      <c r="O1076" s="16"/>
    </row>
    <row r="1077" spans="13:15" ht="16" x14ac:dyDescent="0.2">
      <c r="M1077" s="12"/>
      <c r="N1077" s="13"/>
      <c r="O1077" s="16"/>
    </row>
    <row r="1078" spans="13:15" ht="16" x14ac:dyDescent="0.2">
      <c r="M1078" s="12"/>
      <c r="N1078" s="13"/>
      <c r="O1078" s="16"/>
    </row>
    <row r="1079" spans="13:15" ht="16" x14ac:dyDescent="0.2">
      <c r="M1079" s="12"/>
      <c r="N1079" s="13"/>
      <c r="O1079" s="16"/>
    </row>
    <row r="1080" spans="13:15" ht="16" x14ac:dyDescent="0.2">
      <c r="M1080" s="12"/>
      <c r="N1080" s="13"/>
      <c r="O1080" s="16"/>
    </row>
    <row r="1081" spans="13:15" ht="16" x14ac:dyDescent="0.2">
      <c r="M1081" s="12"/>
      <c r="N1081" s="13"/>
      <c r="O1081" s="16"/>
    </row>
    <row r="1082" spans="13:15" ht="16" x14ac:dyDescent="0.2">
      <c r="M1082" s="12"/>
      <c r="N1082" s="13"/>
      <c r="O1082" s="16"/>
    </row>
    <row r="1083" spans="13:15" ht="16" x14ac:dyDescent="0.2">
      <c r="M1083" s="12"/>
      <c r="N1083" s="13"/>
      <c r="O1083" s="16"/>
    </row>
    <row r="1084" spans="13:15" ht="16" x14ac:dyDescent="0.2">
      <c r="M1084" s="12"/>
      <c r="N1084" s="13"/>
      <c r="O1084" s="16"/>
    </row>
    <row r="1085" spans="13:15" ht="16" x14ac:dyDescent="0.2">
      <c r="M1085" s="12"/>
      <c r="N1085" s="13"/>
      <c r="O1085" s="16"/>
    </row>
    <row r="1086" spans="13:15" ht="16" x14ac:dyDescent="0.2">
      <c r="M1086" s="12"/>
      <c r="N1086" s="13"/>
      <c r="O1086" s="16"/>
    </row>
    <row r="1087" spans="13:15" ht="16" x14ac:dyDescent="0.2">
      <c r="M1087" s="12"/>
      <c r="N1087" s="13"/>
      <c r="O1087" s="16"/>
    </row>
    <row r="1088" spans="13:15" ht="16" x14ac:dyDescent="0.2">
      <c r="M1088" s="12"/>
      <c r="N1088" s="13"/>
      <c r="O1088" s="16"/>
    </row>
    <row r="1089" spans="13:15" ht="16" x14ac:dyDescent="0.2">
      <c r="M1089" s="12"/>
      <c r="N1089" s="13"/>
      <c r="O1089" s="16"/>
    </row>
    <row r="1090" spans="13:15" ht="16" x14ac:dyDescent="0.2">
      <c r="M1090" s="12"/>
      <c r="N1090" s="13"/>
      <c r="O1090" s="16"/>
    </row>
    <row r="1091" spans="13:15" ht="16" x14ac:dyDescent="0.2">
      <c r="M1091" s="12"/>
      <c r="N1091" s="13"/>
      <c r="O1091" s="16"/>
    </row>
    <row r="1092" spans="13:15" ht="16" x14ac:dyDescent="0.2">
      <c r="M1092" s="12"/>
      <c r="N1092" s="13"/>
      <c r="O1092" s="16"/>
    </row>
    <row r="1093" spans="13:15" ht="16" x14ac:dyDescent="0.2">
      <c r="M1093" s="12"/>
      <c r="N1093" s="13"/>
      <c r="O1093" s="16"/>
    </row>
    <row r="1094" spans="13:15" ht="16" x14ac:dyDescent="0.2">
      <c r="M1094" s="12"/>
      <c r="N1094" s="13"/>
      <c r="O1094" s="16"/>
    </row>
    <row r="1095" spans="13:15" ht="16" x14ac:dyDescent="0.2">
      <c r="M1095" s="12"/>
      <c r="N1095" s="13"/>
      <c r="O1095" s="16"/>
    </row>
    <row r="1096" spans="13:15" ht="16" x14ac:dyDescent="0.2">
      <c r="M1096" s="12"/>
      <c r="N1096" s="13"/>
      <c r="O1096" s="16"/>
    </row>
    <row r="1097" spans="13:15" ht="16" x14ac:dyDescent="0.2">
      <c r="M1097" s="12"/>
      <c r="N1097" s="13"/>
      <c r="O1097" s="16"/>
    </row>
    <row r="1098" spans="13:15" ht="16" x14ac:dyDescent="0.2">
      <c r="M1098" s="12"/>
      <c r="N1098" s="13"/>
      <c r="O1098" s="16"/>
    </row>
    <row r="1099" spans="13:15" ht="16" x14ac:dyDescent="0.2">
      <c r="M1099" s="12"/>
      <c r="N1099" s="13"/>
      <c r="O1099" s="16"/>
    </row>
    <row r="1100" spans="13:15" ht="16" x14ac:dyDescent="0.2">
      <c r="M1100" s="12"/>
      <c r="N1100" s="13"/>
      <c r="O1100" s="16"/>
    </row>
    <row r="1101" spans="13:15" ht="16" x14ac:dyDescent="0.2">
      <c r="M1101" s="12"/>
      <c r="N1101" s="13"/>
      <c r="O1101" s="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4547"/>
  <sheetViews>
    <sheetView topLeftCell="Q1" zoomScale="59" zoomScaleNormal="60" workbookViewId="0">
      <selection activeCell="T5" sqref="T5"/>
    </sheetView>
  </sheetViews>
  <sheetFormatPr baseColWidth="10" defaultColWidth="8.83203125" defaultRowHeight="15" x14ac:dyDescent="0.2"/>
  <cols>
    <col min="1" max="1" width="68.1640625" bestFit="1" customWidth="1"/>
    <col min="2" max="2" width="10.83203125" bestFit="1" customWidth="1"/>
    <col min="3" max="3" width="69.5" bestFit="1" customWidth="1"/>
    <col min="4" max="5" width="69.5" style="11" bestFit="1" customWidth="1"/>
    <col min="6" max="7" width="69.5" bestFit="1" customWidth="1"/>
    <col min="8" max="9" width="69.5" style="11" bestFit="1" customWidth="1"/>
    <col min="10" max="11" width="69.5" bestFit="1" customWidth="1"/>
    <col min="12" max="13" width="69.5" style="11" bestFit="1" customWidth="1"/>
    <col min="14" max="15" width="69.5" bestFit="1" customWidth="1"/>
    <col min="16" max="17" width="69.5" style="11" bestFit="1" customWidth="1"/>
    <col min="18" max="18" width="35" customWidth="1"/>
    <col min="19" max="19" width="26.5" customWidth="1"/>
    <col min="20" max="20" width="39.1640625" customWidth="1"/>
    <col min="21" max="21" width="69.5" bestFit="1" customWidth="1"/>
    <col min="22" max="22" width="28.5" customWidth="1"/>
    <col min="23" max="23" width="36.5" customWidth="1"/>
    <col min="24" max="24" width="35.1640625" customWidth="1"/>
    <col min="25" max="25" width="27.6640625" customWidth="1"/>
    <col min="26" max="66" width="69.5" bestFit="1" customWidth="1"/>
    <col min="67" max="67" width="10.6640625" bestFit="1" customWidth="1"/>
  </cols>
  <sheetData>
    <row r="1" spans="1:25" ht="16" x14ac:dyDescent="0.2">
      <c r="A1" s="2" t="s">
        <v>1168</v>
      </c>
      <c r="B1" t="s">
        <v>1169</v>
      </c>
      <c r="D1" s="6" t="s">
        <v>1170</v>
      </c>
      <c r="E1" s="7" t="s">
        <v>30</v>
      </c>
      <c r="F1" s="8" t="s">
        <v>1170</v>
      </c>
      <c r="G1" s="9" t="s">
        <v>899</v>
      </c>
      <c r="H1" s="6" t="s">
        <v>1170</v>
      </c>
      <c r="I1" s="7" t="s">
        <v>297</v>
      </c>
      <c r="J1" s="8" t="s">
        <v>1170</v>
      </c>
      <c r="K1" s="9" t="s">
        <v>23</v>
      </c>
      <c r="L1" s="6" t="s">
        <v>1170</v>
      </c>
      <c r="M1" s="7" t="s">
        <v>1176</v>
      </c>
      <c r="N1" s="8" t="s">
        <v>1170</v>
      </c>
      <c r="O1" s="9" t="s">
        <v>283</v>
      </c>
      <c r="P1" s="6" t="s">
        <v>1170</v>
      </c>
      <c r="Q1" s="7" t="s">
        <v>38</v>
      </c>
      <c r="U1" s="14" t="s">
        <v>1170</v>
      </c>
      <c r="V1" s="13" t="s">
        <v>1177</v>
      </c>
      <c r="W1" s="17" t="s">
        <v>2</v>
      </c>
      <c r="X1" s="19" t="s">
        <v>1172</v>
      </c>
      <c r="Y1" s="19" t="s">
        <v>7</v>
      </c>
    </row>
    <row r="2" spans="1:25" ht="16" x14ac:dyDescent="0.2">
      <c r="A2" s="3" t="s">
        <v>30</v>
      </c>
      <c r="B2" s="33">
        <v>114</v>
      </c>
      <c r="D2" s="10">
        <v>1295</v>
      </c>
      <c r="E2" s="7" t="s">
        <v>30</v>
      </c>
      <c r="F2" s="4">
        <v>1310</v>
      </c>
      <c r="G2" s="9" t="s">
        <v>899</v>
      </c>
      <c r="H2" s="10">
        <v>1613</v>
      </c>
      <c r="I2" s="7" t="s">
        <v>297</v>
      </c>
      <c r="J2" s="4">
        <v>1396</v>
      </c>
      <c r="K2" s="9" t="s">
        <v>23</v>
      </c>
      <c r="L2" s="10">
        <v>1615</v>
      </c>
      <c r="M2" s="7" t="s">
        <v>1176</v>
      </c>
      <c r="N2" s="4">
        <v>1935</v>
      </c>
      <c r="O2" s="9" t="s">
        <v>283</v>
      </c>
      <c r="P2" s="10">
        <v>4018</v>
      </c>
      <c r="Q2" s="7" t="s">
        <v>38</v>
      </c>
      <c r="U2" s="12">
        <v>1295</v>
      </c>
      <c r="V2" s="13" t="s">
        <v>30</v>
      </c>
      <c r="W2" s="16" t="str">
        <f>TEXT(VLOOKUP(U2, News!A:C, 3, FALSE), "M/D/YYYY")</f>
        <v>9/1/2017</v>
      </c>
      <c r="X2" s="18">
        <f>DATE(YEAR(W2),MONTH(Metrics!$B$5), DAY(Metrics!$B$5))</f>
        <v>42979</v>
      </c>
      <c r="Y2" s="16">
        <f>IF(MONTH(W2) &gt;= MONTH(X2), YEAR(W2)+1, YEAR(W2))</f>
        <v>2018</v>
      </c>
    </row>
    <row r="3" spans="1:25" ht="16" x14ac:dyDescent="0.2">
      <c r="A3" s="3" t="s">
        <v>173</v>
      </c>
      <c r="B3" s="33">
        <v>5</v>
      </c>
      <c r="D3" s="10">
        <v>1315</v>
      </c>
      <c r="E3" s="7" t="s">
        <v>30</v>
      </c>
      <c r="F3" s="4">
        <v>2203</v>
      </c>
      <c r="G3" s="9" t="s">
        <v>899</v>
      </c>
      <c r="H3" s="10">
        <v>2439</v>
      </c>
      <c r="I3" s="7" t="s">
        <v>297</v>
      </c>
      <c r="J3" s="4">
        <v>3609</v>
      </c>
      <c r="K3" s="9" t="s">
        <v>23</v>
      </c>
      <c r="L3" s="10">
        <v>1355</v>
      </c>
      <c r="M3" s="7" t="s">
        <v>1176</v>
      </c>
      <c r="N3" s="4">
        <v>3972</v>
      </c>
      <c r="O3" s="9" t="s">
        <v>283</v>
      </c>
      <c r="P3" s="10">
        <v>4130</v>
      </c>
      <c r="Q3" s="7" t="s">
        <v>38</v>
      </c>
      <c r="U3" s="12">
        <v>1315</v>
      </c>
      <c r="V3" s="13" t="s">
        <v>30</v>
      </c>
      <c r="W3" s="16" t="str">
        <f>TEXT(VLOOKUP(U3, News!A:C, 3, FALSE), "M/D/YYYY")</f>
        <v>9/1/2017</v>
      </c>
      <c r="X3" s="18">
        <f>DATE(YEAR(W3),MONTH(Metrics!$B$5), DAY(Metrics!$B$5))</f>
        <v>42979</v>
      </c>
      <c r="Y3" s="16">
        <f t="shared" ref="Y3:Y66" si="0">IF(MONTH(W3) &gt;= MONTH(X3), YEAR(W3)+1, YEAR(W3))</f>
        <v>2018</v>
      </c>
    </row>
    <row r="4" spans="1:25" ht="16" x14ac:dyDescent="0.2">
      <c r="A4" s="3" t="s">
        <v>86</v>
      </c>
      <c r="B4" s="33">
        <v>4</v>
      </c>
      <c r="D4" s="10">
        <v>1324</v>
      </c>
      <c r="E4" s="7" t="s">
        <v>30</v>
      </c>
      <c r="F4" s="4">
        <v>2306</v>
      </c>
      <c r="G4" s="9" t="s">
        <v>899</v>
      </c>
      <c r="H4" s="10">
        <v>3308</v>
      </c>
      <c r="I4" s="7" t="s">
        <v>297</v>
      </c>
      <c r="J4" s="4">
        <v>4013</v>
      </c>
      <c r="K4" s="9" t="s">
        <v>23</v>
      </c>
      <c r="L4" s="10">
        <v>1379</v>
      </c>
      <c r="M4" s="7" t="s">
        <v>1176</v>
      </c>
      <c r="N4" s="4">
        <v>4160</v>
      </c>
      <c r="O4" s="9" t="s">
        <v>283</v>
      </c>
      <c r="P4" s="10">
        <v>1392</v>
      </c>
      <c r="Q4" s="7" t="s">
        <v>38</v>
      </c>
      <c r="U4" s="12">
        <v>1324</v>
      </c>
      <c r="V4" s="13" t="s">
        <v>30</v>
      </c>
      <c r="W4" s="16" t="str">
        <f>TEXT(VLOOKUP(U4, News!A:C, 3, FALSE), "M/D/YYYY")</f>
        <v>9/1/2017</v>
      </c>
      <c r="X4" s="18">
        <f>DATE(YEAR(W4),MONTH(Metrics!$B$5), DAY(Metrics!$B$5))</f>
        <v>42979</v>
      </c>
      <c r="Y4" s="16">
        <f t="shared" si="0"/>
        <v>2018</v>
      </c>
    </row>
    <row r="5" spans="1:25" ht="16" x14ac:dyDescent="0.2">
      <c r="A5" s="3" t="s">
        <v>611</v>
      </c>
      <c r="B5" s="33">
        <v>1</v>
      </c>
      <c r="D5" s="10">
        <v>1351</v>
      </c>
      <c r="E5" s="7" t="s">
        <v>30</v>
      </c>
      <c r="F5" s="4">
        <v>2408</v>
      </c>
      <c r="G5" s="9" t="s">
        <v>899</v>
      </c>
      <c r="H5" s="10">
        <v>3784</v>
      </c>
      <c r="I5" s="7" t="s">
        <v>297</v>
      </c>
      <c r="J5" s="4">
        <v>4474</v>
      </c>
      <c r="K5" s="9" t="s">
        <v>23</v>
      </c>
      <c r="L5" s="10">
        <v>2305</v>
      </c>
      <c r="M5" s="7" t="s">
        <v>1176</v>
      </c>
      <c r="N5" s="4">
        <v>7706</v>
      </c>
      <c r="O5" s="9" t="s">
        <v>283</v>
      </c>
      <c r="P5" s="10">
        <v>1413</v>
      </c>
      <c r="Q5" s="7" t="s">
        <v>38</v>
      </c>
      <c r="U5" s="12">
        <v>1351</v>
      </c>
      <c r="V5" s="13" t="s">
        <v>30</v>
      </c>
      <c r="W5" s="16" t="str">
        <f>TEXT(VLOOKUP(U5, News!A:C, 3, FALSE), "M/D/YYYY")</f>
        <v>5/10/2018</v>
      </c>
      <c r="X5" s="18">
        <f>DATE(YEAR(W5),MONTH(Metrics!$B$5), DAY(Metrics!$B$5))</f>
        <v>43344</v>
      </c>
      <c r="Y5" s="16">
        <f t="shared" si="0"/>
        <v>2018</v>
      </c>
    </row>
    <row r="6" spans="1:25" ht="16" x14ac:dyDescent="0.2">
      <c r="A6" s="3" t="s">
        <v>1082</v>
      </c>
      <c r="B6" s="33">
        <v>1</v>
      </c>
      <c r="D6" s="10">
        <v>1353</v>
      </c>
      <c r="E6" s="7" t="s">
        <v>30</v>
      </c>
      <c r="F6" s="4">
        <v>3534</v>
      </c>
      <c r="G6" s="9" t="s">
        <v>899</v>
      </c>
      <c r="H6" s="10">
        <v>3976</v>
      </c>
      <c r="I6" s="7" t="s">
        <v>297</v>
      </c>
      <c r="J6" s="4">
        <v>7060</v>
      </c>
      <c r="K6" s="9" t="s">
        <v>23</v>
      </c>
      <c r="L6" s="10">
        <v>2549</v>
      </c>
      <c r="M6" s="7" t="s">
        <v>1176</v>
      </c>
      <c r="N6" s="4">
        <v>1615</v>
      </c>
      <c r="O6" s="9" t="s">
        <v>283</v>
      </c>
      <c r="P6" s="10">
        <v>1681</v>
      </c>
      <c r="Q6" s="7" t="s">
        <v>38</v>
      </c>
      <c r="U6" s="12">
        <v>1353</v>
      </c>
      <c r="V6" s="13" t="s">
        <v>30</v>
      </c>
      <c r="W6" s="16" t="str">
        <f>TEXT(VLOOKUP(U6, News!A:C, 3, FALSE), "M/D/YYYY")</f>
        <v>5/9/2018</v>
      </c>
      <c r="X6" s="18">
        <f>DATE(YEAR(W6),MONTH(Metrics!$B$5), DAY(Metrics!$B$5))</f>
        <v>43344</v>
      </c>
      <c r="Y6" s="16">
        <f t="shared" si="0"/>
        <v>2018</v>
      </c>
    </row>
    <row r="7" spans="1:25" ht="16" x14ac:dyDescent="0.2">
      <c r="A7" s="3" t="s">
        <v>1128</v>
      </c>
      <c r="B7" s="33">
        <v>1</v>
      </c>
      <c r="D7" s="10">
        <v>1357</v>
      </c>
      <c r="E7" s="7" t="s">
        <v>30</v>
      </c>
      <c r="F7" s="4">
        <v>4359</v>
      </c>
      <c r="G7" s="9" t="s">
        <v>899</v>
      </c>
      <c r="H7" s="10">
        <v>4406</v>
      </c>
      <c r="I7" s="7" t="s">
        <v>297</v>
      </c>
      <c r="J7" s="4">
        <v>1935</v>
      </c>
      <c r="K7" s="9" t="s">
        <v>23</v>
      </c>
      <c r="L7" s="10">
        <v>3062</v>
      </c>
      <c r="M7" s="7" t="s">
        <v>1176</v>
      </c>
      <c r="N7" s="4">
        <v>4130</v>
      </c>
      <c r="O7" s="9" t="s">
        <v>283</v>
      </c>
      <c r="P7" s="10">
        <v>3002</v>
      </c>
      <c r="Q7" s="7" t="s">
        <v>38</v>
      </c>
      <c r="U7" s="12">
        <v>1357</v>
      </c>
      <c r="V7" s="13" t="s">
        <v>30</v>
      </c>
      <c r="W7" s="16" t="str">
        <f>TEXT(VLOOKUP(U7, News!A:C, 3, FALSE), "M/D/YYYY")</f>
        <v>5/2/2018</v>
      </c>
      <c r="X7" s="18">
        <f>DATE(YEAR(W7),MONTH(Metrics!$B$5), DAY(Metrics!$B$5))</f>
        <v>43344</v>
      </c>
      <c r="Y7" s="16">
        <f t="shared" si="0"/>
        <v>2018</v>
      </c>
    </row>
    <row r="8" spans="1:25" ht="16" x14ac:dyDescent="0.2">
      <c r="A8" s="3" t="s">
        <v>224</v>
      </c>
      <c r="B8" s="33">
        <v>13</v>
      </c>
      <c r="D8" s="10">
        <v>1368</v>
      </c>
      <c r="E8" s="7" t="s">
        <v>30</v>
      </c>
      <c r="F8" s="4">
        <v>4460</v>
      </c>
      <c r="G8" s="9" t="s">
        <v>899</v>
      </c>
      <c r="H8" s="10">
        <v>5535</v>
      </c>
      <c r="I8" s="7" t="s">
        <v>297</v>
      </c>
      <c r="J8" s="4">
        <v>3972</v>
      </c>
      <c r="K8" s="9" t="s">
        <v>23</v>
      </c>
      <c r="L8" s="10">
        <v>3225</v>
      </c>
      <c r="M8" s="7" t="s">
        <v>1176</v>
      </c>
      <c r="N8" s="4">
        <v>1317</v>
      </c>
      <c r="O8" s="9" t="s">
        <v>283</v>
      </c>
      <c r="P8" s="10">
        <v>3345</v>
      </c>
      <c r="Q8" s="7" t="s">
        <v>38</v>
      </c>
      <c r="U8" s="12">
        <v>1368</v>
      </c>
      <c r="V8" s="13" t="s">
        <v>30</v>
      </c>
      <c r="W8" s="16" t="str">
        <f>TEXT(VLOOKUP(U8, News!A:C, 3, FALSE), "M/D/YYYY")</f>
        <v>10/14/2017</v>
      </c>
      <c r="X8" s="18">
        <f>DATE(YEAR(W8),MONTH(Metrics!$B$5), DAY(Metrics!$B$5))</f>
        <v>42979</v>
      </c>
      <c r="Y8" s="16">
        <f t="shared" si="0"/>
        <v>2018</v>
      </c>
    </row>
    <row r="9" spans="1:25" ht="16" x14ac:dyDescent="0.2">
      <c r="A9" s="3" t="s">
        <v>132</v>
      </c>
      <c r="B9" s="33">
        <v>9</v>
      </c>
      <c r="D9" s="10">
        <v>1370</v>
      </c>
      <c r="E9" s="7" t="s">
        <v>30</v>
      </c>
      <c r="F9" s="4">
        <v>8226</v>
      </c>
      <c r="G9" s="9" t="s">
        <v>899</v>
      </c>
      <c r="H9" s="10">
        <v>1294</v>
      </c>
      <c r="I9" s="7" t="s">
        <v>297</v>
      </c>
      <c r="J9" s="4">
        <v>4160</v>
      </c>
      <c r="K9" s="9" t="s">
        <v>23</v>
      </c>
      <c r="L9" s="10">
        <v>3644</v>
      </c>
      <c r="M9" s="7" t="s">
        <v>1176</v>
      </c>
      <c r="N9" s="4">
        <v>1490</v>
      </c>
      <c r="O9" s="9" t="s">
        <v>283</v>
      </c>
      <c r="P9" s="10">
        <v>3376</v>
      </c>
      <c r="Q9" s="7" t="s">
        <v>38</v>
      </c>
      <c r="U9" s="12">
        <v>1370</v>
      </c>
      <c r="V9" s="13" t="s">
        <v>30</v>
      </c>
      <c r="W9" s="16" t="str">
        <f>TEXT(VLOOKUP(U9, News!A:C, 3, FALSE), "M/D/YYYY")</f>
        <v>10/15/2017</v>
      </c>
      <c r="X9" s="18">
        <f>DATE(YEAR(W9),MONTH(Metrics!$B$5), DAY(Metrics!$B$5))</f>
        <v>42979</v>
      </c>
      <c r="Y9" s="16">
        <f t="shared" si="0"/>
        <v>2018</v>
      </c>
    </row>
    <row r="10" spans="1:25" ht="16" x14ac:dyDescent="0.2">
      <c r="A10" s="3" t="s">
        <v>699</v>
      </c>
      <c r="B10" s="33">
        <v>1</v>
      </c>
      <c r="D10" s="10">
        <v>1390</v>
      </c>
      <c r="E10" s="7" t="s">
        <v>30</v>
      </c>
      <c r="F10" s="4">
        <v>3978</v>
      </c>
      <c r="G10" s="9" t="s">
        <v>899</v>
      </c>
      <c r="H10" s="10">
        <v>1360</v>
      </c>
      <c r="I10" s="7" t="s">
        <v>297</v>
      </c>
      <c r="J10" s="4">
        <v>7706</v>
      </c>
      <c r="K10" s="9" t="s">
        <v>23</v>
      </c>
      <c r="L10" s="10">
        <v>4071</v>
      </c>
      <c r="M10" s="7" t="s">
        <v>1176</v>
      </c>
      <c r="N10" s="4">
        <v>2642</v>
      </c>
      <c r="O10" s="9" t="s">
        <v>283</v>
      </c>
      <c r="P10" s="10">
        <v>3539</v>
      </c>
      <c r="Q10" s="7" t="s">
        <v>38</v>
      </c>
      <c r="U10" s="12">
        <v>1390</v>
      </c>
      <c r="V10" s="13" t="s">
        <v>30</v>
      </c>
      <c r="W10" s="16" t="str">
        <f>TEXT(VLOOKUP(U10, News!A:C, 3, FALSE), "M/D/YYYY")</f>
        <v>4/20/2018</v>
      </c>
      <c r="X10" s="18">
        <f>DATE(YEAR(W10),MONTH(Metrics!$B$5), DAY(Metrics!$B$5))</f>
        <v>43344</v>
      </c>
      <c r="Y10" s="16">
        <f t="shared" si="0"/>
        <v>2018</v>
      </c>
    </row>
    <row r="11" spans="1:25" ht="16" x14ac:dyDescent="0.2">
      <c r="A11" s="3" t="s">
        <v>78</v>
      </c>
      <c r="B11" s="33">
        <v>23</v>
      </c>
      <c r="D11" s="10">
        <v>1399</v>
      </c>
      <c r="E11" s="7" t="s">
        <v>30</v>
      </c>
      <c r="F11" s="4">
        <v>2551</v>
      </c>
      <c r="G11" s="9" t="s">
        <v>899</v>
      </c>
      <c r="H11" s="10">
        <v>1377</v>
      </c>
      <c r="I11" s="7" t="s">
        <v>297</v>
      </c>
      <c r="J11" s="4">
        <v>1615</v>
      </c>
      <c r="K11" s="9" t="s">
        <v>23</v>
      </c>
      <c r="L11" s="10">
        <v>4150</v>
      </c>
      <c r="M11" s="7" t="s">
        <v>1176</v>
      </c>
      <c r="N11" s="4">
        <v>2747</v>
      </c>
      <c r="O11" s="9" t="s">
        <v>283</v>
      </c>
      <c r="P11" s="10">
        <v>3612</v>
      </c>
      <c r="Q11" s="7" t="s">
        <v>38</v>
      </c>
      <c r="U11" s="12">
        <v>1399</v>
      </c>
      <c r="V11" s="13" t="s">
        <v>30</v>
      </c>
      <c r="W11" s="16" t="str">
        <f>TEXT(VLOOKUP(U11, News!A:C, 3, FALSE), "M/D/YYYY")</f>
        <v>3/27/2018</v>
      </c>
      <c r="X11" s="18">
        <f>DATE(YEAR(W11),MONTH(Metrics!$B$5), DAY(Metrics!$B$5))</f>
        <v>43344</v>
      </c>
      <c r="Y11" s="16">
        <f t="shared" si="0"/>
        <v>2018</v>
      </c>
    </row>
    <row r="12" spans="1:25" ht="16" x14ac:dyDescent="0.2">
      <c r="A12" s="3" t="s">
        <v>1038</v>
      </c>
      <c r="B12" s="33">
        <v>2</v>
      </c>
      <c r="D12" s="10">
        <v>1436</v>
      </c>
      <c r="E12" s="7" t="s">
        <v>30</v>
      </c>
      <c r="F12" s="4">
        <v>3947</v>
      </c>
      <c r="G12" s="9" t="s">
        <v>899</v>
      </c>
      <c r="H12" s="10">
        <v>3000</v>
      </c>
      <c r="I12" s="7" t="s">
        <v>297</v>
      </c>
      <c r="J12" s="4">
        <v>4018</v>
      </c>
      <c r="K12" s="9" t="s">
        <v>23</v>
      </c>
      <c r="L12" s="10">
        <v>4170</v>
      </c>
      <c r="M12" s="7" t="s">
        <v>1176</v>
      </c>
      <c r="N12" s="4">
        <v>4468</v>
      </c>
      <c r="O12" s="9" t="s">
        <v>283</v>
      </c>
      <c r="P12" s="10">
        <v>3797</v>
      </c>
      <c r="Q12" s="7" t="s">
        <v>38</v>
      </c>
      <c r="U12" s="12">
        <v>1436</v>
      </c>
      <c r="V12" s="13" t="s">
        <v>30</v>
      </c>
      <c r="W12" s="16" t="str">
        <f>TEXT(VLOOKUP(U12, News!A:C, 3, FALSE), "M/D/YYYY")</f>
        <v>2/12/2018</v>
      </c>
      <c r="X12" s="18">
        <f>DATE(YEAR(W12),MONTH(Metrics!$B$5), DAY(Metrics!$B$5))</f>
        <v>43344</v>
      </c>
      <c r="Y12" s="16">
        <f t="shared" si="0"/>
        <v>2018</v>
      </c>
    </row>
    <row r="13" spans="1:25" ht="16" x14ac:dyDescent="0.2">
      <c r="A13" s="3" t="s">
        <v>889</v>
      </c>
      <c r="B13" s="33">
        <v>2</v>
      </c>
      <c r="D13" s="10">
        <v>1438</v>
      </c>
      <c r="E13" s="7" t="s">
        <v>30</v>
      </c>
      <c r="F13" s="4">
        <v>4242</v>
      </c>
      <c r="G13" s="9" t="s">
        <v>899</v>
      </c>
      <c r="H13" s="10">
        <v>3063</v>
      </c>
      <c r="I13" s="7" t="s">
        <v>297</v>
      </c>
      <c r="J13" s="4">
        <v>4130</v>
      </c>
      <c r="K13" s="9" t="s">
        <v>23</v>
      </c>
      <c r="L13" s="10">
        <v>4200</v>
      </c>
      <c r="M13" s="7" t="s">
        <v>1176</v>
      </c>
      <c r="N13" s="4">
        <v>4469</v>
      </c>
      <c r="O13" s="9" t="s">
        <v>283</v>
      </c>
      <c r="P13" s="10">
        <v>3801</v>
      </c>
      <c r="Q13" s="7" t="s">
        <v>38</v>
      </c>
      <c r="U13" s="12">
        <v>1438</v>
      </c>
      <c r="V13" s="13" t="s">
        <v>30</v>
      </c>
      <c r="W13" s="16" t="str">
        <f>TEXT(VLOOKUP(U13, News!A:C, 3, FALSE), "M/D/YYYY")</f>
        <v>1/31/2018</v>
      </c>
      <c r="X13" s="18">
        <f>DATE(YEAR(W13),MONTH(Metrics!$B$5), DAY(Metrics!$B$5))</f>
        <v>43344</v>
      </c>
      <c r="Y13" s="16">
        <f t="shared" si="0"/>
        <v>2018</v>
      </c>
    </row>
    <row r="14" spans="1:25" ht="16" x14ac:dyDescent="0.2">
      <c r="A14" s="3" t="s">
        <v>297</v>
      </c>
      <c r="B14" s="33">
        <v>7</v>
      </c>
      <c r="D14" s="10">
        <v>1452</v>
      </c>
      <c r="E14" s="7" t="s">
        <v>30</v>
      </c>
      <c r="F14" s="4">
        <v>4912</v>
      </c>
      <c r="G14" s="9" t="s">
        <v>899</v>
      </c>
      <c r="H14" s="10">
        <v>3897</v>
      </c>
      <c r="I14" s="7" t="s">
        <v>297</v>
      </c>
      <c r="J14" s="4">
        <v>3003</v>
      </c>
      <c r="K14" s="9" t="s">
        <v>23</v>
      </c>
      <c r="L14" s="10">
        <v>6326</v>
      </c>
      <c r="M14" s="7" t="s">
        <v>1176</v>
      </c>
      <c r="N14" s="4">
        <v>5906</v>
      </c>
      <c r="O14" s="9" t="s">
        <v>283</v>
      </c>
      <c r="P14" s="10">
        <v>3887</v>
      </c>
      <c r="Q14" s="7" t="s">
        <v>38</v>
      </c>
      <c r="U14" s="12">
        <v>1452</v>
      </c>
      <c r="V14" s="13" t="s">
        <v>30</v>
      </c>
      <c r="W14" s="16" t="str">
        <f>TEXT(VLOOKUP(U14, News!A:C, 3, FALSE), "M/D/YYYY")</f>
        <v>1/10/2018</v>
      </c>
      <c r="X14" s="18">
        <f>DATE(YEAR(W14),MONTH(Metrics!$B$5), DAY(Metrics!$B$5))</f>
        <v>43344</v>
      </c>
      <c r="Y14" s="16">
        <f t="shared" si="0"/>
        <v>2018</v>
      </c>
    </row>
    <row r="15" spans="1:25" ht="16" x14ac:dyDescent="0.2">
      <c r="A15" s="3" t="s">
        <v>55</v>
      </c>
      <c r="B15" s="33">
        <v>14</v>
      </c>
      <c r="D15" s="10">
        <v>1696</v>
      </c>
      <c r="E15" s="7" t="s">
        <v>30</v>
      </c>
      <c r="F15" s="4">
        <v>3622</v>
      </c>
      <c r="G15" s="9" t="s">
        <v>899</v>
      </c>
      <c r="H15" s="10">
        <v>3949</v>
      </c>
      <c r="I15" s="7" t="s">
        <v>297</v>
      </c>
      <c r="J15" s="4">
        <v>3537</v>
      </c>
      <c r="K15" s="9" t="s">
        <v>23</v>
      </c>
      <c r="L15" s="10">
        <v>8247</v>
      </c>
      <c r="M15" s="7" t="s">
        <v>1176</v>
      </c>
      <c r="N15" s="4">
        <v>7162</v>
      </c>
      <c r="O15" s="9" t="s">
        <v>283</v>
      </c>
      <c r="P15" s="10">
        <v>3943</v>
      </c>
      <c r="Q15" s="7" t="s">
        <v>38</v>
      </c>
      <c r="U15" s="12">
        <v>1696</v>
      </c>
      <c r="V15" s="13" t="s">
        <v>30</v>
      </c>
      <c r="W15" s="16" t="str">
        <f>TEXT(VLOOKUP(U15, News!A:C, 3, FALSE), "M/D/YYYY")</f>
        <v>9/1/2018</v>
      </c>
      <c r="X15" s="18">
        <f>DATE(YEAR(W15),MONTH(Metrics!$B$5), DAY(Metrics!$B$5))</f>
        <v>43344</v>
      </c>
      <c r="Y15" s="16">
        <f t="shared" si="0"/>
        <v>2019</v>
      </c>
    </row>
    <row r="16" spans="1:25" ht="16" x14ac:dyDescent="0.2">
      <c r="A16" s="3" t="s">
        <v>847</v>
      </c>
      <c r="B16" s="33">
        <v>3</v>
      </c>
      <c r="D16" s="10">
        <v>1698</v>
      </c>
      <c r="E16" s="7" t="s">
        <v>30</v>
      </c>
      <c r="F16" s="4">
        <v>3329</v>
      </c>
      <c r="G16" s="9" t="s">
        <v>899</v>
      </c>
      <c r="H16" s="10">
        <v>4254</v>
      </c>
      <c r="I16" s="7" t="s">
        <v>297</v>
      </c>
      <c r="J16" s="4">
        <v>4069</v>
      </c>
      <c r="K16" s="9" t="s">
        <v>23</v>
      </c>
      <c r="L16" s="10">
        <v>1381</v>
      </c>
      <c r="M16" s="7" t="s">
        <v>1176</v>
      </c>
      <c r="N16" s="4">
        <v>7306</v>
      </c>
      <c r="O16" s="9" t="s">
        <v>283</v>
      </c>
      <c r="P16" s="10">
        <v>4081</v>
      </c>
      <c r="Q16" s="7" t="s">
        <v>38</v>
      </c>
      <c r="U16" s="12">
        <v>1698</v>
      </c>
      <c r="V16" s="13" t="s">
        <v>30</v>
      </c>
      <c r="W16" s="16" t="str">
        <f>TEXT(VLOOKUP(U16, News!A:C, 3, FALSE), "M/D/YYYY")</f>
        <v>9/20/2018</v>
      </c>
      <c r="X16" s="18">
        <f>DATE(YEAR(W16),MONTH(Metrics!$B$5), DAY(Metrics!$B$5))</f>
        <v>43344</v>
      </c>
      <c r="Y16" s="16">
        <f t="shared" si="0"/>
        <v>2019</v>
      </c>
    </row>
    <row r="17" spans="1:25" ht="16" x14ac:dyDescent="0.2">
      <c r="A17" s="3" t="s">
        <v>675</v>
      </c>
      <c r="B17" s="33">
        <v>1</v>
      </c>
      <c r="D17" s="10">
        <v>1928</v>
      </c>
      <c r="E17" s="7" t="s">
        <v>30</v>
      </c>
      <c r="F17" s="4">
        <v>3426</v>
      </c>
      <c r="G17" s="9" t="s">
        <v>899</v>
      </c>
      <c r="H17" s="10">
        <v>4577</v>
      </c>
      <c r="I17" s="7" t="s">
        <v>297</v>
      </c>
      <c r="J17" s="4">
        <v>1445</v>
      </c>
      <c r="K17" s="9" t="s">
        <v>23</v>
      </c>
      <c r="L17" s="10">
        <v>3895</v>
      </c>
      <c r="M17" s="7" t="s">
        <v>1176</v>
      </c>
      <c r="N17" s="4">
        <v>1381</v>
      </c>
      <c r="O17" s="9" t="s">
        <v>283</v>
      </c>
      <c r="P17" s="10">
        <v>4085</v>
      </c>
      <c r="Q17" s="7" t="s">
        <v>38</v>
      </c>
      <c r="U17" s="12">
        <v>1928</v>
      </c>
      <c r="V17" s="13" t="s">
        <v>30</v>
      </c>
      <c r="W17" s="16" t="str">
        <f>TEXT(VLOOKUP(U17, News!A:C, 3, FALSE), "M/D/YYYY")</f>
        <v>8/31/2017</v>
      </c>
      <c r="X17" s="18">
        <f>DATE(YEAR(W17),MONTH(Metrics!$B$5), DAY(Metrics!$B$5))</f>
        <v>42979</v>
      </c>
      <c r="Y17" s="16">
        <f t="shared" si="0"/>
        <v>2017</v>
      </c>
    </row>
    <row r="18" spans="1:25" ht="16" x14ac:dyDescent="0.2">
      <c r="A18" s="3" t="s">
        <v>1091</v>
      </c>
      <c r="B18" s="33">
        <v>1</v>
      </c>
      <c r="D18" s="10">
        <v>1940</v>
      </c>
      <c r="E18" s="7" t="s">
        <v>30</v>
      </c>
      <c r="F18" s="4">
        <v>3332</v>
      </c>
      <c r="G18" s="9" t="s">
        <v>899</v>
      </c>
      <c r="H18" s="10">
        <v>4934</v>
      </c>
      <c r="I18" s="7" t="s">
        <v>297</v>
      </c>
      <c r="J18" s="4">
        <v>4048</v>
      </c>
      <c r="K18" s="9" t="s">
        <v>23</v>
      </c>
      <c r="L18" s="10">
        <v>4073</v>
      </c>
      <c r="M18" s="7" t="s">
        <v>1176</v>
      </c>
      <c r="N18" s="4">
        <v>3316</v>
      </c>
      <c r="O18" s="9" t="s">
        <v>283</v>
      </c>
      <c r="P18" s="10">
        <v>4089</v>
      </c>
      <c r="Q18" s="7" t="s">
        <v>38</v>
      </c>
      <c r="U18" s="12">
        <v>1940</v>
      </c>
      <c r="V18" s="13" t="s">
        <v>30</v>
      </c>
      <c r="W18" s="16" t="str">
        <f>TEXT(VLOOKUP(U18, News!A:C, 3, FALSE), "M/D/YYYY")</f>
        <v>8/31/2017</v>
      </c>
      <c r="X18" s="18">
        <f>DATE(YEAR(W18),MONTH(Metrics!$B$5), DAY(Metrics!$B$5))</f>
        <v>42979</v>
      </c>
      <c r="Y18" s="16">
        <f t="shared" si="0"/>
        <v>2017</v>
      </c>
    </row>
    <row r="19" spans="1:25" ht="16" x14ac:dyDescent="0.2">
      <c r="A19" s="3" t="s">
        <v>742</v>
      </c>
      <c r="B19" s="33">
        <v>2</v>
      </c>
      <c r="D19" s="10">
        <v>2088</v>
      </c>
      <c r="E19" s="7" t="s">
        <v>30</v>
      </c>
      <c r="F19" s="4">
        <v>3311</v>
      </c>
      <c r="G19" s="9" t="s">
        <v>899</v>
      </c>
      <c r="H19" s="10">
        <v>5025</v>
      </c>
      <c r="I19" s="7" t="s">
        <v>297</v>
      </c>
      <c r="J19" s="4">
        <v>2015</v>
      </c>
      <c r="K19" s="9" t="s">
        <v>23</v>
      </c>
      <c r="L19" s="10">
        <v>1445</v>
      </c>
      <c r="M19" s="7" t="s">
        <v>1176</v>
      </c>
      <c r="N19" s="4">
        <v>4045</v>
      </c>
      <c r="O19" s="9" t="s">
        <v>283</v>
      </c>
      <c r="P19" s="10">
        <v>4133</v>
      </c>
      <c r="Q19" s="7" t="s">
        <v>38</v>
      </c>
      <c r="U19" s="12">
        <v>2088</v>
      </c>
      <c r="V19" s="13" t="s">
        <v>30</v>
      </c>
      <c r="W19" s="16" t="str">
        <f>TEXT(VLOOKUP(U19, News!A:C, 3, FALSE), "M/D/YYYY")</f>
        <v>7/20/2017</v>
      </c>
      <c r="X19" s="18">
        <f>DATE(YEAR(W19),MONTH(Metrics!$B$5), DAY(Metrics!$B$5))</f>
        <v>42979</v>
      </c>
      <c r="Y19" s="16">
        <f t="shared" si="0"/>
        <v>2017</v>
      </c>
    </row>
    <row r="20" spans="1:25" ht="16" x14ac:dyDescent="0.2">
      <c r="A20" s="3" t="s">
        <v>815</v>
      </c>
      <c r="B20" s="33">
        <v>4</v>
      </c>
      <c r="D20" s="10">
        <v>2199</v>
      </c>
      <c r="E20" s="7" t="s">
        <v>30</v>
      </c>
      <c r="F20" s="4">
        <v>3838</v>
      </c>
      <c r="G20" s="9" t="s">
        <v>899</v>
      </c>
      <c r="H20" s="10">
        <v>5958</v>
      </c>
      <c r="I20" s="7" t="s">
        <v>297</v>
      </c>
      <c r="J20" s="4">
        <v>4204</v>
      </c>
      <c r="K20" s="9" t="s">
        <v>23</v>
      </c>
      <c r="L20" s="10">
        <v>2015</v>
      </c>
      <c r="M20" s="7" t="s">
        <v>1176</v>
      </c>
      <c r="N20" s="4">
        <v>4048</v>
      </c>
      <c r="O20" s="9" t="s">
        <v>283</v>
      </c>
      <c r="P20" s="10">
        <v>4151</v>
      </c>
      <c r="Q20" s="7" t="s">
        <v>38</v>
      </c>
      <c r="U20" s="12">
        <v>2199</v>
      </c>
      <c r="V20" s="13" t="s">
        <v>30</v>
      </c>
      <c r="W20" s="16" t="str">
        <f>TEXT(VLOOKUP(U20, News!A:C, 3, FALSE), "M/D/YYYY")</f>
        <v>6/12/2017</v>
      </c>
      <c r="X20" s="18">
        <f>DATE(YEAR(W20),MONTH(Metrics!$B$5), DAY(Metrics!$B$5))</f>
        <v>42979</v>
      </c>
      <c r="Y20" s="16">
        <f t="shared" si="0"/>
        <v>2017</v>
      </c>
    </row>
    <row r="21" spans="1:25" ht="16" x14ac:dyDescent="0.2">
      <c r="A21" s="3" t="s">
        <v>185</v>
      </c>
      <c r="B21" s="33">
        <v>3</v>
      </c>
      <c r="D21" s="10">
        <v>2201</v>
      </c>
      <c r="E21" s="7" t="s">
        <v>30</v>
      </c>
      <c r="F21" s="4">
        <v>7881</v>
      </c>
      <c r="G21" s="9" t="s">
        <v>899</v>
      </c>
      <c r="H21" s="10">
        <v>6871</v>
      </c>
      <c r="I21" s="7" t="s">
        <v>297</v>
      </c>
      <c r="J21" s="4">
        <v>2032</v>
      </c>
      <c r="K21" s="9" t="s">
        <v>23</v>
      </c>
      <c r="L21" s="10">
        <v>4204</v>
      </c>
      <c r="M21" s="7" t="s">
        <v>1176</v>
      </c>
      <c r="N21" s="4">
        <v>2015</v>
      </c>
      <c r="O21" s="9" t="s">
        <v>283</v>
      </c>
      <c r="P21" s="10">
        <v>4466</v>
      </c>
      <c r="Q21" s="7" t="s">
        <v>38</v>
      </c>
      <c r="U21" s="12">
        <v>2201</v>
      </c>
      <c r="V21" s="13" t="s">
        <v>30</v>
      </c>
      <c r="W21" s="16" t="str">
        <f>TEXT(VLOOKUP(U21, News!A:C, 3, FALSE), "M/D/YYYY")</f>
        <v>6/10/2017</v>
      </c>
      <c r="X21" s="18">
        <f>DATE(YEAR(W21),MONTH(Metrics!$B$5), DAY(Metrics!$B$5))</f>
        <v>42979</v>
      </c>
      <c r="Y21" s="16">
        <f t="shared" si="0"/>
        <v>2017</v>
      </c>
    </row>
    <row r="22" spans="1:25" ht="16" x14ac:dyDescent="0.2">
      <c r="A22" s="3" t="s">
        <v>575</v>
      </c>
      <c r="B22" s="33">
        <v>1</v>
      </c>
      <c r="D22" s="10">
        <v>2210</v>
      </c>
      <c r="E22" s="7" t="s">
        <v>30</v>
      </c>
      <c r="F22" s="4">
        <v>3278</v>
      </c>
      <c r="G22" s="9" t="s">
        <v>899</v>
      </c>
      <c r="H22" s="10">
        <v>7914</v>
      </c>
      <c r="I22" s="7" t="s">
        <v>297</v>
      </c>
      <c r="J22" s="4">
        <v>2515</v>
      </c>
      <c r="K22" s="9" t="s">
        <v>23</v>
      </c>
      <c r="L22" s="10">
        <v>2525</v>
      </c>
      <c r="M22" s="7" t="s">
        <v>1176</v>
      </c>
      <c r="N22" s="4">
        <v>4204</v>
      </c>
      <c r="O22" s="9" t="s">
        <v>283</v>
      </c>
      <c r="P22" s="10">
        <v>4662</v>
      </c>
      <c r="Q22" s="7" t="s">
        <v>38</v>
      </c>
      <c r="U22" s="12">
        <v>2210</v>
      </c>
      <c r="V22" s="13" t="s">
        <v>30</v>
      </c>
      <c r="W22" s="16" t="str">
        <f>TEXT(VLOOKUP(U22, News!A:C, 3, FALSE), "M/D/YYYY")</f>
        <v>5/30/2017</v>
      </c>
      <c r="X22" s="18">
        <f>DATE(YEAR(W22),MONTH(Metrics!$B$5), DAY(Metrics!$B$5))</f>
        <v>42979</v>
      </c>
      <c r="Y22" s="16">
        <f t="shared" si="0"/>
        <v>2017</v>
      </c>
    </row>
    <row r="23" spans="1:25" ht="16" x14ac:dyDescent="0.2">
      <c r="A23" s="3" t="s">
        <v>83</v>
      </c>
      <c r="B23" s="33">
        <v>13</v>
      </c>
      <c r="D23" s="10">
        <v>2321</v>
      </c>
      <c r="E23" s="7" t="s">
        <v>30</v>
      </c>
      <c r="F23" s="4">
        <v>3059</v>
      </c>
      <c r="G23" s="9" t="s">
        <v>899</v>
      </c>
      <c r="H23" s="10">
        <v>3003</v>
      </c>
      <c r="I23" s="7" t="s">
        <v>297</v>
      </c>
      <c r="J23" s="4">
        <v>3343</v>
      </c>
      <c r="K23" s="9" t="s">
        <v>23</v>
      </c>
      <c r="L23" s="10">
        <v>3005</v>
      </c>
      <c r="M23" s="7" t="s">
        <v>1176</v>
      </c>
      <c r="N23" s="4">
        <v>3620</v>
      </c>
      <c r="O23" s="9" t="s">
        <v>283</v>
      </c>
      <c r="P23" s="10">
        <v>6606</v>
      </c>
      <c r="Q23" s="7" t="s">
        <v>38</v>
      </c>
      <c r="U23" s="12">
        <v>2321</v>
      </c>
      <c r="V23" s="13" t="s">
        <v>30</v>
      </c>
      <c r="W23" s="16" t="str">
        <f>TEXT(VLOOKUP(U23, News!A:C, 3, FALSE), "M/D/YYYY")</f>
        <v>5/6/2017</v>
      </c>
      <c r="X23" s="18">
        <f>DATE(YEAR(W23),MONTH(Metrics!$B$5), DAY(Metrics!$B$5))</f>
        <v>42979</v>
      </c>
      <c r="Y23" s="16">
        <f t="shared" si="0"/>
        <v>2017</v>
      </c>
    </row>
    <row r="24" spans="1:25" ht="16" x14ac:dyDescent="0.2">
      <c r="A24" s="3" t="s">
        <v>45</v>
      </c>
      <c r="B24" s="33">
        <v>6</v>
      </c>
      <c r="D24" s="10">
        <v>2337</v>
      </c>
      <c r="E24" s="7" t="s">
        <v>30</v>
      </c>
      <c r="F24" s="4">
        <v>2437</v>
      </c>
      <c r="G24" s="9" t="s">
        <v>899</v>
      </c>
      <c r="H24" s="10">
        <v>3537</v>
      </c>
      <c r="I24" s="7" t="s">
        <v>297</v>
      </c>
      <c r="J24" s="4">
        <v>3551</v>
      </c>
      <c r="K24" s="9" t="s">
        <v>23</v>
      </c>
      <c r="L24" s="10">
        <v>3317</v>
      </c>
      <c r="M24" s="7" t="s">
        <v>1176</v>
      </c>
      <c r="N24" s="4">
        <v>4154</v>
      </c>
      <c r="O24" s="9" t="s">
        <v>283</v>
      </c>
      <c r="P24" s="10">
        <v>6747</v>
      </c>
      <c r="Q24" s="7" t="s">
        <v>38</v>
      </c>
      <c r="U24" s="12">
        <v>2337</v>
      </c>
      <c r="V24" s="13" t="s">
        <v>30</v>
      </c>
      <c r="W24" s="16" t="str">
        <f>TEXT(VLOOKUP(U24, News!A:C, 3, FALSE), "M/D/YYYY")</f>
        <v>5/1/2017</v>
      </c>
      <c r="X24" s="18">
        <f>DATE(YEAR(W24),MONTH(Metrics!$B$5), DAY(Metrics!$B$5))</f>
        <v>42979</v>
      </c>
      <c r="Y24" s="16">
        <f t="shared" si="0"/>
        <v>2017</v>
      </c>
    </row>
    <row r="25" spans="1:25" ht="16" x14ac:dyDescent="0.2">
      <c r="A25" s="3" t="s">
        <v>439</v>
      </c>
      <c r="B25" s="33">
        <v>24</v>
      </c>
      <c r="D25" s="10">
        <v>2340</v>
      </c>
      <c r="E25" s="7" t="s">
        <v>30</v>
      </c>
      <c r="F25" s="4">
        <v>1309</v>
      </c>
      <c r="G25" s="9" t="s">
        <v>899</v>
      </c>
      <c r="H25" s="10">
        <v>4069</v>
      </c>
      <c r="I25" s="7" t="s">
        <v>297</v>
      </c>
      <c r="J25" s="4">
        <v>3642</v>
      </c>
      <c r="K25" s="9" t="s">
        <v>23</v>
      </c>
      <c r="L25" s="10">
        <v>4132</v>
      </c>
      <c r="M25" s="7" t="s">
        <v>1176</v>
      </c>
      <c r="N25" s="4">
        <v>6999</v>
      </c>
      <c r="O25" s="9" t="s">
        <v>283</v>
      </c>
      <c r="P25" s="10">
        <v>7265</v>
      </c>
      <c r="Q25" s="7" t="s">
        <v>38</v>
      </c>
      <c r="U25" s="12">
        <v>2340</v>
      </c>
      <c r="V25" s="13" t="s">
        <v>30</v>
      </c>
      <c r="W25" s="16" t="str">
        <f>TEXT(VLOOKUP(U25, News!A:C, 3, FALSE), "M/D/YYYY")</f>
        <v>4/29/2017</v>
      </c>
      <c r="X25" s="18">
        <f>DATE(YEAR(W25),MONTH(Metrics!$B$5), DAY(Metrics!$B$5))</f>
        <v>42979</v>
      </c>
      <c r="Y25" s="16">
        <f t="shared" si="0"/>
        <v>2017</v>
      </c>
    </row>
    <row r="26" spans="1:25" ht="16" x14ac:dyDescent="0.2">
      <c r="A26" s="3" t="s">
        <v>498</v>
      </c>
      <c r="B26" s="33">
        <v>5</v>
      </c>
      <c r="D26" s="10">
        <v>2343</v>
      </c>
      <c r="E26" s="7" t="s">
        <v>30</v>
      </c>
      <c r="F26" s="4">
        <v>2341</v>
      </c>
      <c r="G26" s="9" t="s">
        <v>899</v>
      </c>
      <c r="H26" s="10">
        <v>1445</v>
      </c>
      <c r="I26" s="7" t="s">
        <v>297</v>
      </c>
      <c r="J26" s="4">
        <v>3735</v>
      </c>
      <c r="K26" s="9" t="s">
        <v>23</v>
      </c>
      <c r="L26" s="10">
        <v>3257</v>
      </c>
      <c r="M26" s="7" t="s">
        <v>1176</v>
      </c>
      <c r="N26" s="4">
        <v>3257</v>
      </c>
      <c r="O26" s="9" t="s">
        <v>283</v>
      </c>
      <c r="P26" s="10">
        <v>7744</v>
      </c>
      <c r="Q26" s="7" t="s">
        <v>38</v>
      </c>
      <c r="U26" s="12">
        <v>2343</v>
      </c>
      <c r="V26" s="13" t="s">
        <v>30</v>
      </c>
      <c r="W26" s="16" t="str">
        <f>TEXT(VLOOKUP(U26, News!A:C, 3, FALSE), "M/D/YYYY")</f>
        <v>4/27/2017</v>
      </c>
      <c r="X26" s="18">
        <f>DATE(YEAR(W26),MONTH(Metrics!$B$5), DAY(Metrics!$B$5))</f>
        <v>42979</v>
      </c>
      <c r="Y26" s="16">
        <f t="shared" si="0"/>
        <v>2017</v>
      </c>
    </row>
    <row r="27" spans="1:25" ht="16" x14ac:dyDescent="0.2">
      <c r="A27" s="3" t="s">
        <v>1119</v>
      </c>
      <c r="B27" s="33">
        <v>2</v>
      </c>
      <c r="D27" s="10">
        <v>2442</v>
      </c>
      <c r="E27" s="7" t="s">
        <v>30</v>
      </c>
      <c r="F27" s="4">
        <v>5641</v>
      </c>
      <c r="G27" s="9" t="s">
        <v>899</v>
      </c>
      <c r="H27" s="10">
        <v>4048</v>
      </c>
      <c r="I27" s="7" t="s">
        <v>297</v>
      </c>
      <c r="J27" s="4">
        <v>3743</v>
      </c>
      <c r="K27" s="9" t="s">
        <v>23</v>
      </c>
      <c r="L27" s="10">
        <v>3280</v>
      </c>
      <c r="M27" s="7" t="s">
        <v>1176</v>
      </c>
      <c r="N27" s="4">
        <v>3330</v>
      </c>
      <c r="O27" s="9" t="s">
        <v>283</v>
      </c>
      <c r="P27" s="10">
        <v>3895</v>
      </c>
      <c r="Q27" s="7" t="s">
        <v>38</v>
      </c>
      <c r="U27" s="12">
        <v>2442</v>
      </c>
      <c r="V27" s="13" t="s">
        <v>30</v>
      </c>
      <c r="W27" s="16" t="str">
        <f>TEXT(VLOOKUP(U27, News!A:C, 3, FALSE), "M/D/YYYY")</f>
        <v>3/12/2017</v>
      </c>
      <c r="X27" s="18">
        <f>DATE(YEAR(W27),MONTH(Metrics!$B$5), DAY(Metrics!$B$5))</f>
        <v>42979</v>
      </c>
      <c r="Y27" s="16">
        <f t="shared" si="0"/>
        <v>2017</v>
      </c>
    </row>
    <row r="28" spans="1:25" ht="16" x14ac:dyDescent="0.2">
      <c r="A28" s="3" t="s">
        <v>1096</v>
      </c>
      <c r="B28" s="33">
        <v>1</v>
      </c>
      <c r="D28" s="10">
        <v>2521</v>
      </c>
      <c r="E28" s="7" t="s">
        <v>30</v>
      </c>
      <c r="F28" s="4">
        <v>7155</v>
      </c>
      <c r="G28" s="9" t="s">
        <v>899</v>
      </c>
      <c r="H28" s="10">
        <v>2015</v>
      </c>
      <c r="I28" s="7" t="s">
        <v>297</v>
      </c>
      <c r="J28" s="4">
        <v>3760</v>
      </c>
      <c r="K28" s="9" t="s">
        <v>23</v>
      </c>
      <c r="L28" s="10">
        <v>3301</v>
      </c>
      <c r="M28" s="7" t="s">
        <v>1176</v>
      </c>
      <c r="N28" s="4">
        <v>3339</v>
      </c>
      <c r="O28" s="9" t="s">
        <v>283</v>
      </c>
      <c r="P28" s="10">
        <v>4073</v>
      </c>
      <c r="Q28" s="7" t="s">
        <v>38</v>
      </c>
      <c r="U28" s="12">
        <v>2521</v>
      </c>
      <c r="V28" s="13" t="s">
        <v>30</v>
      </c>
      <c r="W28" s="16" t="str">
        <f>TEXT(VLOOKUP(U28, News!A:C, 3, FALSE), "M/D/YYYY")</f>
        <v>1/30/2017</v>
      </c>
      <c r="X28" s="18">
        <f>DATE(YEAR(W28),MONTH(Metrics!$B$5), DAY(Metrics!$B$5))</f>
        <v>42979</v>
      </c>
      <c r="Y28" s="16">
        <f t="shared" si="0"/>
        <v>2017</v>
      </c>
    </row>
    <row r="29" spans="1:25" ht="16" x14ac:dyDescent="0.2">
      <c r="A29" s="3" t="s">
        <v>152</v>
      </c>
      <c r="B29" s="33">
        <v>5</v>
      </c>
      <c r="D29" s="10">
        <v>2536</v>
      </c>
      <c r="E29" s="7" t="s">
        <v>30</v>
      </c>
      <c r="F29" s="4">
        <v>2338</v>
      </c>
      <c r="G29" s="9" t="s">
        <v>899</v>
      </c>
      <c r="H29" s="10">
        <v>4204</v>
      </c>
      <c r="I29" s="7" t="s">
        <v>297</v>
      </c>
      <c r="J29" s="4">
        <v>3799</v>
      </c>
      <c r="K29" s="9" t="s">
        <v>23</v>
      </c>
      <c r="L29" s="10">
        <v>3452</v>
      </c>
      <c r="M29" s="7" t="s">
        <v>1176</v>
      </c>
      <c r="N29" s="4">
        <v>3428</v>
      </c>
      <c r="O29" s="9" t="s">
        <v>283</v>
      </c>
      <c r="P29" s="10">
        <v>3316</v>
      </c>
      <c r="Q29" s="7" t="s">
        <v>38</v>
      </c>
      <c r="U29" s="12">
        <v>2536</v>
      </c>
      <c r="V29" s="13" t="s">
        <v>30</v>
      </c>
      <c r="W29" s="16" t="str">
        <f>TEXT(VLOOKUP(U29, News!A:C, 3, FALSE), "M/D/YYYY")</f>
        <v>1/27/2017</v>
      </c>
      <c r="X29" s="18">
        <f>DATE(YEAR(W29),MONTH(Metrics!$B$5), DAY(Metrics!$B$5))</f>
        <v>42979</v>
      </c>
      <c r="Y29" s="16">
        <f t="shared" si="0"/>
        <v>2017</v>
      </c>
    </row>
    <row r="30" spans="1:25" ht="16" x14ac:dyDescent="0.2">
      <c r="A30" s="3" t="s">
        <v>107</v>
      </c>
      <c r="B30" s="33">
        <v>7</v>
      </c>
      <c r="D30" s="10">
        <v>2768</v>
      </c>
      <c r="E30" s="7" t="s">
        <v>30</v>
      </c>
      <c r="F30" s="4">
        <v>1391</v>
      </c>
      <c r="G30" s="9" t="s">
        <v>899</v>
      </c>
      <c r="H30" s="10">
        <v>2525</v>
      </c>
      <c r="I30" s="7" t="s">
        <v>297</v>
      </c>
      <c r="J30" s="4">
        <v>3921</v>
      </c>
      <c r="K30" s="9" t="s">
        <v>23</v>
      </c>
      <c r="L30" s="10">
        <v>4816</v>
      </c>
      <c r="M30" s="7" t="s">
        <v>1176</v>
      </c>
      <c r="N30" s="4">
        <v>3458</v>
      </c>
      <c r="O30" s="9" t="s">
        <v>283</v>
      </c>
      <c r="P30" s="10">
        <v>4045</v>
      </c>
      <c r="Q30" s="7" t="s">
        <v>38</v>
      </c>
      <c r="U30" s="12">
        <v>2768</v>
      </c>
      <c r="V30" s="13" t="s">
        <v>30</v>
      </c>
      <c r="W30" s="16" t="str">
        <f>TEXT(VLOOKUP(U30, News!A:C, 3, FALSE), "M/D/YYYY")</f>
        <v>12/31/2016</v>
      </c>
      <c r="X30" s="18">
        <f>DATE(YEAR(W30),MONTH(Metrics!$B$5), DAY(Metrics!$B$5))</f>
        <v>42614</v>
      </c>
      <c r="Y30" s="16">
        <f t="shared" si="0"/>
        <v>2017</v>
      </c>
    </row>
    <row r="31" spans="1:25" ht="16" x14ac:dyDescent="0.2">
      <c r="A31" s="3" t="s">
        <v>112</v>
      </c>
      <c r="B31" s="33">
        <v>3</v>
      </c>
      <c r="D31" s="10">
        <v>2783</v>
      </c>
      <c r="E31" s="7" t="s">
        <v>30</v>
      </c>
      <c r="F31" s="4">
        <v>1626</v>
      </c>
      <c r="G31" s="9" t="s">
        <v>899</v>
      </c>
      <c r="H31" s="10">
        <v>3005</v>
      </c>
      <c r="I31" s="7" t="s">
        <v>297</v>
      </c>
      <c r="J31" s="4">
        <v>3951</v>
      </c>
      <c r="K31" s="9" t="s">
        <v>23</v>
      </c>
      <c r="L31" s="10">
        <v>7757</v>
      </c>
      <c r="M31" s="7" t="s">
        <v>1176</v>
      </c>
      <c r="N31" s="4">
        <v>3529</v>
      </c>
      <c r="O31" s="9" t="s">
        <v>283</v>
      </c>
      <c r="P31" s="10">
        <v>4093</v>
      </c>
      <c r="Q31" s="7" t="s">
        <v>38</v>
      </c>
      <c r="U31" s="12">
        <v>2783</v>
      </c>
      <c r="V31" s="13" t="s">
        <v>30</v>
      </c>
      <c r="W31" s="16" t="str">
        <f>TEXT(VLOOKUP(U31, News!A:C, 3, FALSE), "M/D/YYYY")</f>
        <v>11/27/2018</v>
      </c>
      <c r="X31" s="18">
        <f>DATE(YEAR(W31),MONTH(Metrics!$B$5), DAY(Metrics!$B$5))</f>
        <v>43344</v>
      </c>
      <c r="Y31" s="16">
        <f t="shared" si="0"/>
        <v>2019</v>
      </c>
    </row>
    <row r="32" spans="1:25" ht="16" x14ac:dyDescent="0.2">
      <c r="A32" s="3" t="s">
        <v>65</v>
      </c>
      <c r="B32" s="33">
        <v>2</v>
      </c>
      <c r="D32" s="10">
        <v>2819</v>
      </c>
      <c r="E32" s="7" t="s">
        <v>30</v>
      </c>
      <c r="F32" s="4">
        <v>3254</v>
      </c>
      <c r="G32" s="9" t="s">
        <v>899</v>
      </c>
      <c r="H32" s="10">
        <v>3317</v>
      </c>
      <c r="I32" s="7" t="s">
        <v>297</v>
      </c>
      <c r="J32" s="4">
        <v>4010</v>
      </c>
      <c r="K32" s="9" t="s">
        <v>23</v>
      </c>
      <c r="L32" s="10">
        <v>7954</v>
      </c>
      <c r="M32" s="7" t="s">
        <v>1176</v>
      </c>
      <c r="N32" s="4">
        <v>3563</v>
      </c>
      <c r="O32" s="9" t="s">
        <v>283</v>
      </c>
      <c r="P32" s="10">
        <v>4202</v>
      </c>
      <c r="Q32" s="7" t="s">
        <v>38</v>
      </c>
      <c r="U32" s="12">
        <v>2819</v>
      </c>
      <c r="V32" s="13" t="s">
        <v>30</v>
      </c>
      <c r="W32" s="16" t="str">
        <f>TEXT(VLOOKUP(U32, News!A:C, 3, FALSE), "M/D/YYYY")</f>
        <v>12/30/2016</v>
      </c>
      <c r="X32" s="18">
        <f>DATE(YEAR(W32),MONTH(Metrics!$B$5), DAY(Metrics!$B$5))</f>
        <v>42614</v>
      </c>
      <c r="Y32" s="16">
        <f t="shared" si="0"/>
        <v>2017</v>
      </c>
    </row>
    <row r="33" spans="1:25" ht="16" x14ac:dyDescent="0.2">
      <c r="A33" s="3" t="s">
        <v>23</v>
      </c>
      <c r="B33" s="33">
        <v>19</v>
      </c>
      <c r="D33" s="10">
        <v>2828</v>
      </c>
      <c r="E33" s="7" t="s">
        <v>30</v>
      </c>
      <c r="F33" s="4">
        <v>4881</v>
      </c>
      <c r="G33" s="9" t="s">
        <v>899</v>
      </c>
      <c r="H33" s="10">
        <v>4132</v>
      </c>
      <c r="I33" s="7" t="s">
        <v>297</v>
      </c>
      <c r="J33" s="4">
        <v>7705</v>
      </c>
      <c r="K33" s="9" t="s">
        <v>23</v>
      </c>
      <c r="L33" s="10">
        <v>1460</v>
      </c>
      <c r="M33" s="7" t="s">
        <v>1176</v>
      </c>
      <c r="N33" s="4">
        <v>3639</v>
      </c>
      <c r="O33" s="9" t="s">
        <v>283</v>
      </c>
      <c r="P33" s="10">
        <v>4058</v>
      </c>
      <c r="Q33" s="7" t="s">
        <v>38</v>
      </c>
      <c r="U33" s="12">
        <v>2828</v>
      </c>
      <c r="V33" s="13" t="s">
        <v>30</v>
      </c>
      <c r="W33" s="16" t="str">
        <f>TEXT(VLOOKUP(U33, News!A:C, 3, FALSE), "M/D/YYYY")</f>
        <v>12/28/2016</v>
      </c>
      <c r="X33" s="18">
        <f>DATE(YEAR(W33),MONTH(Metrics!$B$5), DAY(Metrics!$B$5))</f>
        <v>42614</v>
      </c>
      <c r="Y33" s="16">
        <f t="shared" si="0"/>
        <v>2017</v>
      </c>
    </row>
    <row r="34" spans="1:25" ht="16" x14ac:dyDescent="0.2">
      <c r="A34" s="3" t="s">
        <v>12</v>
      </c>
      <c r="B34" s="33">
        <v>22</v>
      </c>
      <c r="D34" s="10">
        <v>2995</v>
      </c>
      <c r="E34" s="7" t="s">
        <v>30</v>
      </c>
      <c r="F34" s="4">
        <v>3507</v>
      </c>
      <c r="G34" s="9" t="s">
        <v>899</v>
      </c>
      <c r="H34" s="10">
        <v>3620</v>
      </c>
      <c r="I34" s="7" t="s">
        <v>297</v>
      </c>
      <c r="J34" s="4">
        <v>3280</v>
      </c>
      <c r="K34" s="9" t="s">
        <v>23</v>
      </c>
      <c r="L34" s="10">
        <v>2344</v>
      </c>
      <c r="M34" s="7" t="s">
        <v>1176</v>
      </c>
      <c r="N34" s="4">
        <v>3659</v>
      </c>
      <c r="O34" s="9" t="s">
        <v>283</v>
      </c>
      <c r="P34" s="10">
        <v>3617</v>
      </c>
      <c r="Q34" s="7" t="s">
        <v>38</v>
      </c>
      <c r="U34" s="12">
        <v>2995</v>
      </c>
      <c r="V34" s="13" t="s">
        <v>30</v>
      </c>
      <c r="W34" s="16" t="str">
        <f>TEXT(VLOOKUP(U34, News!A:C, 3, FALSE), "M/D/YYYY")</f>
        <v>11/30/2016</v>
      </c>
      <c r="X34" s="18">
        <f>DATE(YEAR(W34),MONTH(Metrics!$B$5), DAY(Metrics!$B$5))</f>
        <v>42614</v>
      </c>
      <c r="Y34" s="16">
        <f t="shared" si="0"/>
        <v>2017</v>
      </c>
    </row>
    <row r="35" spans="1:25" ht="16" x14ac:dyDescent="0.2">
      <c r="A35" s="3" t="s">
        <v>91</v>
      </c>
      <c r="B35" s="33">
        <v>30</v>
      </c>
      <c r="D35" s="10">
        <v>2996</v>
      </c>
      <c r="E35" s="7" t="s">
        <v>30</v>
      </c>
      <c r="F35" s="4">
        <v>3823</v>
      </c>
      <c r="G35" s="9" t="s">
        <v>899</v>
      </c>
      <c r="H35" s="10">
        <v>4154</v>
      </c>
      <c r="I35" s="7" t="s">
        <v>297</v>
      </c>
      <c r="J35" s="4">
        <v>3301</v>
      </c>
      <c r="K35" s="9" t="s">
        <v>23</v>
      </c>
      <c r="L35" s="10">
        <v>3212</v>
      </c>
      <c r="M35" s="7" t="s">
        <v>1176</v>
      </c>
      <c r="N35" s="4">
        <v>3663</v>
      </c>
      <c r="O35" s="9" t="s">
        <v>283</v>
      </c>
      <c r="P35" s="10">
        <v>7797</v>
      </c>
      <c r="Q35" s="7" t="s">
        <v>38</v>
      </c>
      <c r="U35" s="12">
        <v>2996</v>
      </c>
      <c r="V35" s="13" t="s">
        <v>30</v>
      </c>
      <c r="W35" s="16" t="str">
        <f>TEXT(VLOOKUP(U35, News!A:C, 3, FALSE), "M/D/YYYY")</f>
        <v>11/29/2016</v>
      </c>
      <c r="X35" s="18">
        <f>DATE(YEAR(W35),MONTH(Metrics!$B$5), DAY(Metrics!$B$5))</f>
        <v>42614</v>
      </c>
      <c r="Y35" s="16">
        <f t="shared" si="0"/>
        <v>2017</v>
      </c>
    </row>
    <row r="36" spans="1:25" ht="16" x14ac:dyDescent="0.2">
      <c r="A36" s="3" t="s">
        <v>598</v>
      </c>
      <c r="B36" s="33">
        <v>9</v>
      </c>
      <c r="D36" s="10">
        <v>3065</v>
      </c>
      <c r="E36" s="7" t="s">
        <v>30</v>
      </c>
      <c r="F36" s="4">
        <v>3859</v>
      </c>
      <c r="G36" s="9" t="s">
        <v>899</v>
      </c>
      <c r="H36" s="10">
        <v>6999</v>
      </c>
      <c r="I36" s="7" t="s">
        <v>297</v>
      </c>
      <c r="J36" s="4">
        <v>3452</v>
      </c>
      <c r="K36" s="9" t="s">
        <v>23</v>
      </c>
      <c r="L36" s="10">
        <v>4036</v>
      </c>
      <c r="M36" s="7" t="s">
        <v>1176</v>
      </c>
      <c r="N36" s="4">
        <v>3746</v>
      </c>
      <c r="O36" s="9" t="s">
        <v>283</v>
      </c>
      <c r="P36" s="10">
        <v>3334</v>
      </c>
      <c r="Q36" s="7" t="s">
        <v>38</v>
      </c>
      <c r="U36" s="12">
        <v>3065</v>
      </c>
      <c r="V36" s="13" t="s">
        <v>30</v>
      </c>
      <c r="W36" s="16" t="str">
        <f>TEXT(VLOOKUP(U36, News!A:C, 3, FALSE), "M/D/YYYY")</f>
        <v>9/30/2016</v>
      </c>
      <c r="X36" s="18">
        <f>DATE(YEAR(W36),MONTH(Metrics!$B$5), DAY(Metrics!$B$5))</f>
        <v>42614</v>
      </c>
      <c r="Y36" s="16">
        <f t="shared" si="0"/>
        <v>2017</v>
      </c>
    </row>
    <row r="37" spans="1:25" ht="16" x14ac:dyDescent="0.2">
      <c r="A37" s="3" t="s">
        <v>135</v>
      </c>
      <c r="B37" s="33">
        <v>6</v>
      </c>
      <c r="D37" s="10">
        <v>3208</v>
      </c>
      <c r="E37" s="7" t="s">
        <v>30</v>
      </c>
      <c r="F37" s="4">
        <v>4769</v>
      </c>
      <c r="G37" s="9" t="s">
        <v>899</v>
      </c>
      <c r="H37" s="10">
        <v>3257</v>
      </c>
      <c r="I37" s="7" t="s">
        <v>297</v>
      </c>
      <c r="J37" s="4">
        <v>4816</v>
      </c>
      <c r="K37" s="9" t="s">
        <v>23</v>
      </c>
      <c r="L37" s="10">
        <v>4141</v>
      </c>
      <c r="M37" s="7" t="s">
        <v>1176</v>
      </c>
      <c r="N37" s="4">
        <v>3755</v>
      </c>
      <c r="O37" s="9" t="s">
        <v>283</v>
      </c>
      <c r="P37" s="10">
        <v>4087</v>
      </c>
      <c r="Q37" s="7" t="s">
        <v>38</v>
      </c>
      <c r="U37" s="12">
        <v>3208</v>
      </c>
      <c r="V37" s="13" t="s">
        <v>30</v>
      </c>
      <c r="W37" s="16" t="str">
        <f>TEXT(VLOOKUP(U37, News!A:C, 3, FALSE), "M/D/YYYY")</f>
        <v>9/27/2016</v>
      </c>
      <c r="X37" s="18">
        <f>DATE(YEAR(W37),MONTH(Metrics!$B$5), DAY(Metrics!$B$5))</f>
        <v>42614</v>
      </c>
      <c r="Y37" s="16">
        <f t="shared" si="0"/>
        <v>2017</v>
      </c>
    </row>
    <row r="38" spans="1:25" ht="16" x14ac:dyDescent="0.2">
      <c r="A38" s="3" t="s">
        <v>1048</v>
      </c>
      <c r="B38" s="33">
        <v>2</v>
      </c>
      <c r="D38" s="10">
        <v>3250</v>
      </c>
      <c r="E38" s="7" t="s">
        <v>30</v>
      </c>
      <c r="F38" s="4">
        <v>4863</v>
      </c>
      <c r="G38" s="9" t="s">
        <v>899</v>
      </c>
      <c r="H38" s="10">
        <v>2032</v>
      </c>
      <c r="I38" s="7" t="s">
        <v>297</v>
      </c>
      <c r="J38" s="4">
        <v>7757</v>
      </c>
      <c r="K38" s="9" t="s">
        <v>23</v>
      </c>
      <c r="L38" s="10">
        <v>2034</v>
      </c>
      <c r="M38" s="7" t="s">
        <v>1176</v>
      </c>
      <c r="N38" s="4">
        <v>3758</v>
      </c>
      <c r="O38" s="9" t="s">
        <v>283</v>
      </c>
      <c r="P38" s="10">
        <v>4239</v>
      </c>
      <c r="Q38" s="7" t="s">
        <v>38</v>
      </c>
      <c r="U38" s="12">
        <v>3250</v>
      </c>
      <c r="V38" s="13" t="s">
        <v>30</v>
      </c>
      <c r="W38" s="16" t="str">
        <f>TEXT(VLOOKUP(U38, News!A:C, 3, FALSE), "M/D/YYYY")</f>
        <v>9/1/2016</v>
      </c>
      <c r="X38" s="18">
        <f>DATE(YEAR(W38),MONTH(Metrics!$B$5), DAY(Metrics!$B$5))</f>
        <v>42614</v>
      </c>
      <c r="Y38" s="16">
        <f t="shared" si="0"/>
        <v>2017</v>
      </c>
    </row>
    <row r="39" spans="1:25" ht="16" x14ac:dyDescent="0.2">
      <c r="A39" s="3" t="s">
        <v>283</v>
      </c>
      <c r="B39" s="33">
        <v>3</v>
      </c>
      <c r="D39" s="10">
        <v>3314</v>
      </c>
      <c r="E39" s="7" t="s">
        <v>30</v>
      </c>
      <c r="F39" s="4">
        <v>4829</v>
      </c>
      <c r="G39" s="9" t="s">
        <v>899</v>
      </c>
      <c r="H39" s="10">
        <v>2515</v>
      </c>
      <c r="I39" s="7" t="s">
        <v>297</v>
      </c>
      <c r="J39" s="4">
        <v>7954</v>
      </c>
      <c r="K39" s="9" t="s">
        <v>23</v>
      </c>
      <c r="L39" s="10">
        <v>4956</v>
      </c>
      <c r="M39" s="7" t="s">
        <v>1176</v>
      </c>
      <c r="N39" s="4">
        <v>3803</v>
      </c>
      <c r="O39" s="9" t="s">
        <v>283</v>
      </c>
      <c r="P39" s="10">
        <v>6926</v>
      </c>
      <c r="Q39" s="7" t="s">
        <v>38</v>
      </c>
      <c r="U39" s="12">
        <v>3314</v>
      </c>
      <c r="V39" s="13" t="s">
        <v>30</v>
      </c>
      <c r="W39" s="16" t="str">
        <f>TEXT(VLOOKUP(U39, News!A:C, 3, FALSE), "M/D/YYYY")</f>
        <v>7/30/2016</v>
      </c>
      <c r="X39" s="18">
        <f>DATE(YEAR(W39),MONTH(Metrics!$B$5), DAY(Metrics!$B$5))</f>
        <v>42614</v>
      </c>
      <c r="Y39" s="16">
        <f t="shared" si="0"/>
        <v>2016</v>
      </c>
    </row>
    <row r="40" spans="1:25" ht="16" x14ac:dyDescent="0.2">
      <c r="A40" s="3" t="s">
        <v>373</v>
      </c>
      <c r="B40" s="33">
        <v>1</v>
      </c>
      <c r="D40" s="10">
        <v>3338</v>
      </c>
      <c r="E40" s="7" t="s">
        <v>30</v>
      </c>
      <c r="F40" s="4">
        <v>4493</v>
      </c>
      <c r="G40" s="9" t="s">
        <v>899</v>
      </c>
      <c r="H40" s="10">
        <v>3343</v>
      </c>
      <c r="I40" s="7" t="s">
        <v>297</v>
      </c>
      <c r="J40" s="4">
        <v>3330</v>
      </c>
      <c r="K40" s="9" t="s">
        <v>23</v>
      </c>
      <c r="L40" s="10">
        <v>5129</v>
      </c>
      <c r="M40" s="7" t="s">
        <v>1176</v>
      </c>
      <c r="N40" s="4">
        <v>3883</v>
      </c>
      <c r="O40" s="9" t="s">
        <v>283</v>
      </c>
      <c r="P40" s="10">
        <v>7196</v>
      </c>
      <c r="Q40" s="7" t="s">
        <v>38</v>
      </c>
      <c r="U40" s="12">
        <v>3338</v>
      </c>
      <c r="V40" s="13" t="s">
        <v>30</v>
      </c>
      <c r="W40" s="16" t="str">
        <f>TEXT(VLOOKUP(U40, News!A:C, 3, FALSE), "M/D/YYYY")</f>
        <v>6/27/2016</v>
      </c>
      <c r="X40" s="18">
        <f>DATE(YEAR(W40),MONTH(Metrics!$B$5), DAY(Metrics!$B$5))</f>
        <v>42614</v>
      </c>
      <c r="Y40" s="16">
        <f t="shared" si="0"/>
        <v>2016</v>
      </c>
    </row>
    <row r="41" spans="1:25" ht="16" x14ac:dyDescent="0.2">
      <c r="A41" s="3" t="s">
        <v>38</v>
      </c>
      <c r="B41" s="33">
        <v>104</v>
      </c>
      <c r="D41" s="10">
        <v>3549</v>
      </c>
      <c r="E41" s="7" t="s">
        <v>30</v>
      </c>
      <c r="F41" s="4">
        <v>4579</v>
      </c>
      <c r="G41" s="9" t="s">
        <v>899</v>
      </c>
      <c r="H41" s="10">
        <v>3551</v>
      </c>
      <c r="I41" s="7" t="s">
        <v>297</v>
      </c>
      <c r="J41" s="4">
        <v>3339</v>
      </c>
      <c r="K41" s="9" t="s">
        <v>23</v>
      </c>
      <c r="L41" s="10">
        <v>6435</v>
      </c>
      <c r="M41" s="7" t="s">
        <v>1176</v>
      </c>
      <c r="N41" s="4">
        <v>3899</v>
      </c>
      <c r="O41" s="9" t="s">
        <v>283</v>
      </c>
      <c r="P41" s="10">
        <v>7325</v>
      </c>
      <c r="Q41" s="7" t="s">
        <v>38</v>
      </c>
      <c r="U41" s="12">
        <v>3549</v>
      </c>
      <c r="V41" s="13" t="s">
        <v>30</v>
      </c>
      <c r="W41" s="16" t="str">
        <f>TEXT(VLOOKUP(U41, News!A:C, 3, FALSE), "M/D/YYYY")</f>
        <v>3/31/2016</v>
      </c>
      <c r="X41" s="18">
        <f>DATE(YEAR(W41),MONTH(Metrics!$B$5), DAY(Metrics!$B$5))</f>
        <v>42614</v>
      </c>
      <c r="Y41" s="16">
        <f t="shared" si="0"/>
        <v>2016</v>
      </c>
    </row>
    <row r="42" spans="1:25" ht="16" x14ac:dyDescent="0.2">
      <c r="A42" s="3" t="s">
        <v>127</v>
      </c>
      <c r="B42" s="33">
        <v>4</v>
      </c>
      <c r="D42" s="10">
        <v>3629</v>
      </c>
      <c r="E42" s="7" t="s">
        <v>30</v>
      </c>
      <c r="F42" s="4">
        <v>7610</v>
      </c>
      <c r="G42" s="9" t="s">
        <v>899</v>
      </c>
      <c r="H42" s="10">
        <v>3642</v>
      </c>
      <c r="I42" s="7" t="s">
        <v>297</v>
      </c>
      <c r="J42" s="4">
        <v>3428</v>
      </c>
      <c r="K42" s="9" t="s">
        <v>23</v>
      </c>
      <c r="L42" s="10">
        <v>7205</v>
      </c>
      <c r="M42" s="7" t="s">
        <v>1176</v>
      </c>
      <c r="N42" s="4">
        <v>3970</v>
      </c>
      <c r="O42" s="9" t="s">
        <v>283</v>
      </c>
      <c r="P42" s="10">
        <v>3941</v>
      </c>
      <c r="Q42" s="7" t="s">
        <v>38</v>
      </c>
      <c r="U42" s="12">
        <v>3629</v>
      </c>
      <c r="V42" s="13" t="s">
        <v>30</v>
      </c>
      <c r="W42" s="16" t="str">
        <f>TEXT(VLOOKUP(U42, News!A:C, 3, FALSE), "M/D/YYYY")</f>
        <v>2/19/2019</v>
      </c>
      <c r="X42" s="18">
        <f>DATE(YEAR(W42),MONTH(Metrics!$B$5), DAY(Metrics!$B$5))</f>
        <v>43709</v>
      </c>
      <c r="Y42" s="16">
        <f t="shared" si="0"/>
        <v>2019</v>
      </c>
    </row>
    <row r="43" spans="1:25" ht="16" x14ac:dyDescent="0.2">
      <c r="A43" s="3" t="s">
        <v>302</v>
      </c>
      <c r="B43" s="33">
        <v>7</v>
      </c>
      <c r="D43" s="10">
        <v>3637</v>
      </c>
      <c r="E43" s="7" t="s">
        <v>30</v>
      </c>
      <c r="F43" s="4">
        <v>8223</v>
      </c>
      <c r="G43" s="9" t="s">
        <v>899</v>
      </c>
      <c r="H43" s="10">
        <v>3735</v>
      </c>
      <c r="I43" s="7" t="s">
        <v>297</v>
      </c>
      <c r="J43" s="4">
        <v>3458</v>
      </c>
      <c r="K43" s="9" t="s">
        <v>23</v>
      </c>
      <c r="L43" s="10">
        <v>3817</v>
      </c>
      <c r="M43" s="7" t="s">
        <v>1176</v>
      </c>
      <c r="N43" s="4">
        <v>4016</v>
      </c>
      <c r="O43" s="9" t="s">
        <v>283</v>
      </c>
      <c r="P43" s="10">
        <v>4052</v>
      </c>
      <c r="Q43" s="7" t="s">
        <v>38</v>
      </c>
      <c r="U43" s="12">
        <v>3637</v>
      </c>
      <c r="V43" s="13" t="s">
        <v>30</v>
      </c>
      <c r="W43" s="16" t="str">
        <f>TEXT(VLOOKUP(U43, News!A:C, 3, FALSE), "M/D/YYYY")</f>
        <v>11/30/2015</v>
      </c>
      <c r="X43" s="18">
        <f>DATE(YEAR(W43),MONTH(Metrics!$B$5), DAY(Metrics!$B$5))</f>
        <v>42248</v>
      </c>
      <c r="Y43" s="16">
        <f t="shared" si="0"/>
        <v>2016</v>
      </c>
    </row>
    <row r="44" spans="1:25" ht="16" x14ac:dyDescent="0.2">
      <c r="A44" s="3" t="s">
        <v>1173</v>
      </c>
      <c r="B44" s="33"/>
      <c r="D44" s="10">
        <v>3717</v>
      </c>
      <c r="E44" s="7" t="s">
        <v>30</v>
      </c>
      <c r="F44" s="4">
        <v>6078</v>
      </c>
      <c r="G44" s="9" t="s">
        <v>899</v>
      </c>
      <c r="H44" s="10">
        <v>3743</v>
      </c>
      <c r="I44" s="7" t="s">
        <v>297</v>
      </c>
      <c r="J44" s="4">
        <v>3529</v>
      </c>
      <c r="K44" s="9" t="s">
        <v>23</v>
      </c>
      <c r="L44" s="10">
        <v>6073</v>
      </c>
      <c r="M44" s="7" t="s">
        <v>1176</v>
      </c>
      <c r="N44" s="4">
        <v>4075</v>
      </c>
      <c r="O44" s="9" t="s">
        <v>283</v>
      </c>
      <c r="P44" s="10">
        <v>433</v>
      </c>
      <c r="Q44" s="7" t="s">
        <v>38</v>
      </c>
      <c r="U44" s="12">
        <v>3717</v>
      </c>
      <c r="V44" s="13" t="s">
        <v>30</v>
      </c>
      <c r="W44" s="16" t="str">
        <f>TEXT(VLOOKUP(U44, News!A:C, 3, FALSE), "M/D/YYYY")</f>
        <v>2/22/2019</v>
      </c>
      <c r="X44" s="18">
        <f>DATE(YEAR(W44),MONTH(Metrics!$B$5), DAY(Metrics!$B$5))</f>
        <v>43709</v>
      </c>
      <c r="Y44" s="16">
        <f t="shared" si="0"/>
        <v>2019</v>
      </c>
    </row>
    <row r="45" spans="1:25" ht="16" x14ac:dyDescent="0.2">
      <c r="A45" s="3" t="s">
        <v>455</v>
      </c>
      <c r="B45" s="33">
        <v>8</v>
      </c>
      <c r="D45" s="10">
        <v>3724</v>
      </c>
      <c r="E45" s="7" t="s">
        <v>30</v>
      </c>
      <c r="F45" s="4">
        <v>6267</v>
      </c>
      <c r="G45" s="9" t="s">
        <v>899</v>
      </c>
      <c r="H45" s="10">
        <v>3760</v>
      </c>
      <c r="I45" s="7" t="s">
        <v>297</v>
      </c>
      <c r="J45" s="4">
        <v>3563</v>
      </c>
      <c r="K45" s="9" t="s">
        <v>23</v>
      </c>
      <c r="L45" s="10">
        <v>7358</v>
      </c>
      <c r="M45" s="7" t="s">
        <v>1176</v>
      </c>
      <c r="N45" s="4">
        <v>4125</v>
      </c>
      <c r="O45" s="9" t="s">
        <v>283</v>
      </c>
      <c r="P45" s="10">
        <v>769</v>
      </c>
      <c r="Q45" s="7" t="s">
        <v>38</v>
      </c>
      <c r="U45" s="12">
        <v>3724</v>
      </c>
      <c r="V45" s="13" t="s">
        <v>30</v>
      </c>
      <c r="W45" s="16" t="str">
        <f>TEXT(VLOOKUP(U45, News!A:C, 3, FALSE), "M/D/YYYY")</f>
        <v>2/25/2019</v>
      </c>
      <c r="X45" s="18">
        <f>DATE(YEAR(W45),MONTH(Metrics!$B$5), DAY(Metrics!$B$5))</f>
        <v>43709</v>
      </c>
      <c r="Y45" s="16">
        <f t="shared" si="0"/>
        <v>2019</v>
      </c>
    </row>
    <row r="46" spans="1:25" ht="16" x14ac:dyDescent="0.2">
      <c r="A46" s="3" t="s">
        <v>1065</v>
      </c>
      <c r="B46" s="33">
        <v>1</v>
      </c>
      <c r="D46" s="10">
        <v>3732</v>
      </c>
      <c r="E46" s="7" t="s">
        <v>30</v>
      </c>
      <c r="F46" s="4">
        <v>6264</v>
      </c>
      <c r="G46" s="9" t="s">
        <v>899</v>
      </c>
      <c r="H46" s="10">
        <v>3799</v>
      </c>
      <c r="I46" s="7" t="s">
        <v>297</v>
      </c>
      <c r="J46" s="4">
        <v>3639</v>
      </c>
      <c r="K46" s="9" t="s">
        <v>23</v>
      </c>
      <c r="L46" s="10">
        <v>1382</v>
      </c>
      <c r="M46" s="7" t="s">
        <v>1176</v>
      </c>
      <c r="N46" s="4">
        <v>4155</v>
      </c>
      <c r="O46" s="9" t="s">
        <v>283</v>
      </c>
      <c r="P46" s="10">
        <v>1343</v>
      </c>
      <c r="Q46" s="7" t="s">
        <v>38</v>
      </c>
      <c r="U46" s="12">
        <v>3732</v>
      </c>
      <c r="V46" s="13" t="s">
        <v>30</v>
      </c>
      <c r="W46" s="16" t="str">
        <f>TEXT(VLOOKUP(U46, News!A:C, 3, FALSE), "M/D/YYYY")</f>
        <v>11/1/2015</v>
      </c>
      <c r="X46" s="18">
        <f>DATE(YEAR(W46),MONTH(Metrics!$B$5), DAY(Metrics!$B$5))</f>
        <v>42248</v>
      </c>
      <c r="Y46" s="16">
        <f t="shared" si="0"/>
        <v>2016</v>
      </c>
    </row>
    <row r="47" spans="1:25" ht="16" x14ac:dyDescent="0.2">
      <c r="A47" s="3" t="s">
        <v>385</v>
      </c>
      <c r="B47" s="33">
        <v>4</v>
      </c>
      <c r="D47" s="10">
        <v>3739</v>
      </c>
      <c r="E47" s="7" t="s">
        <v>30</v>
      </c>
      <c r="F47" s="4">
        <v>6919</v>
      </c>
      <c r="G47" s="9" t="s">
        <v>899</v>
      </c>
      <c r="H47" s="10">
        <v>3921</v>
      </c>
      <c r="I47" s="7" t="s">
        <v>297</v>
      </c>
      <c r="J47" s="4">
        <v>3659</v>
      </c>
      <c r="K47" s="9" t="s">
        <v>23</v>
      </c>
      <c r="L47" s="10">
        <v>1400</v>
      </c>
      <c r="M47" s="7" t="s">
        <v>1176</v>
      </c>
      <c r="N47" s="4">
        <v>4357</v>
      </c>
      <c r="O47" s="9" t="s">
        <v>283</v>
      </c>
      <c r="P47" s="10">
        <v>1346</v>
      </c>
      <c r="Q47" s="7" t="s">
        <v>38</v>
      </c>
      <c r="U47" s="12">
        <v>3739</v>
      </c>
      <c r="V47" s="13" t="s">
        <v>30</v>
      </c>
      <c r="W47" s="16" t="str">
        <f>TEXT(VLOOKUP(U47, News!A:C, 3, FALSE), "M/D/YYYY")</f>
        <v>10/20/2015</v>
      </c>
      <c r="X47" s="18">
        <f>DATE(YEAR(W47),MONTH(Metrics!$B$5), DAY(Metrics!$B$5))</f>
        <v>42248</v>
      </c>
      <c r="Y47" s="16">
        <f t="shared" si="0"/>
        <v>2016</v>
      </c>
    </row>
    <row r="48" spans="1:25" ht="16" x14ac:dyDescent="0.2">
      <c r="A48" s="3" t="s">
        <v>969</v>
      </c>
      <c r="B48" s="33">
        <v>1</v>
      </c>
      <c r="D48" s="10">
        <v>3741</v>
      </c>
      <c r="E48" s="7" t="s">
        <v>30</v>
      </c>
      <c r="F48" s="4">
        <v>8125</v>
      </c>
      <c r="G48" s="9" t="s">
        <v>899</v>
      </c>
      <c r="H48" s="10">
        <v>3951</v>
      </c>
      <c r="I48" s="7" t="s">
        <v>297</v>
      </c>
      <c r="J48" s="4">
        <v>3663</v>
      </c>
      <c r="K48" s="9" t="s">
        <v>23</v>
      </c>
      <c r="L48" s="10">
        <v>1701</v>
      </c>
      <c r="M48" s="7" t="s">
        <v>1176</v>
      </c>
      <c r="N48" s="4">
        <v>4435</v>
      </c>
      <c r="O48" s="9" t="s">
        <v>283</v>
      </c>
      <c r="P48" s="10">
        <v>1347</v>
      </c>
      <c r="Q48" s="7" t="s">
        <v>38</v>
      </c>
      <c r="U48" s="12">
        <v>3741</v>
      </c>
      <c r="V48" s="13" t="s">
        <v>30</v>
      </c>
      <c r="W48" s="16" t="str">
        <f>TEXT(VLOOKUP(U48, News!A:C, 3, FALSE), "M/D/YYYY")</f>
        <v>10/15/2015</v>
      </c>
      <c r="X48" s="18">
        <f>DATE(YEAR(W48),MONTH(Metrics!$B$5), DAY(Metrics!$B$5))</f>
        <v>42248</v>
      </c>
      <c r="Y48" s="16">
        <f t="shared" si="0"/>
        <v>2016</v>
      </c>
    </row>
    <row r="49" spans="1:25" ht="16" x14ac:dyDescent="0.2">
      <c r="A49" s="3" t="s">
        <v>894</v>
      </c>
      <c r="B49" s="33">
        <v>2</v>
      </c>
      <c r="D49" s="10">
        <v>3757</v>
      </c>
      <c r="E49" s="7" t="s">
        <v>30</v>
      </c>
      <c r="H49" s="10">
        <v>4010</v>
      </c>
      <c r="I49" s="7" t="s">
        <v>297</v>
      </c>
      <c r="J49" s="4">
        <v>3746</v>
      </c>
      <c r="K49" s="9" t="s">
        <v>23</v>
      </c>
      <c r="L49" s="10">
        <v>2444</v>
      </c>
      <c r="M49" s="7" t="s">
        <v>1176</v>
      </c>
      <c r="N49" s="4">
        <v>4458</v>
      </c>
      <c r="O49" s="9" t="s">
        <v>283</v>
      </c>
      <c r="P49" s="10">
        <v>1352</v>
      </c>
      <c r="Q49" s="7" t="s">
        <v>38</v>
      </c>
      <c r="U49" s="12">
        <v>3757</v>
      </c>
      <c r="V49" s="13" t="s">
        <v>30</v>
      </c>
      <c r="W49" s="16" t="str">
        <f>TEXT(VLOOKUP(U49, News!A:C, 3, FALSE), "M/D/YYYY")</f>
        <v>11/22/2015</v>
      </c>
      <c r="X49" s="18">
        <f>DATE(YEAR(W49),MONTH(Metrics!$B$5), DAY(Metrics!$B$5))</f>
        <v>42248</v>
      </c>
      <c r="Y49" s="16">
        <f t="shared" si="0"/>
        <v>2016</v>
      </c>
    </row>
    <row r="50" spans="1:25" ht="16" x14ac:dyDescent="0.2">
      <c r="A50" s="3" t="s">
        <v>899</v>
      </c>
      <c r="B50" s="33">
        <v>1</v>
      </c>
      <c r="D50" s="10">
        <v>3795</v>
      </c>
      <c r="E50" s="7" t="s">
        <v>30</v>
      </c>
      <c r="H50" s="10">
        <v>7705</v>
      </c>
      <c r="I50" s="7" t="s">
        <v>297</v>
      </c>
      <c r="J50" s="4">
        <v>3755</v>
      </c>
      <c r="K50" s="9" t="s">
        <v>23</v>
      </c>
      <c r="L50" s="10">
        <v>2989</v>
      </c>
      <c r="M50" s="7" t="s">
        <v>1176</v>
      </c>
      <c r="N50" s="4">
        <v>4592</v>
      </c>
      <c r="O50" s="9" t="s">
        <v>283</v>
      </c>
      <c r="P50" s="10">
        <v>1361</v>
      </c>
      <c r="Q50" s="7" t="s">
        <v>38</v>
      </c>
      <c r="U50" s="12">
        <v>3795</v>
      </c>
      <c r="V50" s="13" t="s">
        <v>30</v>
      </c>
      <c r="W50" s="16" t="str">
        <f>TEXT(VLOOKUP(U50, News!A:C, 3, FALSE), "M/D/YYYY")</f>
        <v>7/22/2015</v>
      </c>
      <c r="X50" s="18">
        <f>DATE(YEAR(W50),MONTH(Metrics!$B$5), DAY(Metrics!$B$5))</f>
        <v>42248</v>
      </c>
      <c r="Y50" s="16">
        <f t="shared" si="0"/>
        <v>2015</v>
      </c>
    </row>
    <row r="51" spans="1:25" ht="16" x14ac:dyDescent="0.2">
      <c r="A51" s="3" t="s">
        <v>61</v>
      </c>
      <c r="B51" s="33">
        <v>3</v>
      </c>
      <c r="D51" s="10">
        <v>3815</v>
      </c>
      <c r="E51" s="7" t="s">
        <v>30</v>
      </c>
      <c r="H51" s="10">
        <v>3280</v>
      </c>
      <c r="I51" s="7" t="s">
        <v>297</v>
      </c>
      <c r="J51" s="4">
        <v>3758</v>
      </c>
      <c r="K51" s="9" t="s">
        <v>23</v>
      </c>
      <c r="L51" s="10">
        <v>3410</v>
      </c>
      <c r="M51" s="7" t="s">
        <v>1176</v>
      </c>
      <c r="N51" s="4">
        <v>1460</v>
      </c>
      <c r="O51" s="9" t="s">
        <v>283</v>
      </c>
      <c r="P51" s="10">
        <v>1411</v>
      </c>
      <c r="Q51" s="7" t="s">
        <v>38</v>
      </c>
      <c r="U51" s="12">
        <v>3815</v>
      </c>
      <c r="V51" s="13" t="s">
        <v>30</v>
      </c>
      <c r="W51" s="16" t="str">
        <f>TEXT(VLOOKUP(U51, News!A:C, 3, FALSE), "M/D/YYYY")</f>
        <v>2/27/2019</v>
      </c>
      <c r="X51" s="18">
        <f>DATE(YEAR(W51),MONTH(Metrics!$B$5), DAY(Metrics!$B$5))</f>
        <v>43709</v>
      </c>
      <c r="Y51" s="16">
        <f t="shared" si="0"/>
        <v>2019</v>
      </c>
    </row>
    <row r="52" spans="1:25" ht="16" x14ac:dyDescent="0.2">
      <c r="A52" s="3" t="s">
        <v>875</v>
      </c>
      <c r="B52" s="33">
        <v>1</v>
      </c>
      <c r="D52" s="10">
        <v>3843</v>
      </c>
      <c r="E52" s="7" t="s">
        <v>30</v>
      </c>
      <c r="H52" s="10">
        <v>3301</v>
      </c>
      <c r="I52" s="7" t="s">
        <v>297</v>
      </c>
      <c r="J52" s="4">
        <v>3803</v>
      </c>
      <c r="K52" s="9" t="s">
        <v>23</v>
      </c>
      <c r="L52" s="10">
        <v>3442</v>
      </c>
      <c r="M52" s="7" t="s">
        <v>1176</v>
      </c>
      <c r="N52" s="4">
        <v>2344</v>
      </c>
      <c r="O52" s="9" t="s">
        <v>283</v>
      </c>
      <c r="P52" s="10">
        <v>1448</v>
      </c>
      <c r="Q52" s="7" t="s">
        <v>38</v>
      </c>
      <c r="U52" s="12">
        <v>3843</v>
      </c>
      <c r="V52" s="13" t="s">
        <v>30</v>
      </c>
      <c r="W52" s="16" t="str">
        <f>TEXT(VLOOKUP(U52, News!A:C, 3, FALSE), "M/D/YYYY")</f>
        <v>4/1/2019</v>
      </c>
      <c r="X52" s="18">
        <f>DATE(YEAR(W52),MONTH(Metrics!$B$5), DAY(Metrics!$B$5))</f>
        <v>43709</v>
      </c>
      <c r="Y52" s="16">
        <f t="shared" si="0"/>
        <v>2019</v>
      </c>
    </row>
    <row r="53" spans="1:25" ht="16" x14ac:dyDescent="0.2">
      <c r="A53" s="3" t="s">
        <v>856</v>
      </c>
      <c r="B53" s="33">
        <v>1</v>
      </c>
      <c r="D53" s="10">
        <v>3856</v>
      </c>
      <c r="E53" s="7" t="s">
        <v>30</v>
      </c>
      <c r="H53" s="10">
        <v>3452</v>
      </c>
      <c r="I53" s="7" t="s">
        <v>297</v>
      </c>
      <c r="J53" s="4">
        <v>3883</v>
      </c>
      <c r="K53" s="9" t="s">
        <v>23</v>
      </c>
      <c r="L53" s="10">
        <v>3542</v>
      </c>
      <c r="M53" s="7" t="s">
        <v>1176</v>
      </c>
      <c r="N53" s="4">
        <v>3212</v>
      </c>
      <c r="O53" s="9" t="s">
        <v>283</v>
      </c>
      <c r="P53" s="10">
        <v>1453</v>
      </c>
      <c r="Q53" s="7" t="s">
        <v>38</v>
      </c>
      <c r="U53" s="12">
        <v>3856</v>
      </c>
      <c r="V53" s="13" t="s">
        <v>30</v>
      </c>
      <c r="W53" s="16" t="str">
        <f>TEXT(VLOOKUP(U53, News!A:C, 3, FALSE), "M/D/YYYY")</f>
        <v>3/28/2019</v>
      </c>
      <c r="X53" s="18">
        <f>DATE(YEAR(W53),MONTH(Metrics!$B$5), DAY(Metrics!$B$5))</f>
        <v>43709</v>
      </c>
      <c r="Y53" s="16">
        <f t="shared" si="0"/>
        <v>2019</v>
      </c>
    </row>
    <row r="54" spans="1:25" ht="16" x14ac:dyDescent="0.2">
      <c r="A54" s="3" t="s">
        <v>795</v>
      </c>
      <c r="B54" s="33">
        <v>1</v>
      </c>
      <c r="D54" s="10">
        <v>3872</v>
      </c>
      <c r="E54" s="7" t="s">
        <v>30</v>
      </c>
      <c r="H54" s="10">
        <v>4816</v>
      </c>
      <c r="I54" s="7" t="s">
        <v>297</v>
      </c>
      <c r="J54" s="4">
        <v>3899</v>
      </c>
      <c r="K54" s="9" t="s">
        <v>23</v>
      </c>
      <c r="L54" s="10">
        <v>3604</v>
      </c>
      <c r="M54" s="7" t="s">
        <v>1176</v>
      </c>
      <c r="N54" s="4">
        <v>4036</v>
      </c>
      <c r="O54" s="9" t="s">
        <v>283</v>
      </c>
      <c r="P54" s="10">
        <v>1456</v>
      </c>
      <c r="Q54" s="7" t="s">
        <v>38</v>
      </c>
      <c r="U54" s="12">
        <v>3872</v>
      </c>
      <c r="V54" s="13" t="s">
        <v>30</v>
      </c>
      <c r="W54" s="16" t="str">
        <f>TEXT(VLOOKUP(U54, News!A:C, 3, FALSE), "M/D/YYYY")</f>
        <v>4/3/2019</v>
      </c>
      <c r="X54" s="18">
        <f>DATE(YEAR(W54),MONTH(Metrics!$B$5), DAY(Metrics!$B$5))</f>
        <v>43709</v>
      </c>
      <c r="Y54" s="16">
        <f t="shared" si="0"/>
        <v>2019</v>
      </c>
    </row>
    <row r="55" spans="1:25" ht="16" x14ac:dyDescent="0.2">
      <c r="A55" s="3" t="s">
        <v>159</v>
      </c>
      <c r="B55" s="33">
        <v>4</v>
      </c>
      <c r="D55" s="10">
        <v>3885</v>
      </c>
      <c r="E55" s="7" t="s">
        <v>30</v>
      </c>
      <c r="H55" s="10">
        <v>7757</v>
      </c>
      <c r="I55" s="7" t="s">
        <v>297</v>
      </c>
      <c r="J55" s="4">
        <v>3970</v>
      </c>
      <c r="K55" s="9" t="s">
        <v>23</v>
      </c>
      <c r="L55" s="10">
        <v>3654</v>
      </c>
      <c r="M55" s="7" t="s">
        <v>1176</v>
      </c>
      <c r="N55" s="4">
        <v>4141</v>
      </c>
      <c r="O55" s="9" t="s">
        <v>283</v>
      </c>
      <c r="P55" s="10">
        <v>1465</v>
      </c>
      <c r="Q55" s="7" t="s">
        <v>38</v>
      </c>
      <c r="U55" s="12">
        <v>3885</v>
      </c>
      <c r="V55" s="13" t="s">
        <v>30</v>
      </c>
      <c r="W55" s="16" t="str">
        <f>TEXT(VLOOKUP(U55, News!A:C, 3, FALSE), "M/D/YYYY")</f>
        <v>6/10/2015</v>
      </c>
      <c r="X55" s="18">
        <f>DATE(YEAR(W55),MONTH(Metrics!$B$5), DAY(Metrics!$B$5))</f>
        <v>42248</v>
      </c>
      <c r="Y55" s="16">
        <f t="shared" si="0"/>
        <v>2015</v>
      </c>
    </row>
    <row r="56" spans="1:25" ht="16" x14ac:dyDescent="0.2">
      <c r="A56" s="3" t="s">
        <v>784</v>
      </c>
      <c r="B56" s="33">
        <v>1</v>
      </c>
      <c r="D56" s="10">
        <v>3931</v>
      </c>
      <c r="E56" s="7" t="s">
        <v>30</v>
      </c>
      <c r="H56" s="10">
        <v>7954</v>
      </c>
      <c r="I56" s="7" t="s">
        <v>297</v>
      </c>
      <c r="J56" s="4">
        <v>4016</v>
      </c>
      <c r="K56" s="9" t="s">
        <v>23</v>
      </c>
      <c r="L56" s="10">
        <v>3980</v>
      </c>
      <c r="M56" s="7" t="s">
        <v>1176</v>
      </c>
      <c r="N56" s="4">
        <v>4058</v>
      </c>
      <c r="O56" s="9" t="s">
        <v>283</v>
      </c>
      <c r="P56" s="10">
        <v>1493</v>
      </c>
      <c r="Q56" s="7" t="s">
        <v>38</v>
      </c>
      <c r="U56" s="12">
        <v>3931</v>
      </c>
      <c r="V56" s="13" t="s">
        <v>30</v>
      </c>
      <c r="W56" s="16" t="str">
        <f>TEXT(VLOOKUP(U56, News!A:C, 3, FALSE), "M/D/YYYY")</f>
        <v>4/29/2015</v>
      </c>
      <c r="X56" s="18">
        <f>DATE(YEAR(W56),MONTH(Metrics!$B$5), DAY(Metrics!$B$5))</f>
        <v>42248</v>
      </c>
      <c r="Y56" s="16">
        <f t="shared" si="0"/>
        <v>2015</v>
      </c>
    </row>
    <row r="57" spans="1:25" ht="16" x14ac:dyDescent="0.2">
      <c r="A57" s="3" t="s">
        <v>654</v>
      </c>
      <c r="B57" s="33">
        <v>1</v>
      </c>
      <c r="D57" s="10">
        <v>3945</v>
      </c>
      <c r="E57" s="7" t="s">
        <v>30</v>
      </c>
      <c r="H57" s="10">
        <v>3330</v>
      </c>
      <c r="I57" s="7" t="s">
        <v>297</v>
      </c>
      <c r="J57" s="4">
        <v>4075</v>
      </c>
      <c r="K57" s="9" t="s">
        <v>23</v>
      </c>
      <c r="L57" s="10">
        <v>4174</v>
      </c>
      <c r="M57" s="7" t="s">
        <v>1176</v>
      </c>
      <c r="N57" s="4">
        <v>3421</v>
      </c>
      <c r="O57" s="9" t="s">
        <v>283</v>
      </c>
      <c r="P57" s="10">
        <v>1668</v>
      </c>
      <c r="Q57" s="7" t="s">
        <v>38</v>
      </c>
      <c r="U57" s="12">
        <v>3945</v>
      </c>
      <c r="V57" s="13" t="s">
        <v>30</v>
      </c>
      <c r="W57" s="16" t="str">
        <f>TEXT(VLOOKUP(U57, News!A:C, 3, FALSE), "M/D/YYYY")</f>
        <v>4/18/2015</v>
      </c>
      <c r="X57" s="18">
        <f>DATE(YEAR(W57),MONTH(Metrics!$B$5), DAY(Metrics!$B$5))</f>
        <v>42248</v>
      </c>
      <c r="Y57" s="16">
        <f t="shared" si="0"/>
        <v>2015</v>
      </c>
    </row>
    <row r="58" spans="1:25" ht="16" x14ac:dyDescent="0.2">
      <c r="A58" s="3" t="s">
        <v>635</v>
      </c>
      <c r="B58" s="33">
        <v>1</v>
      </c>
      <c r="D58" s="10">
        <v>3974</v>
      </c>
      <c r="E58" s="7" t="s">
        <v>30</v>
      </c>
      <c r="H58" s="10">
        <v>3339</v>
      </c>
      <c r="I58" s="7" t="s">
        <v>297</v>
      </c>
      <c r="J58" s="4">
        <v>4125</v>
      </c>
      <c r="K58" s="9" t="s">
        <v>23</v>
      </c>
      <c r="L58" s="10">
        <v>4177</v>
      </c>
      <c r="M58" s="7" t="s">
        <v>1176</v>
      </c>
      <c r="N58" s="4">
        <v>4091</v>
      </c>
      <c r="O58" s="9" t="s">
        <v>283</v>
      </c>
      <c r="P58" s="10">
        <v>1950</v>
      </c>
      <c r="Q58" s="7" t="s">
        <v>38</v>
      </c>
      <c r="U58" s="12">
        <v>3974</v>
      </c>
      <c r="V58" s="13" t="s">
        <v>30</v>
      </c>
      <c r="W58" s="16" t="str">
        <f>TEXT(VLOOKUP(U58, News!A:C, 3, FALSE), "M/D/YYYY")</f>
        <v>3/19/2015</v>
      </c>
      <c r="X58" s="18">
        <f>DATE(YEAR(W58),MONTH(Metrics!$B$5), DAY(Metrics!$B$5))</f>
        <v>42248</v>
      </c>
      <c r="Y58" s="16">
        <f t="shared" si="0"/>
        <v>2015</v>
      </c>
    </row>
    <row r="59" spans="1:25" ht="16" x14ac:dyDescent="0.2">
      <c r="A59" s="3" t="s">
        <v>370</v>
      </c>
      <c r="B59" s="33">
        <v>2</v>
      </c>
      <c r="D59" s="10">
        <v>4006</v>
      </c>
      <c r="E59" s="7" t="s">
        <v>30</v>
      </c>
      <c r="H59" s="10">
        <v>3428</v>
      </c>
      <c r="I59" s="7" t="s">
        <v>297</v>
      </c>
      <c r="J59" s="4">
        <v>4155</v>
      </c>
      <c r="K59" s="9" t="s">
        <v>23</v>
      </c>
      <c r="L59" s="10">
        <v>4209</v>
      </c>
      <c r="M59" s="7" t="s">
        <v>1176</v>
      </c>
      <c r="N59" s="4">
        <v>4942</v>
      </c>
      <c r="O59" s="9" t="s">
        <v>283</v>
      </c>
      <c r="P59" s="10">
        <v>2084</v>
      </c>
      <c r="Q59" s="7" t="s">
        <v>38</v>
      </c>
      <c r="U59" s="12">
        <v>4006</v>
      </c>
      <c r="V59" s="13" t="s">
        <v>30</v>
      </c>
      <c r="W59" s="16" t="str">
        <f>TEXT(VLOOKUP(U59, News!A:C, 3, FALSE), "M/D/YYYY")</f>
        <v>2/20/2015</v>
      </c>
      <c r="X59" s="18">
        <f>DATE(YEAR(W59),MONTH(Metrics!$B$5), DAY(Metrics!$B$5))</f>
        <v>42248</v>
      </c>
      <c r="Y59" s="16">
        <f t="shared" si="0"/>
        <v>2015</v>
      </c>
    </row>
    <row r="60" spans="1:25" ht="16" x14ac:dyDescent="0.2">
      <c r="A60" s="3" t="s">
        <v>556</v>
      </c>
      <c r="B60" s="33">
        <v>1</v>
      </c>
      <c r="D60" s="10">
        <v>4082</v>
      </c>
      <c r="E60" s="7" t="s">
        <v>30</v>
      </c>
      <c r="H60" s="10">
        <v>3458</v>
      </c>
      <c r="I60" s="7" t="s">
        <v>297</v>
      </c>
      <c r="J60" s="4">
        <v>4357</v>
      </c>
      <c r="K60" s="9" t="s">
        <v>23</v>
      </c>
      <c r="L60" s="10">
        <v>4244</v>
      </c>
      <c r="M60" s="7" t="s">
        <v>1176</v>
      </c>
      <c r="N60" s="4">
        <v>5114</v>
      </c>
      <c r="O60" s="9" t="s">
        <v>283</v>
      </c>
      <c r="P60" s="10">
        <v>2087</v>
      </c>
      <c r="Q60" s="7" t="s">
        <v>38</v>
      </c>
      <c r="U60" s="12">
        <v>4082</v>
      </c>
      <c r="V60" s="13" t="s">
        <v>30</v>
      </c>
      <c r="W60" s="16" t="str">
        <f>TEXT(VLOOKUP(U60, News!A:C, 3, FALSE), "M/D/YYYY")</f>
        <v>9/9/2014</v>
      </c>
      <c r="X60" s="18">
        <f>DATE(YEAR(W60),MONTH(Metrics!$B$5), DAY(Metrics!$B$5))</f>
        <v>41883</v>
      </c>
      <c r="Y60" s="16">
        <f t="shared" si="0"/>
        <v>2015</v>
      </c>
    </row>
    <row r="61" spans="1:25" ht="16" x14ac:dyDescent="0.2">
      <c r="A61" s="3" t="s">
        <v>540</v>
      </c>
      <c r="B61" s="33">
        <v>1</v>
      </c>
      <c r="D61" s="10">
        <v>4129</v>
      </c>
      <c r="E61" s="7" t="s">
        <v>30</v>
      </c>
      <c r="H61" s="10">
        <v>3529</v>
      </c>
      <c r="I61" s="7" t="s">
        <v>297</v>
      </c>
      <c r="J61" s="4">
        <v>4435</v>
      </c>
      <c r="K61" s="9" t="s">
        <v>23</v>
      </c>
      <c r="L61" s="10">
        <v>4247</v>
      </c>
      <c r="M61" s="7" t="s">
        <v>1176</v>
      </c>
      <c r="N61" s="4">
        <v>6436</v>
      </c>
      <c r="O61" s="9" t="s">
        <v>283</v>
      </c>
      <c r="P61" s="10">
        <v>2111</v>
      </c>
      <c r="Q61" s="7" t="s">
        <v>38</v>
      </c>
      <c r="U61" s="12">
        <v>4129</v>
      </c>
      <c r="V61" s="13" t="s">
        <v>30</v>
      </c>
      <c r="W61" s="16" t="str">
        <f>TEXT(VLOOKUP(U61, News!A:C, 3, FALSE), "M/D/YYYY")</f>
        <v>7/15/2014</v>
      </c>
      <c r="X61" s="18">
        <f>DATE(YEAR(W61),MONTH(Metrics!$B$5), DAY(Metrics!$B$5))</f>
        <v>41883</v>
      </c>
      <c r="Y61" s="16">
        <f t="shared" si="0"/>
        <v>2014</v>
      </c>
    </row>
    <row r="62" spans="1:25" ht="16" x14ac:dyDescent="0.2">
      <c r="A62" s="3" t="s">
        <v>531</v>
      </c>
      <c r="B62" s="33">
        <v>1</v>
      </c>
      <c r="D62" s="10">
        <v>4164</v>
      </c>
      <c r="E62" s="7" t="s">
        <v>30</v>
      </c>
      <c r="H62" s="10">
        <v>3563</v>
      </c>
      <c r="I62" s="7" t="s">
        <v>297</v>
      </c>
      <c r="J62" s="4">
        <v>4458</v>
      </c>
      <c r="K62" s="9" t="s">
        <v>23</v>
      </c>
      <c r="L62" s="10">
        <v>4472</v>
      </c>
      <c r="M62" s="7" t="s">
        <v>1176</v>
      </c>
      <c r="N62" s="4">
        <v>7357</v>
      </c>
      <c r="O62" s="9" t="s">
        <v>283</v>
      </c>
      <c r="P62" s="10">
        <v>2209</v>
      </c>
      <c r="Q62" s="7" t="s">
        <v>38</v>
      </c>
      <c r="U62" s="12">
        <v>4164</v>
      </c>
      <c r="V62" s="13" t="s">
        <v>30</v>
      </c>
      <c r="W62" s="16" t="str">
        <f>TEXT(VLOOKUP(U62, News!A:C, 3, FALSE), "M/D/YYYY")</f>
        <v>6/4/2019</v>
      </c>
      <c r="X62" s="18">
        <f>DATE(YEAR(W62),MONTH(Metrics!$B$5), DAY(Metrics!$B$5))</f>
        <v>43709</v>
      </c>
      <c r="Y62" s="16">
        <f t="shared" si="0"/>
        <v>2019</v>
      </c>
    </row>
    <row r="63" spans="1:25" ht="16" x14ac:dyDescent="0.2">
      <c r="A63" s="3" t="s">
        <v>400</v>
      </c>
      <c r="B63" s="33">
        <v>1</v>
      </c>
      <c r="D63" s="10">
        <v>4167</v>
      </c>
      <c r="E63" s="7" t="s">
        <v>30</v>
      </c>
      <c r="H63" s="10">
        <v>3639</v>
      </c>
      <c r="I63" s="7" t="s">
        <v>297</v>
      </c>
      <c r="J63" s="4">
        <v>4592</v>
      </c>
      <c r="K63" s="9" t="s">
        <v>23</v>
      </c>
      <c r="L63" s="10">
        <v>4765</v>
      </c>
      <c r="M63" s="7" t="s">
        <v>1176</v>
      </c>
      <c r="N63" s="4">
        <v>7355</v>
      </c>
      <c r="O63" s="9" t="s">
        <v>283</v>
      </c>
      <c r="P63" s="10">
        <v>2519</v>
      </c>
      <c r="Q63" s="7" t="s">
        <v>38</v>
      </c>
      <c r="U63" s="12">
        <v>4167</v>
      </c>
      <c r="V63" s="13" t="s">
        <v>30</v>
      </c>
      <c r="W63" s="16" t="str">
        <f>TEXT(VLOOKUP(U63, News!A:C, 3, FALSE), "M/D/YYYY")</f>
        <v>6/4/2019</v>
      </c>
      <c r="X63" s="18">
        <f>DATE(YEAR(W63),MONTH(Metrics!$B$5), DAY(Metrics!$B$5))</f>
        <v>43709</v>
      </c>
      <c r="Y63" s="16">
        <f t="shared" si="0"/>
        <v>2019</v>
      </c>
    </row>
    <row r="64" spans="1:25" ht="16" x14ac:dyDescent="0.2">
      <c r="A64" s="3" t="s">
        <v>397</v>
      </c>
      <c r="B64" s="33">
        <v>1</v>
      </c>
      <c r="D64" s="10">
        <v>4234</v>
      </c>
      <c r="E64" s="7" t="s">
        <v>30</v>
      </c>
      <c r="H64" s="10">
        <v>3659</v>
      </c>
      <c r="I64" s="7" t="s">
        <v>297</v>
      </c>
      <c r="J64" s="4">
        <v>1460</v>
      </c>
      <c r="K64" s="9" t="s">
        <v>23</v>
      </c>
      <c r="L64" s="10">
        <v>6028</v>
      </c>
      <c r="M64" s="7" t="s">
        <v>1176</v>
      </c>
      <c r="N64" s="4">
        <v>3817</v>
      </c>
      <c r="O64" s="9" t="s">
        <v>283</v>
      </c>
      <c r="P64" s="10">
        <v>2523</v>
      </c>
      <c r="Q64" s="7" t="s">
        <v>38</v>
      </c>
      <c r="U64" s="12">
        <v>4234</v>
      </c>
      <c r="V64" s="13" t="s">
        <v>30</v>
      </c>
      <c r="W64" s="16" t="str">
        <f>TEXT(VLOOKUP(U64, News!A:C, 3, FALSE), "M/D/YYYY")</f>
        <v>6/20/2019</v>
      </c>
      <c r="X64" s="18">
        <f>DATE(YEAR(W64),MONTH(Metrics!$B$5), DAY(Metrics!$B$5))</f>
        <v>43709</v>
      </c>
      <c r="Y64" s="16">
        <f t="shared" si="0"/>
        <v>2019</v>
      </c>
    </row>
    <row r="65" spans="1:25" ht="16" x14ac:dyDescent="0.2">
      <c r="A65" s="3" t="s">
        <v>394</v>
      </c>
      <c r="B65" s="33">
        <v>1</v>
      </c>
      <c r="D65" s="10">
        <v>4280</v>
      </c>
      <c r="E65" s="7" t="s">
        <v>30</v>
      </c>
      <c r="H65" s="10">
        <v>3663</v>
      </c>
      <c r="I65" s="7" t="s">
        <v>297</v>
      </c>
      <c r="J65" s="4">
        <v>2344</v>
      </c>
      <c r="K65" s="9" t="s">
        <v>23</v>
      </c>
      <c r="L65" s="10">
        <v>7765</v>
      </c>
      <c r="M65" s="7" t="s">
        <v>1176</v>
      </c>
      <c r="N65" s="4">
        <v>6073</v>
      </c>
      <c r="O65" s="9" t="s">
        <v>283</v>
      </c>
      <c r="P65" s="10">
        <v>2977</v>
      </c>
      <c r="Q65" s="7" t="s">
        <v>38</v>
      </c>
      <c r="U65" s="12">
        <v>4280</v>
      </c>
      <c r="V65" s="13" t="s">
        <v>30</v>
      </c>
      <c r="W65" s="16" t="str">
        <f>TEXT(VLOOKUP(U65, News!A:C, 3, FALSE), "M/D/YYYY")</f>
        <v>7/10/2019</v>
      </c>
      <c r="X65" s="18">
        <f>DATE(YEAR(W65),MONTH(Metrics!$B$5), DAY(Metrics!$B$5))</f>
        <v>43709</v>
      </c>
      <c r="Y65" s="16">
        <f t="shared" si="0"/>
        <v>2019</v>
      </c>
    </row>
    <row r="66" spans="1:25" ht="16" x14ac:dyDescent="0.2">
      <c r="A66" s="3" t="s">
        <v>41</v>
      </c>
      <c r="B66" s="33">
        <v>2</v>
      </c>
      <c r="D66" s="10">
        <v>4368</v>
      </c>
      <c r="E66" s="7" t="s">
        <v>30</v>
      </c>
      <c r="H66" s="10">
        <v>3746</v>
      </c>
      <c r="I66" s="7" t="s">
        <v>297</v>
      </c>
      <c r="J66" s="4">
        <v>3212</v>
      </c>
      <c r="K66" s="9" t="s">
        <v>23</v>
      </c>
      <c r="L66" s="10">
        <v>8153</v>
      </c>
      <c r="M66" s="7" t="s">
        <v>1176</v>
      </c>
      <c r="N66" s="4">
        <v>7358</v>
      </c>
      <c r="O66" s="9" t="s">
        <v>283</v>
      </c>
      <c r="P66" s="10">
        <v>3274</v>
      </c>
      <c r="Q66" s="7" t="s">
        <v>38</v>
      </c>
      <c r="U66" s="12">
        <v>4368</v>
      </c>
      <c r="V66" s="13" t="s">
        <v>30</v>
      </c>
      <c r="W66" s="16" t="str">
        <f>TEXT(VLOOKUP(U66, News!A:C, 3, FALSE), "M/D/YYYY")</f>
        <v>9/5/2019</v>
      </c>
      <c r="X66" s="18">
        <f>DATE(YEAR(W66),MONTH(Metrics!$B$5), DAY(Metrics!$B$5))</f>
        <v>43709</v>
      </c>
      <c r="Y66" s="16">
        <f t="shared" si="0"/>
        <v>2020</v>
      </c>
    </row>
    <row r="67" spans="1:25" ht="16" x14ac:dyDescent="0.2">
      <c r="A67" s="3" t="s">
        <v>104</v>
      </c>
      <c r="B67" s="33">
        <v>4</v>
      </c>
      <c r="D67" s="10">
        <v>4471</v>
      </c>
      <c r="E67" s="7" t="s">
        <v>30</v>
      </c>
      <c r="H67" s="10">
        <v>3755</v>
      </c>
      <c r="I67" s="7" t="s">
        <v>297</v>
      </c>
      <c r="J67" s="4">
        <v>4036</v>
      </c>
      <c r="K67" s="9" t="s">
        <v>23</v>
      </c>
      <c r="L67" s="10">
        <v>8085</v>
      </c>
      <c r="M67" s="7" t="s">
        <v>1176</v>
      </c>
      <c r="N67" s="4">
        <v>3617</v>
      </c>
      <c r="O67" s="9" t="s">
        <v>283</v>
      </c>
      <c r="P67" s="10">
        <v>3336</v>
      </c>
      <c r="Q67" s="7" t="s">
        <v>38</v>
      </c>
      <c r="U67" s="12">
        <v>4471</v>
      </c>
      <c r="V67" s="13" t="s">
        <v>30</v>
      </c>
      <c r="W67" s="16" t="str">
        <f>TEXT(VLOOKUP(U67, News!A:C, 3, FALSE), "M/D/YYYY")</f>
        <v>5/1/2014</v>
      </c>
      <c r="X67" s="18">
        <f>DATE(YEAR(W67),MONTH(Metrics!$B$5), DAY(Metrics!$B$5))</f>
        <v>41883</v>
      </c>
      <c r="Y67" s="16">
        <f t="shared" ref="Y67:Y130" si="1">IF(MONTH(W67) &gt;= MONTH(X67), YEAR(W67)+1, YEAR(W67))</f>
        <v>2014</v>
      </c>
    </row>
    <row r="68" spans="1:25" ht="16" x14ac:dyDescent="0.2">
      <c r="A68" s="3" t="s">
        <v>227</v>
      </c>
      <c r="B68" s="33">
        <v>2</v>
      </c>
      <c r="D68" s="10">
        <v>4534</v>
      </c>
      <c r="E68" s="7" t="s">
        <v>30</v>
      </c>
      <c r="H68" s="10">
        <v>3758</v>
      </c>
      <c r="I68" s="7" t="s">
        <v>297</v>
      </c>
      <c r="J68" s="4">
        <v>4141</v>
      </c>
      <c r="K68" s="9" t="s">
        <v>23</v>
      </c>
      <c r="L68" s="10">
        <v>774</v>
      </c>
      <c r="M68" s="7" t="s">
        <v>1176</v>
      </c>
      <c r="N68" s="4">
        <v>7797</v>
      </c>
      <c r="O68" s="9" t="s">
        <v>283</v>
      </c>
      <c r="P68" s="10">
        <v>3460</v>
      </c>
      <c r="Q68" s="7" t="s">
        <v>38</v>
      </c>
      <c r="U68" s="12">
        <v>4534</v>
      </c>
      <c r="V68" s="13" t="s">
        <v>30</v>
      </c>
      <c r="W68" s="16" t="str">
        <f>TEXT(VLOOKUP(U68, News!A:C, 3, FALSE), "M/D/YYYY")</f>
        <v>11/1/2019</v>
      </c>
      <c r="X68" s="18">
        <f>DATE(YEAR(W68),MONTH(Metrics!$B$5), DAY(Metrics!$B$5))</f>
        <v>43709</v>
      </c>
      <c r="Y68" s="16">
        <f t="shared" si="1"/>
        <v>2020</v>
      </c>
    </row>
    <row r="69" spans="1:25" ht="16" x14ac:dyDescent="0.2">
      <c r="A69" s="3" t="s">
        <v>230</v>
      </c>
      <c r="B69" s="33">
        <v>1</v>
      </c>
      <c r="D69" s="10">
        <v>4591</v>
      </c>
      <c r="E69" s="7" t="s">
        <v>30</v>
      </c>
      <c r="H69" s="10">
        <v>3803</v>
      </c>
      <c r="I69" s="7" t="s">
        <v>297</v>
      </c>
      <c r="J69" s="4">
        <v>4093</v>
      </c>
      <c r="K69" s="9" t="s">
        <v>23</v>
      </c>
      <c r="L69" s="10">
        <v>776</v>
      </c>
      <c r="M69" s="7" t="s">
        <v>1176</v>
      </c>
      <c r="N69" s="4">
        <v>1312</v>
      </c>
      <c r="O69" s="9" t="s">
        <v>283</v>
      </c>
      <c r="P69" s="10">
        <v>3562</v>
      </c>
      <c r="Q69" s="7" t="s">
        <v>38</v>
      </c>
      <c r="U69" s="12">
        <v>4591</v>
      </c>
      <c r="V69" s="13" t="s">
        <v>30</v>
      </c>
      <c r="W69" s="16" t="str">
        <f>TEXT(VLOOKUP(U69, News!A:C, 3, FALSE), "M/D/YYYY")</f>
        <v>9/1/2019</v>
      </c>
      <c r="X69" s="18">
        <f>DATE(YEAR(W69),MONTH(Metrics!$B$5), DAY(Metrics!$B$5))</f>
        <v>43709</v>
      </c>
      <c r="Y69" s="16">
        <f t="shared" si="1"/>
        <v>2020</v>
      </c>
    </row>
    <row r="70" spans="1:25" ht="16" x14ac:dyDescent="0.2">
      <c r="A70" s="3" t="s">
        <v>193</v>
      </c>
      <c r="B70" s="33">
        <v>1</v>
      </c>
      <c r="D70" s="10">
        <v>4636</v>
      </c>
      <c r="E70" s="7" t="s">
        <v>30</v>
      </c>
      <c r="H70" s="10">
        <v>3883</v>
      </c>
      <c r="I70" s="7" t="s">
        <v>297</v>
      </c>
      <c r="J70" s="4">
        <v>4202</v>
      </c>
      <c r="K70" s="9" t="s">
        <v>23</v>
      </c>
      <c r="L70" s="10">
        <v>1306</v>
      </c>
      <c r="M70" s="7" t="s">
        <v>1176</v>
      </c>
      <c r="N70" s="4">
        <v>1318</v>
      </c>
      <c r="O70" s="9" t="s">
        <v>283</v>
      </c>
      <c r="P70" s="10">
        <v>3791</v>
      </c>
      <c r="Q70" s="7" t="s">
        <v>38</v>
      </c>
      <c r="U70" s="12">
        <v>4636</v>
      </c>
      <c r="V70" s="13" t="s">
        <v>30</v>
      </c>
      <c r="W70" s="16" t="str">
        <f>TEXT(VLOOKUP(U70, News!A:C, 3, FALSE), "M/D/YYYY")</f>
        <v>11/26/2019</v>
      </c>
      <c r="X70" s="18">
        <f>DATE(YEAR(W70),MONTH(Metrics!$B$5), DAY(Metrics!$B$5))</f>
        <v>43709</v>
      </c>
      <c r="Y70" s="16">
        <f t="shared" si="1"/>
        <v>2020</v>
      </c>
    </row>
    <row r="71" spans="1:25" ht="16" x14ac:dyDescent="0.2">
      <c r="A71" s="3" t="s">
        <v>18</v>
      </c>
      <c r="B71" s="33">
        <v>1</v>
      </c>
      <c r="D71" s="10">
        <v>4658</v>
      </c>
      <c r="E71" s="7" t="s">
        <v>30</v>
      </c>
      <c r="H71" s="10">
        <v>3899</v>
      </c>
      <c r="I71" s="7" t="s">
        <v>297</v>
      </c>
      <c r="J71" s="4">
        <v>4058</v>
      </c>
      <c r="K71" s="9" t="s">
        <v>23</v>
      </c>
      <c r="L71" s="10">
        <v>1415</v>
      </c>
      <c r="M71" s="7" t="s">
        <v>1176</v>
      </c>
      <c r="N71" s="4">
        <v>1372</v>
      </c>
      <c r="O71" s="9" t="s">
        <v>283</v>
      </c>
      <c r="P71" s="10">
        <v>3793</v>
      </c>
      <c r="Q71" s="7" t="s">
        <v>38</v>
      </c>
      <c r="U71" s="12">
        <v>4658</v>
      </c>
      <c r="V71" s="13" t="s">
        <v>30</v>
      </c>
      <c r="W71" s="16" t="str">
        <f>TEXT(VLOOKUP(U71, News!A:C, 3, FALSE), "M/D/YYYY")</f>
        <v>12/2/2019</v>
      </c>
      <c r="X71" s="18">
        <f>DATE(YEAR(W71),MONTH(Metrics!$B$5), DAY(Metrics!$B$5))</f>
        <v>43709</v>
      </c>
      <c r="Y71" s="16">
        <f t="shared" si="1"/>
        <v>2020</v>
      </c>
    </row>
    <row r="72" spans="1:25" ht="16" x14ac:dyDescent="0.2">
      <c r="A72" s="3" t="s">
        <v>26</v>
      </c>
      <c r="B72" s="33">
        <v>1</v>
      </c>
      <c r="D72" s="10">
        <v>4762</v>
      </c>
      <c r="E72" s="7" t="s">
        <v>30</v>
      </c>
      <c r="H72" s="10">
        <v>3970</v>
      </c>
      <c r="I72" s="7" t="s">
        <v>297</v>
      </c>
      <c r="J72" s="4">
        <v>437</v>
      </c>
      <c r="K72" s="9" t="s">
        <v>23</v>
      </c>
      <c r="L72" s="10">
        <v>1930</v>
      </c>
      <c r="M72" s="7" t="s">
        <v>1176</v>
      </c>
      <c r="N72" s="4">
        <v>1431</v>
      </c>
      <c r="O72" s="9" t="s">
        <v>283</v>
      </c>
      <c r="P72" s="10">
        <v>3868</v>
      </c>
      <c r="Q72" s="7" t="s">
        <v>38</v>
      </c>
      <c r="U72" s="12">
        <v>4762</v>
      </c>
      <c r="V72" s="13" t="s">
        <v>30</v>
      </c>
      <c r="W72" s="16" t="str">
        <f>TEXT(VLOOKUP(U72, News!A:C, 3, FALSE), "M/D/YYYY")</f>
        <v>9/1/2019</v>
      </c>
      <c r="X72" s="18">
        <f>DATE(YEAR(W72),MONTH(Metrics!$B$5), DAY(Metrics!$B$5))</f>
        <v>43709</v>
      </c>
      <c r="Y72" s="16">
        <f t="shared" si="1"/>
        <v>2020</v>
      </c>
    </row>
    <row r="73" spans="1:25" ht="16" x14ac:dyDescent="0.2">
      <c r="A73" s="3" t="s">
        <v>1174</v>
      </c>
      <c r="B73" s="33">
        <v>537</v>
      </c>
      <c r="D73" s="10">
        <v>4833</v>
      </c>
      <c r="E73" s="7" t="s">
        <v>30</v>
      </c>
      <c r="H73" s="10">
        <v>4016</v>
      </c>
      <c r="I73" s="7" t="s">
        <v>297</v>
      </c>
      <c r="J73" s="4">
        <v>1286</v>
      </c>
      <c r="K73" s="9" t="s">
        <v>23</v>
      </c>
      <c r="L73" s="10">
        <v>2213</v>
      </c>
      <c r="M73" s="7" t="s">
        <v>1176</v>
      </c>
      <c r="N73" s="4">
        <v>1468</v>
      </c>
      <c r="O73" s="9" t="s">
        <v>283</v>
      </c>
      <c r="P73" s="10">
        <v>3934</v>
      </c>
      <c r="Q73" s="7" t="s">
        <v>38</v>
      </c>
      <c r="U73" s="12">
        <v>4833</v>
      </c>
      <c r="V73" s="13" t="s">
        <v>30</v>
      </c>
      <c r="W73" s="16" t="str">
        <f>TEXT(VLOOKUP(U73, News!A:C, 3, FALSE), "M/D/YYYY")</f>
        <v>2/25/2020</v>
      </c>
      <c r="X73" s="18">
        <f>DATE(YEAR(W73),MONTH(Metrics!$B$5), DAY(Metrics!$B$5))</f>
        <v>44075</v>
      </c>
      <c r="Y73" s="16">
        <f t="shared" si="1"/>
        <v>2020</v>
      </c>
    </row>
    <row r="74" spans="1:25" ht="16" x14ac:dyDescent="0.2">
      <c r="D74" s="10">
        <v>4875</v>
      </c>
      <c r="E74" s="7" t="s">
        <v>30</v>
      </c>
      <c r="H74" s="10">
        <v>4075</v>
      </c>
      <c r="I74" s="7" t="s">
        <v>297</v>
      </c>
      <c r="J74" s="4">
        <v>1288</v>
      </c>
      <c r="K74" s="9" t="s">
        <v>23</v>
      </c>
      <c r="L74" s="10">
        <v>2311</v>
      </c>
      <c r="M74" s="7" t="s">
        <v>1176</v>
      </c>
      <c r="N74" s="4">
        <v>1544</v>
      </c>
      <c r="O74" s="9" t="s">
        <v>283</v>
      </c>
      <c r="P74" s="10">
        <v>3939</v>
      </c>
      <c r="Q74" s="7" t="s">
        <v>38</v>
      </c>
      <c r="U74" s="12">
        <v>4875</v>
      </c>
      <c r="V74" s="13" t="s">
        <v>30</v>
      </c>
      <c r="W74" s="16" t="str">
        <f>TEXT(VLOOKUP(U74, News!A:C, 3, FALSE), "M/D/YYYY")</f>
        <v>4/1/2020</v>
      </c>
      <c r="X74" s="18">
        <f>DATE(YEAR(W74),MONTH(Metrics!$B$5), DAY(Metrics!$B$5))</f>
        <v>44075</v>
      </c>
      <c r="Y74" s="16">
        <f t="shared" si="1"/>
        <v>2020</v>
      </c>
    </row>
    <row r="75" spans="1:25" ht="16" x14ac:dyDescent="0.2">
      <c r="D75" s="10">
        <v>4888</v>
      </c>
      <c r="E75" s="7" t="s">
        <v>30</v>
      </c>
      <c r="H75" s="10">
        <v>4125</v>
      </c>
      <c r="I75" s="7" t="s">
        <v>297</v>
      </c>
      <c r="J75" s="4">
        <v>1289</v>
      </c>
      <c r="K75" s="9" t="s">
        <v>23</v>
      </c>
      <c r="L75" s="10">
        <v>3400</v>
      </c>
      <c r="M75" s="7" t="s">
        <v>1176</v>
      </c>
      <c r="N75" s="4">
        <v>1914</v>
      </c>
      <c r="O75" s="9" t="s">
        <v>283</v>
      </c>
      <c r="P75" s="10">
        <v>3964</v>
      </c>
      <c r="Q75" s="7" t="s">
        <v>38</v>
      </c>
      <c r="U75" s="12">
        <v>4888</v>
      </c>
      <c r="V75" s="13" t="s">
        <v>30</v>
      </c>
      <c r="W75" s="16" t="str">
        <f>TEXT(VLOOKUP(U75, News!A:C, 3, FALSE), "M/D/YYYY")</f>
        <v>3/26/2020</v>
      </c>
      <c r="X75" s="18">
        <f>DATE(YEAR(W75),MONTH(Metrics!$B$5), DAY(Metrics!$B$5))</f>
        <v>44075</v>
      </c>
      <c r="Y75" s="16">
        <f t="shared" si="1"/>
        <v>2020</v>
      </c>
    </row>
    <row r="76" spans="1:25" ht="16" x14ac:dyDescent="0.2">
      <c r="D76" s="10">
        <v>4901</v>
      </c>
      <c r="E76" s="7" t="s">
        <v>30</v>
      </c>
      <c r="H76" s="10">
        <v>4155</v>
      </c>
      <c r="I76" s="7" t="s">
        <v>297</v>
      </c>
      <c r="J76" s="4">
        <v>2829</v>
      </c>
      <c r="K76" s="9" t="s">
        <v>23</v>
      </c>
      <c r="L76" s="10">
        <v>8173</v>
      </c>
      <c r="M76" s="7" t="s">
        <v>1176</v>
      </c>
      <c r="N76" s="4">
        <v>1947</v>
      </c>
      <c r="O76" s="9" t="s">
        <v>283</v>
      </c>
      <c r="P76" s="10">
        <v>3991</v>
      </c>
      <c r="Q76" s="7" t="s">
        <v>38</v>
      </c>
      <c r="U76" s="12">
        <v>4901</v>
      </c>
      <c r="V76" s="13" t="s">
        <v>30</v>
      </c>
      <c r="W76" s="16" t="str">
        <f>TEXT(VLOOKUP(U76, News!A:C, 3, FALSE), "M/D/YYYY")</f>
        <v>4/21/2020</v>
      </c>
      <c r="X76" s="18">
        <f>DATE(YEAR(W76),MONTH(Metrics!$B$5), DAY(Metrics!$B$5))</f>
        <v>44075</v>
      </c>
      <c r="Y76" s="16">
        <f t="shared" si="1"/>
        <v>2020</v>
      </c>
    </row>
    <row r="77" spans="1:25" ht="16" x14ac:dyDescent="0.2">
      <c r="D77" s="10">
        <v>4910</v>
      </c>
      <c r="E77" s="7" t="s">
        <v>30</v>
      </c>
      <c r="H77" s="10">
        <v>4357</v>
      </c>
      <c r="I77" s="7" t="s">
        <v>297</v>
      </c>
      <c r="J77" s="4">
        <v>3007</v>
      </c>
      <c r="K77" s="9" t="s">
        <v>23</v>
      </c>
      <c r="L77" s="10">
        <v>3941</v>
      </c>
      <c r="M77" s="7" t="s">
        <v>1176</v>
      </c>
      <c r="N77" s="4">
        <v>2007</v>
      </c>
      <c r="O77" s="9" t="s">
        <v>283</v>
      </c>
      <c r="P77" s="10">
        <v>4008</v>
      </c>
      <c r="Q77" s="7" t="s">
        <v>38</v>
      </c>
      <c r="U77" s="12">
        <v>4910</v>
      </c>
      <c r="V77" s="13" t="s">
        <v>30</v>
      </c>
      <c r="W77" s="16" t="str">
        <f>TEXT(VLOOKUP(U77, News!A:C, 3, FALSE), "M/D/YYYY")</f>
        <v>4/1/2020</v>
      </c>
      <c r="X77" s="18">
        <f>DATE(YEAR(W77),MONTH(Metrics!$B$5), DAY(Metrics!$B$5))</f>
        <v>44075</v>
      </c>
      <c r="Y77" s="16">
        <f t="shared" si="1"/>
        <v>2020</v>
      </c>
    </row>
    <row r="78" spans="1:25" ht="16" x14ac:dyDescent="0.2">
      <c r="D78" s="10">
        <v>4915</v>
      </c>
      <c r="E78" s="7" t="s">
        <v>30</v>
      </c>
      <c r="H78" s="10">
        <v>4435</v>
      </c>
      <c r="I78" s="7" t="s">
        <v>297</v>
      </c>
      <c r="J78" s="4">
        <v>3224</v>
      </c>
      <c r="K78" s="9" t="s">
        <v>23</v>
      </c>
      <c r="L78" s="10">
        <v>4052</v>
      </c>
      <c r="M78" s="7" t="s">
        <v>1176</v>
      </c>
      <c r="N78" s="4">
        <v>2012</v>
      </c>
      <c r="O78" s="9" t="s">
        <v>283</v>
      </c>
      <c r="P78" s="10">
        <v>4040</v>
      </c>
      <c r="Q78" s="7" t="s">
        <v>38</v>
      </c>
      <c r="U78" s="12">
        <v>4915</v>
      </c>
      <c r="V78" s="13" t="s">
        <v>30</v>
      </c>
      <c r="W78" s="16" t="str">
        <f>TEXT(VLOOKUP(U78, News!A:C, 3, FALSE), "M/D/YYYY")</f>
        <v>5/9/2020</v>
      </c>
      <c r="X78" s="18">
        <f>DATE(YEAR(W78),MONTH(Metrics!$B$5), DAY(Metrics!$B$5))</f>
        <v>44075</v>
      </c>
      <c r="Y78" s="16">
        <f t="shared" si="1"/>
        <v>2020</v>
      </c>
    </row>
    <row r="79" spans="1:25" ht="16" x14ac:dyDescent="0.2">
      <c r="D79" s="10">
        <v>4937</v>
      </c>
      <c r="E79" s="7" t="s">
        <v>30</v>
      </c>
      <c r="H79" s="10">
        <v>4458</v>
      </c>
      <c r="I79" s="7" t="s">
        <v>297</v>
      </c>
      <c r="J79" s="4">
        <v>3532</v>
      </c>
      <c r="K79" s="9" t="s">
        <v>23</v>
      </c>
      <c r="L79" s="10">
        <v>4883</v>
      </c>
      <c r="M79" s="7" t="s">
        <v>1176</v>
      </c>
      <c r="N79" s="4">
        <v>2089</v>
      </c>
      <c r="O79" s="9" t="s">
        <v>283</v>
      </c>
      <c r="P79" s="10">
        <v>4096</v>
      </c>
      <c r="Q79" s="7" t="s">
        <v>38</v>
      </c>
      <c r="U79" s="12">
        <v>4937</v>
      </c>
      <c r="V79" s="13" t="s">
        <v>30</v>
      </c>
      <c r="W79" s="16" t="str">
        <f>TEXT(VLOOKUP(U79, News!A:C, 3, FALSE), "M/D/YYYY")</f>
        <v>5/7/2020</v>
      </c>
      <c r="X79" s="18">
        <f>DATE(YEAR(W79),MONTH(Metrics!$B$5), DAY(Metrics!$B$5))</f>
        <v>44075</v>
      </c>
      <c r="Y79" s="16">
        <f t="shared" si="1"/>
        <v>2020</v>
      </c>
    </row>
    <row r="80" spans="1:25" ht="16" x14ac:dyDescent="0.2">
      <c r="D80" s="10">
        <v>4944</v>
      </c>
      <c r="E80" s="7" t="s">
        <v>30</v>
      </c>
      <c r="H80" s="10">
        <v>4592</v>
      </c>
      <c r="I80" s="7" t="s">
        <v>297</v>
      </c>
      <c r="J80" s="4">
        <v>3556</v>
      </c>
      <c r="K80" s="9" t="s">
        <v>23</v>
      </c>
      <c r="L80" s="10">
        <v>2999</v>
      </c>
      <c r="M80" s="7" t="s">
        <v>1176</v>
      </c>
      <c r="N80" s="4">
        <v>2323</v>
      </c>
      <c r="O80" s="9" t="s">
        <v>283</v>
      </c>
      <c r="P80" s="10">
        <v>4100</v>
      </c>
      <c r="Q80" s="7" t="s">
        <v>38</v>
      </c>
      <c r="U80" s="12">
        <v>4944</v>
      </c>
      <c r="V80" s="13" t="s">
        <v>30</v>
      </c>
      <c r="W80" s="16" t="str">
        <f>TEXT(VLOOKUP(U80, News!A:C, 3, FALSE), "M/D/YYYY")</f>
        <v>6/1/2020</v>
      </c>
      <c r="X80" s="18">
        <f>DATE(YEAR(W80),MONTH(Metrics!$B$5), DAY(Metrics!$B$5))</f>
        <v>44075</v>
      </c>
      <c r="Y80" s="16">
        <f t="shared" si="1"/>
        <v>2020</v>
      </c>
    </row>
    <row r="81" spans="4:25" ht="16" x14ac:dyDescent="0.2">
      <c r="D81" s="10">
        <v>4977</v>
      </c>
      <c r="E81" s="7" t="s">
        <v>30</v>
      </c>
      <c r="H81" s="10">
        <v>1460</v>
      </c>
      <c r="I81" s="7" t="s">
        <v>297</v>
      </c>
      <c r="J81" s="4">
        <v>3614</v>
      </c>
      <c r="K81" s="9" t="s">
        <v>23</v>
      </c>
      <c r="L81" s="10">
        <v>3634</v>
      </c>
      <c r="M81" s="7" t="s">
        <v>1176</v>
      </c>
      <c r="N81" s="4">
        <v>2825</v>
      </c>
      <c r="O81" s="9" t="s">
        <v>283</v>
      </c>
      <c r="P81" s="10">
        <v>4127</v>
      </c>
      <c r="Q81" s="7" t="s">
        <v>38</v>
      </c>
      <c r="U81" s="12">
        <v>4977</v>
      </c>
      <c r="V81" s="13" t="s">
        <v>30</v>
      </c>
      <c r="W81" s="16" t="str">
        <f>TEXT(VLOOKUP(U81, News!A:C, 3, FALSE), "M/D/YYYY")</f>
        <v>6/18/2020</v>
      </c>
      <c r="X81" s="18">
        <f>DATE(YEAR(W81),MONTH(Metrics!$B$5), DAY(Metrics!$B$5))</f>
        <v>44075</v>
      </c>
      <c r="Y81" s="16">
        <f t="shared" si="1"/>
        <v>2020</v>
      </c>
    </row>
    <row r="82" spans="4:25" ht="16" x14ac:dyDescent="0.2">
      <c r="D82" s="10">
        <v>4978</v>
      </c>
      <c r="E82" s="7" t="s">
        <v>30</v>
      </c>
      <c r="H82" s="10">
        <v>2344</v>
      </c>
      <c r="I82" s="7" t="s">
        <v>297</v>
      </c>
      <c r="J82" s="4">
        <v>3624</v>
      </c>
      <c r="K82" s="9" t="s">
        <v>23</v>
      </c>
      <c r="L82" s="10">
        <v>5732</v>
      </c>
      <c r="M82" s="7" t="s">
        <v>1176</v>
      </c>
      <c r="N82" s="4">
        <v>3053</v>
      </c>
      <c r="O82" s="9" t="s">
        <v>283</v>
      </c>
      <c r="P82" s="10">
        <v>4172</v>
      </c>
      <c r="Q82" s="7" t="s">
        <v>38</v>
      </c>
      <c r="U82" s="12">
        <v>4978</v>
      </c>
      <c r="V82" s="13" t="s">
        <v>30</v>
      </c>
      <c r="W82" s="16" t="str">
        <f>TEXT(VLOOKUP(U82, News!A:C, 3, FALSE), "M/D/YYYY")</f>
        <v>5/29/2020</v>
      </c>
      <c r="X82" s="18">
        <f>DATE(YEAR(W82),MONTH(Metrics!$B$5), DAY(Metrics!$B$5))</f>
        <v>44075</v>
      </c>
      <c r="Y82" s="16">
        <f t="shared" si="1"/>
        <v>2020</v>
      </c>
    </row>
    <row r="83" spans="4:25" ht="16" x14ac:dyDescent="0.2">
      <c r="D83" s="10">
        <v>4982</v>
      </c>
      <c r="E83" s="7" t="s">
        <v>30</v>
      </c>
      <c r="H83" s="10">
        <v>3212</v>
      </c>
      <c r="I83" s="7" t="s">
        <v>297</v>
      </c>
      <c r="J83" s="4">
        <v>3661</v>
      </c>
      <c r="K83" s="9" t="s">
        <v>23</v>
      </c>
      <c r="L83" s="10">
        <v>7449</v>
      </c>
      <c r="M83" s="7" t="s">
        <v>1176</v>
      </c>
      <c r="N83" s="4">
        <v>3218</v>
      </c>
      <c r="O83" s="9" t="s">
        <v>283</v>
      </c>
      <c r="P83" s="10">
        <v>4195</v>
      </c>
      <c r="Q83" s="7" t="s">
        <v>38</v>
      </c>
      <c r="U83" s="12">
        <v>4982</v>
      </c>
      <c r="V83" s="13" t="s">
        <v>30</v>
      </c>
      <c r="W83" s="16" t="str">
        <f>TEXT(VLOOKUP(U83, News!A:C, 3, FALSE), "M/D/YYYY")</f>
        <v>6/19/2020</v>
      </c>
      <c r="X83" s="18">
        <f>DATE(YEAR(W83),MONTH(Metrics!$B$5), DAY(Metrics!$B$5))</f>
        <v>44075</v>
      </c>
      <c r="Y83" s="16">
        <f t="shared" si="1"/>
        <v>2020</v>
      </c>
    </row>
    <row r="84" spans="4:25" ht="16" x14ac:dyDescent="0.2">
      <c r="D84" s="10">
        <v>5078</v>
      </c>
      <c r="E84" s="7" t="s">
        <v>30</v>
      </c>
      <c r="H84" s="10">
        <v>4036</v>
      </c>
      <c r="I84" s="7" t="s">
        <v>297</v>
      </c>
      <c r="J84" s="4">
        <v>3737</v>
      </c>
      <c r="K84" s="9" t="s">
        <v>23</v>
      </c>
      <c r="L84" s="10">
        <v>1310</v>
      </c>
      <c r="M84" s="7" t="s">
        <v>1176</v>
      </c>
      <c r="N84" s="4">
        <v>3398</v>
      </c>
      <c r="O84" s="9" t="s">
        <v>283</v>
      </c>
      <c r="P84" s="10">
        <v>4225</v>
      </c>
      <c r="Q84" s="7" t="s">
        <v>38</v>
      </c>
      <c r="U84" s="12">
        <v>5078</v>
      </c>
      <c r="V84" s="13" t="s">
        <v>30</v>
      </c>
      <c r="W84" s="16" t="str">
        <f>TEXT(VLOOKUP(U84, News!A:C, 3, FALSE), "M/D/YYYY")</f>
        <v>9/17/2020</v>
      </c>
      <c r="X84" s="18">
        <f>DATE(YEAR(W84),MONTH(Metrics!$B$5), DAY(Metrics!$B$5))</f>
        <v>44075</v>
      </c>
      <c r="Y84" s="16">
        <f t="shared" si="1"/>
        <v>2021</v>
      </c>
    </row>
    <row r="85" spans="4:25" ht="16" x14ac:dyDescent="0.2">
      <c r="D85" s="10">
        <v>5112</v>
      </c>
      <c r="E85" s="7" t="s">
        <v>30</v>
      </c>
      <c r="H85" s="10">
        <v>4141</v>
      </c>
      <c r="I85" s="7" t="s">
        <v>297</v>
      </c>
      <c r="J85" s="4">
        <v>3787</v>
      </c>
      <c r="K85" s="9" t="s">
        <v>23</v>
      </c>
      <c r="L85" s="10">
        <v>2203</v>
      </c>
      <c r="M85" s="7" t="s">
        <v>1176</v>
      </c>
      <c r="N85" s="4">
        <v>3415</v>
      </c>
      <c r="O85" s="9" t="s">
        <v>283</v>
      </c>
      <c r="P85" s="10">
        <v>4283</v>
      </c>
      <c r="Q85" s="7" t="s">
        <v>38</v>
      </c>
      <c r="U85" s="12">
        <v>5112</v>
      </c>
      <c r="V85" s="13" t="s">
        <v>30</v>
      </c>
      <c r="W85" s="16" t="str">
        <f>TEXT(VLOOKUP(U85, News!A:C, 3, FALSE), "M/D/YYYY")</f>
        <v>9/17/2020</v>
      </c>
      <c r="X85" s="18">
        <f>DATE(YEAR(W85),MONTH(Metrics!$B$5), DAY(Metrics!$B$5))</f>
        <v>44075</v>
      </c>
      <c r="Y85" s="16">
        <f t="shared" si="1"/>
        <v>2021</v>
      </c>
    </row>
    <row r="86" spans="4:25" ht="16" x14ac:dyDescent="0.2">
      <c r="D86" s="10">
        <v>5624</v>
      </c>
      <c r="E86" s="7" t="s">
        <v>30</v>
      </c>
      <c r="H86" s="10">
        <v>4093</v>
      </c>
      <c r="I86" s="7" t="s">
        <v>297</v>
      </c>
      <c r="J86" s="4">
        <v>4028</v>
      </c>
      <c r="K86" s="9" t="s">
        <v>23</v>
      </c>
      <c r="L86" s="10">
        <v>2306</v>
      </c>
      <c r="M86" s="7" t="s">
        <v>1176</v>
      </c>
      <c r="N86" s="4">
        <v>3554</v>
      </c>
      <c r="O86" s="9" t="s">
        <v>283</v>
      </c>
      <c r="P86" s="10">
        <v>4291</v>
      </c>
      <c r="Q86" s="7" t="s">
        <v>38</v>
      </c>
      <c r="U86" s="12">
        <v>5624</v>
      </c>
      <c r="V86" s="13" t="s">
        <v>30</v>
      </c>
      <c r="W86" s="16" t="str">
        <f>TEXT(VLOOKUP(U86, News!A:C, 3, FALSE), "M/D/YYYY")</f>
        <v>11/30/2020</v>
      </c>
      <c r="X86" s="18">
        <f>DATE(YEAR(W86),MONTH(Metrics!$B$5), DAY(Metrics!$B$5))</f>
        <v>44075</v>
      </c>
      <c r="Y86" s="16">
        <f t="shared" si="1"/>
        <v>2021</v>
      </c>
    </row>
    <row r="87" spans="4:25" ht="16" x14ac:dyDescent="0.2">
      <c r="D87" s="10">
        <v>5726</v>
      </c>
      <c r="E87" s="7" t="s">
        <v>30</v>
      </c>
      <c r="H87" s="10">
        <v>4202</v>
      </c>
      <c r="I87" s="7" t="s">
        <v>297</v>
      </c>
      <c r="J87" s="4">
        <v>5920</v>
      </c>
      <c r="K87" s="9" t="s">
        <v>23</v>
      </c>
      <c r="L87" s="10">
        <v>2408</v>
      </c>
      <c r="M87" s="7" t="s">
        <v>1176</v>
      </c>
      <c r="N87" s="4">
        <v>3558</v>
      </c>
      <c r="O87" s="9" t="s">
        <v>283</v>
      </c>
      <c r="P87" s="10">
        <v>4328</v>
      </c>
      <c r="Q87" s="7" t="s">
        <v>38</v>
      </c>
      <c r="U87" s="12">
        <v>5726</v>
      </c>
      <c r="V87" s="13" t="s">
        <v>30</v>
      </c>
      <c r="W87" s="16" t="str">
        <f>TEXT(VLOOKUP(U87, News!A:C, 3, FALSE), "M/D/YYYY")</f>
        <v>12/21/2020</v>
      </c>
      <c r="X87" s="18">
        <f>DATE(YEAR(W87),MONTH(Metrics!$B$5), DAY(Metrics!$B$5))</f>
        <v>44075</v>
      </c>
      <c r="Y87" s="16">
        <f t="shared" si="1"/>
        <v>2021</v>
      </c>
    </row>
    <row r="88" spans="4:25" ht="16" x14ac:dyDescent="0.2">
      <c r="D88" s="10">
        <v>5759</v>
      </c>
      <c r="E88" s="7" t="s">
        <v>30</v>
      </c>
      <c r="H88" s="10">
        <v>4058</v>
      </c>
      <c r="I88" s="7" t="s">
        <v>297</v>
      </c>
      <c r="J88" s="4">
        <v>7698</v>
      </c>
      <c r="K88" s="9" t="s">
        <v>23</v>
      </c>
      <c r="L88" s="10">
        <v>3534</v>
      </c>
      <c r="M88" s="7" t="s">
        <v>1176</v>
      </c>
      <c r="N88" s="4">
        <v>3871</v>
      </c>
      <c r="O88" s="9" t="s">
        <v>283</v>
      </c>
      <c r="P88" s="10">
        <v>4336</v>
      </c>
      <c r="Q88" s="7" t="s">
        <v>38</v>
      </c>
      <c r="U88" s="12">
        <v>5759</v>
      </c>
      <c r="V88" s="13" t="s">
        <v>30</v>
      </c>
      <c r="W88" s="16" t="str">
        <f>TEXT(VLOOKUP(U88, News!A:C, 3, FALSE), "M/D/YYYY")</f>
        <v>10/25/2020</v>
      </c>
      <c r="X88" s="18">
        <f>DATE(YEAR(W88),MONTH(Metrics!$B$5), DAY(Metrics!$B$5))</f>
        <v>44075</v>
      </c>
      <c r="Y88" s="16">
        <f t="shared" si="1"/>
        <v>2021</v>
      </c>
    </row>
    <row r="89" spans="4:25" ht="16" x14ac:dyDescent="0.2">
      <c r="D89" s="10">
        <v>5863</v>
      </c>
      <c r="E89" s="7" t="s">
        <v>30</v>
      </c>
      <c r="H89" s="10">
        <v>2034</v>
      </c>
      <c r="I89" s="7" t="s">
        <v>297</v>
      </c>
      <c r="J89" s="4">
        <v>8131</v>
      </c>
      <c r="K89" s="9" t="s">
        <v>23</v>
      </c>
      <c r="L89" s="10">
        <v>4359</v>
      </c>
      <c r="M89" s="7" t="s">
        <v>1176</v>
      </c>
      <c r="N89" s="4">
        <v>4354</v>
      </c>
      <c r="O89" s="9" t="s">
        <v>283</v>
      </c>
      <c r="P89" s="10">
        <v>4387</v>
      </c>
      <c r="Q89" s="7" t="s">
        <v>38</v>
      </c>
      <c r="U89" s="12">
        <v>5863</v>
      </c>
      <c r="V89" s="13" t="s">
        <v>30</v>
      </c>
      <c r="W89" s="16" t="str">
        <f>TEXT(VLOOKUP(U89, News!A:C, 3, FALSE), "M/D/YYYY")</f>
        <v>3/15/2021</v>
      </c>
      <c r="X89" s="18">
        <f>DATE(YEAR(W89),MONTH(Metrics!$B$5), DAY(Metrics!$B$5))</f>
        <v>44440</v>
      </c>
      <c r="Y89" s="16">
        <f t="shared" si="1"/>
        <v>2021</v>
      </c>
    </row>
    <row r="90" spans="4:25" ht="16" x14ac:dyDescent="0.2">
      <c r="D90" s="10">
        <v>5883</v>
      </c>
      <c r="E90" s="7" t="s">
        <v>30</v>
      </c>
      <c r="H90" s="10">
        <v>4956</v>
      </c>
      <c r="I90" s="7" t="s">
        <v>297</v>
      </c>
      <c r="J90" s="4">
        <v>8166</v>
      </c>
      <c r="K90" s="9" t="s">
        <v>23</v>
      </c>
      <c r="L90" s="10">
        <v>4460</v>
      </c>
      <c r="M90" s="7" t="s">
        <v>1176</v>
      </c>
      <c r="N90" s="4">
        <v>4594</v>
      </c>
      <c r="O90" s="9" t="s">
        <v>283</v>
      </c>
      <c r="P90" s="10">
        <v>4411</v>
      </c>
      <c r="Q90" s="7" t="s">
        <v>38</v>
      </c>
      <c r="U90" s="12">
        <v>5883</v>
      </c>
      <c r="V90" s="13" t="s">
        <v>30</v>
      </c>
      <c r="W90" s="16" t="str">
        <f>TEXT(VLOOKUP(U90, News!A:C, 3, FALSE), "M/D/YYYY")</f>
        <v>3/18/2021</v>
      </c>
      <c r="X90" s="18">
        <f>DATE(YEAR(W90),MONTH(Metrics!$B$5), DAY(Metrics!$B$5))</f>
        <v>44440</v>
      </c>
      <c r="Y90" s="16">
        <f t="shared" si="1"/>
        <v>2021</v>
      </c>
    </row>
    <row r="91" spans="4:25" ht="16" x14ac:dyDescent="0.2">
      <c r="D91" s="10">
        <v>5904</v>
      </c>
      <c r="E91" s="7" t="s">
        <v>30</v>
      </c>
      <c r="H91" s="10">
        <v>5129</v>
      </c>
      <c r="I91" s="7" t="s">
        <v>297</v>
      </c>
      <c r="J91" s="4">
        <v>1382</v>
      </c>
      <c r="K91" s="9" t="s">
        <v>23</v>
      </c>
      <c r="L91" s="10">
        <v>8226</v>
      </c>
      <c r="M91" s="7" t="s">
        <v>1176</v>
      </c>
      <c r="N91" s="4">
        <v>4608</v>
      </c>
      <c r="O91" s="9" t="s">
        <v>283</v>
      </c>
      <c r="P91" s="10">
        <v>4531</v>
      </c>
      <c r="Q91" s="7" t="s">
        <v>38</v>
      </c>
      <c r="U91" s="12">
        <v>5904</v>
      </c>
      <c r="V91" s="13" t="s">
        <v>30</v>
      </c>
      <c r="W91" s="16" t="str">
        <f>TEXT(VLOOKUP(U91, News!A:C, 3, FALSE), "M/D/YYYY")</f>
        <v>3/24/2021</v>
      </c>
      <c r="X91" s="18">
        <f>DATE(YEAR(W91),MONTH(Metrics!$B$5), DAY(Metrics!$B$5))</f>
        <v>44440</v>
      </c>
      <c r="Y91" s="16">
        <f t="shared" si="1"/>
        <v>2021</v>
      </c>
    </row>
    <row r="92" spans="4:25" ht="16" x14ac:dyDescent="0.2">
      <c r="D92" s="10">
        <v>5939</v>
      </c>
      <c r="E92" s="7" t="s">
        <v>30</v>
      </c>
      <c r="H92" s="10">
        <v>6435</v>
      </c>
      <c r="I92" s="7" t="s">
        <v>297</v>
      </c>
      <c r="J92" s="4">
        <v>1400</v>
      </c>
      <c r="K92" s="9" t="s">
        <v>23</v>
      </c>
      <c r="L92" s="10">
        <v>3978</v>
      </c>
      <c r="M92" s="7" t="s">
        <v>1176</v>
      </c>
      <c r="N92" s="4">
        <v>4619</v>
      </c>
      <c r="O92" s="9" t="s">
        <v>283</v>
      </c>
      <c r="P92" s="10">
        <v>4574</v>
      </c>
      <c r="Q92" s="7" t="s">
        <v>38</v>
      </c>
      <c r="U92" s="12">
        <v>5939</v>
      </c>
      <c r="V92" s="13" t="s">
        <v>30</v>
      </c>
      <c r="W92" s="16" t="str">
        <f>TEXT(VLOOKUP(U92, News!A:C, 3, FALSE), "M/D/YYYY")</f>
        <v>4/12/2021</v>
      </c>
      <c r="X92" s="18">
        <f>DATE(YEAR(W92),MONTH(Metrics!$B$5), DAY(Metrics!$B$5))</f>
        <v>44440</v>
      </c>
      <c r="Y92" s="16">
        <f t="shared" si="1"/>
        <v>2021</v>
      </c>
    </row>
    <row r="93" spans="4:25" ht="16" x14ac:dyDescent="0.2">
      <c r="D93" s="10">
        <v>6010</v>
      </c>
      <c r="E93" s="7" t="s">
        <v>30</v>
      </c>
      <c r="H93" s="10">
        <v>7205</v>
      </c>
      <c r="I93" s="7" t="s">
        <v>297</v>
      </c>
      <c r="J93" s="4">
        <v>1701</v>
      </c>
      <c r="K93" s="9" t="s">
        <v>23</v>
      </c>
      <c r="L93" s="10">
        <v>2551</v>
      </c>
      <c r="M93" s="7" t="s">
        <v>1176</v>
      </c>
      <c r="N93" s="4">
        <v>5537</v>
      </c>
      <c r="O93" s="9" t="s">
        <v>283</v>
      </c>
      <c r="P93" s="10">
        <v>4641</v>
      </c>
      <c r="Q93" s="7" t="s">
        <v>38</v>
      </c>
      <c r="U93" s="12">
        <v>6010</v>
      </c>
      <c r="V93" s="13" t="s">
        <v>30</v>
      </c>
      <c r="W93" s="16" t="str">
        <f>TEXT(VLOOKUP(U93, News!A:C, 3, FALSE), "M/D/YYYY")</f>
        <v>4/17/2021</v>
      </c>
      <c r="X93" s="18">
        <f>DATE(YEAR(W93),MONTH(Metrics!$B$5), DAY(Metrics!$B$5))</f>
        <v>44440</v>
      </c>
      <c r="Y93" s="16">
        <f t="shared" si="1"/>
        <v>2021</v>
      </c>
    </row>
    <row r="94" spans="4:25" ht="16" x14ac:dyDescent="0.2">
      <c r="D94" s="10">
        <v>5979</v>
      </c>
      <c r="E94" s="7" t="s">
        <v>30</v>
      </c>
      <c r="H94" s="10">
        <v>3421</v>
      </c>
      <c r="I94" s="7" t="s">
        <v>297</v>
      </c>
      <c r="J94" s="4">
        <v>2444</v>
      </c>
      <c r="K94" s="9" t="s">
        <v>23</v>
      </c>
      <c r="L94" s="10">
        <v>3947</v>
      </c>
      <c r="M94" s="7" t="s">
        <v>1176</v>
      </c>
      <c r="N94" s="4">
        <v>5806</v>
      </c>
      <c r="O94" s="9" t="s">
        <v>283</v>
      </c>
      <c r="P94" s="10">
        <v>4650</v>
      </c>
      <c r="Q94" s="7" t="s">
        <v>38</v>
      </c>
      <c r="U94" s="12">
        <v>5979</v>
      </c>
      <c r="V94" s="13" t="s">
        <v>30</v>
      </c>
      <c r="W94" s="16" t="str">
        <f>TEXT(VLOOKUP(U94, News!A:C, 3, FALSE), "M/D/YYYY")</f>
        <v>4/23/2021</v>
      </c>
      <c r="X94" s="18">
        <f>DATE(YEAR(W94),MONTH(Metrics!$B$5), DAY(Metrics!$B$5))</f>
        <v>44440</v>
      </c>
      <c r="Y94" s="16">
        <f t="shared" si="1"/>
        <v>2021</v>
      </c>
    </row>
    <row r="95" spans="4:25" ht="16" x14ac:dyDescent="0.2">
      <c r="D95" s="10">
        <v>6083</v>
      </c>
      <c r="E95" s="7" t="s">
        <v>30</v>
      </c>
      <c r="H95" s="10">
        <v>4091</v>
      </c>
      <c r="I95" s="7" t="s">
        <v>297</v>
      </c>
      <c r="J95" s="4">
        <v>2989</v>
      </c>
      <c r="K95" s="9" t="s">
        <v>23</v>
      </c>
      <c r="L95" s="10">
        <v>4242</v>
      </c>
      <c r="M95" s="7" t="s">
        <v>1176</v>
      </c>
      <c r="N95" s="4">
        <v>6664</v>
      </c>
      <c r="O95" s="9" t="s">
        <v>283</v>
      </c>
      <c r="P95" s="10">
        <v>4656</v>
      </c>
      <c r="Q95" s="7" t="s">
        <v>38</v>
      </c>
      <c r="U95" s="12">
        <v>6083</v>
      </c>
      <c r="V95" s="13" t="s">
        <v>30</v>
      </c>
      <c r="W95" s="16" t="str">
        <f>TEXT(VLOOKUP(U95, News!A:C, 3, FALSE), "M/D/YYYY")</f>
        <v>5/18/2021</v>
      </c>
      <c r="X95" s="18">
        <f>DATE(YEAR(W95),MONTH(Metrics!$B$5), DAY(Metrics!$B$5))</f>
        <v>44440</v>
      </c>
      <c r="Y95" s="16">
        <f t="shared" si="1"/>
        <v>2021</v>
      </c>
    </row>
    <row r="96" spans="4:25" ht="16" x14ac:dyDescent="0.2">
      <c r="D96" s="10">
        <v>6662</v>
      </c>
      <c r="E96" s="7" t="s">
        <v>30</v>
      </c>
      <c r="H96" s="10">
        <v>4942</v>
      </c>
      <c r="I96" s="7" t="s">
        <v>297</v>
      </c>
      <c r="J96" s="4">
        <v>3410</v>
      </c>
      <c r="K96" s="9" t="s">
        <v>23</v>
      </c>
      <c r="L96" s="10">
        <v>4912</v>
      </c>
      <c r="M96" s="7" t="s">
        <v>1176</v>
      </c>
      <c r="N96" s="4">
        <v>7146</v>
      </c>
      <c r="O96" s="9" t="s">
        <v>283</v>
      </c>
      <c r="P96" s="10">
        <v>4659</v>
      </c>
      <c r="Q96" s="7" t="s">
        <v>38</v>
      </c>
      <c r="U96" s="12">
        <v>6662</v>
      </c>
      <c r="V96" s="13" t="s">
        <v>30</v>
      </c>
      <c r="W96" s="16" t="str">
        <f>TEXT(VLOOKUP(U96, News!A:C, 3, FALSE), "M/D/YYYY")</f>
        <v>9/1/2021</v>
      </c>
      <c r="X96" s="18">
        <f>DATE(YEAR(W96),MONTH(Metrics!$B$5), DAY(Metrics!$B$5))</f>
        <v>44440</v>
      </c>
      <c r="Y96" s="16">
        <f t="shared" si="1"/>
        <v>2022</v>
      </c>
    </row>
    <row r="97" spans="4:25" ht="16" x14ac:dyDescent="0.2">
      <c r="D97" s="10">
        <v>6358</v>
      </c>
      <c r="E97" s="7" t="s">
        <v>30</v>
      </c>
      <c r="H97" s="10">
        <v>5114</v>
      </c>
      <c r="I97" s="7" t="s">
        <v>297</v>
      </c>
      <c r="J97" s="4">
        <v>3442</v>
      </c>
      <c r="K97" s="9" t="s">
        <v>23</v>
      </c>
      <c r="L97" s="10">
        <v>3311</v>
      </c>
      <c r="M97" s="7" t="s">
        <v>1176</v>
      </c>
      <c r="N97" s="4">
        <v>7157</v>
      </c>
      <c r="O97" s="9" t="s">
        <v>283</v>
      </c>
      <c r="P97" s="10">
        <v>4713</v>
      </c>
      <c r="Q97" s="7" t="s">
        <v>38</v>
      </c>
      <c r="U97" s="12">
        <v>6358</v>
      </c>
      <c r="V97" s="13" t="s">
        <v>30</v>
      </c>
      <c r="W97" s="16" t="str">
        <f>TEXT(VLOOKUP(U97, News!A:C, 3, FALSE), "M/D/YYYY")</f>
        <v>9/8/2021</v>
      </c>
      <c r="X97" s="18">
        <f>DATE(YEAR(W97),MONTH(Metrics!$B$5), DAY(Metrics!$B$5))</f>
        <v>44440</v>
      </c>
      <c r="Y97" s="16">
        <f t="shared" si="1"/>
        <v>2022</v>
      </c>
    </row>
    <row r="98" spans="4:25" ht="16" x14ac:dyDescent="0.2">
      <c r="D98" s="10">
        <v>6553</v>
      </c>
      <c r="E98" s="7" t="s">
        <v>30</v>
      </c>
      <c r="H98" s="10">
        <v>6436</v>
      </c>
      <c r="I98" s="7" t="s">
        <v>297</v>
      </c>
      <c r="J98" s="4">
        <v>3542</v>
      </c>
      <c r="K98" s="9" t="s">
        <v>23</v>
      </c>
      <c r="L98" s="10">
        <v>3838</v>
      </c>
      <c r="M98" s="7" t="s">
        <v>1176</v>
      </c>
      <c r="N98" s="4">
        <v>7634</v>
      </c>
      <c r="O98" s="9" t="s">
        <v>283</v>
      </c>
      <c r="P98" s="10">
        <v>4763</v>
      </c>
      <c r="Q98" s="7" t="s">
        <v>38</v>
      </c>
      <c r="U98" s="12">
        <v>6553</v>
      </c>
      <c r="V98" s="13" t="s">
        <v>30</v>
      </c>
      <c r="W98" s="16" t="str">
        <f>TEXT(VLOOKUP(U98, News!A:C, 3, FALSE), "M/D/YYYY")</f>
        <v>10/14/2021</v>
      </c>
      <c r="X98" s="18">
        <f>DATE(YEAR(W98),MONTH(Metrics!$B$5), DAY(Metrics!$B$5))</f>
        <v>44440</v>
      </c>
      <c r="Y98" s="16">
        <f t="shared" si="1"/>
        <v>2022</v>
      </c>
    </row>
    <row r="99" spans="4:25" ht="16" x14ac:dyDescent="0.2">
      <c r="D99" s="10">
        <v>6885</v>
      </c>
      <c r="E99" s="7" t="s">
        <v>30</v>
      </c>
      <c r="H99" s="10">
        <v>7357</v>
      </c>
      <c r="I99" s="7" t="s">
        <v>297</v>
      </c>
      <c r="J99" s="4">
        <v>3604</v>
      </c>
      <c r="K99" s="9" t="s">
        <v>23</v>
      </c>
      <c r="L99" s="10">
        <v>7881</v>
      </c>
      <c r="M99" s="7" t="s">
        <v>1176</v>
      </c>
      <c r="N99" s="4">
        <v>774</v>
      </c>
      <c r="O99" s="9" t="s">
        <v>283</v>
      </c>
      <c r="P99" s="10">
        <v>4794</v>
      </c>
      <c r="Q99" s="7" t="s">
        <v>38</v>
      </c>
      <c r="U99" s="12">
        <v>6885</v>
      </c>
      <c r="V99" s="13" t="s">
        <v>30</v>
      </c>
      <c r="W99" s="16" t="str">
        <f>TEXT(VLOOKUP(U99, News!A:C, 3, FALSE), "M/D/YYYY")</f>
        <v>2/15/2022</v>
      </c>
      <c r="X99" s="18">
        <f>DATE(YEAR(W99),MONTH(Metrics!$B$5), DAY(Metrics!$B$5))</f>
        <v>44805</v>
      </c>
      <c r="Y99" s="16">
        <f t="shared" si="1"/>
        <v>2022</v>
      </c>
    </row>
    <row r="100" spans="4:25" ht="16" x14ac:dyDescent="0.2">
      <c r="D100" s="10">
        <v>7024</v>
      </c>
      <c r="E100" s="7" t="s">
        <v>30</v>
      </c>
      <c r="H100" s="10">
        <v>7355</v>
      </c>
      <c r="I100" s="7" t="s">
        <v>297</v>
      </c>
      <c r="J100" s="4">
        <v>3654</v>
      </c>
      <c r="K100" s="9" t="s">
        <v>23</v>
      </c>
      <c r="L100" s="10">
        <v>3278</v>
      </c>
      <c r="M100" s="7" t="s">
        <v>1176</v>
      </c>
      <c r="N100" s="4">
        <v>776</v>
      </c>
      <c r="O100" s="9" t="s">
        <v>283</v>
      </c>
      <c r="P100" s="10">
        <v>4800</v>
      </c>
      <c r="Q100" s="7" t="s">
        <v>38</v>
      </c>
      <c r="U100" s="12">
        <v>7024</v>
      </c>
      <c r="V100" s="13" t="s">
        <v>30</v>
      </c>
      <c r="W100" s="16" t="str">
        <f>TEXT(VLOOKUP(U100, News!A:C, 3, FALSE), "M/D/YYYY")</f>
        <v>4/1/2022</v>
      </c>
      <c r="X100" s="18">
        <f>DATE(YEAR(W100),MONTH(Metrics!$B$5), DAY(Metrics!$B$5))</f>
        <v>44805</v>
      </c>
      <c r="Y100" s="16">
        <f t="shared" si="1"/>
        <v>2022</v>
      </c>
    </row>
    <row r="101" spans="4:25" ht="16" x14ac:dyDescent="0.2">
      <c r="D101" s="10">
        <v>7031</v>
      </c>
      <c r="E101" s="7" t="s">
        <v>30</v>
      </c>
      <c r="H101" s="10">
        <v>3817</v>
      </c>
      <c r="I101" s="7" t="s">
        <v>297</v>
      </c>
      <c r="J101" s="4">
        <v>3980</v>
      </c>
      <c r="K101" s="9" t="s">
        <v>23</v>
      </c>
      <c r="L101" s="10">
        <v>3059</v>
      </c>
      <c r="M101" s="7" t="s">
        <v>1176</v>
      </c>
      <c r="N101" s="4">
        <v>1306</v>
      </c>
      <c r="O101" s="9" t="s">
        <v>283</v>
      </c>
      <c r="P101" s="10">
        <v>4889</v>
      </c>
      <c r="Q101" s="7" t="s">
        <v>38</v>
      </c>
      <c r="U101" s="12">
        <v>7031</v>
      </c>
      <c r="V101" s="13" t="s">
        <v>30</v>
      </c>
      <c r="W101" s="16" t="str">
        <f>TEXT(VLOOKUP(U101, News!A:C, 3, FALSE), "M/D/YYYY")</f>
        <v>4/6/2022</v>
      </c>
      <c r="X101" s="18">
        <f>DATE(YEAR(W101),MONTH(Metrics!$B$5), DAY(Metrics!$B$5))</f>
        <v>44805</v>
      </c>
      <c r="Y101" s="16">
        <f t="shared" si="1"/>
        <v>2022</v>
      </c>
    </row>
    <row r="102" spans="4:25" ht="16" x14ac:dyDescent="0.2">
      <c r="D102" s="10">
        <v>7040</v>
      </c>
      <c r="E102" s="7" t="s">
        <v>30</v>
      </c>
      <c r="H102" s="10">
        <v>6073</v>
      </c>
      <c r="I102" s="7" t="s">
        <v>297</v>
      </c>
      <c r="J102" s="4">
        <v>4174</v>
      </c>
      <c r="K102" s="9" t="s">
        <v>23</v>
      </c>
      <c r="L102" s="10">
        <v>2437</v>
      </c>
      <c r="M102" s="7" t="s">
        <v>1176</v>
      </c>
      <c r="N102" s="4">
        <v>1415</v>
      </c>
      <c r="O102" s="9" t="s">
        <v>283</v>
      </c>
      <c r="P102" s="10">
        <v>4899</v>
      </c>
      <c r="Q102" s="7" t="s">
        <v>38</v>
      </c>
      <c r="U102" s="12">
        <v>7040</v>
      </c>
      <c r="V102" s="13" t="s">
        <v>30</v>
      </c>
      <c r="W102" s="16" t="str">
        <f>TEXT(VLOOKUP(U102, News!A:C, 3, FALSE), "M/D/YYYY")</f>
        <v>4/8/2022</v>
      </c>
      <c r="X102" s="18">
        <f>DATE(YEAR(W102),MONTH(Metrics!$B$5), DAY(Metrics!$B$5))</f>
        <v>44805</v>
      </c>
      <c r="Y102" s="16">
        <f t="shared" si="1"/>
        <v>2022</v>
      </c>
    </row>
    <row r="103" spans="4:25" ht="16" x14ac:dyDescent="0.2">
      <c r="D103" s="10">
        <v>7084</v>
      </c>
      <c r="E103" s="7" t="s">
        <v>30</v>
      </c>
      <c r="H103" s="10">
        <v>7358</v>
      </c>
      <c r="I103" s="7" t="s">
        <v>297</v>
      </c>
      <c r="J103" s="4">
        <v>4177</v>
      </c>
      <c r="K103" s="9" t="s">
        <v>23</v>
      </c>
      <c r="L103" s="10">
        <v>2338</v>
      </c>
      <c r="M103" s="7" t="s">
        <v>1176</v>
      </c>
      <c r="N103" s="4">
        <v>1930</v>
      </c>
      <c r="O103" s="9" t="s">
        <v>283</v>
      </c>
      <c r="P103" s="10">
        <v>4921</v>
      </c>
      <c r="Q103" s="7" t="s">
        <v>38</v>
      </c>
      <c r="U103" s="12">
        <v>7084</v>
      </c>
      <c r="V103" s="13" t="s">
        <v>30</v>
      </c>
      <c r="W103" s="16" t="str">
        <f>TEXT(VLOOKUP(U103, News!A:C, 3, FALSE), "M/D/YYYY")</f>
        <v>4/29/2022</v>
      </c>
      <c r="X103" s="18">
        <f>DATE(YEAR(W103),MONTH(Metrics!$B$5), DAY(Metrics!$B$5))</f>
        <v>44805</v>
      </c>
      <c r="Y103" s="16">
        <f t="shared" si="1"/>
        <v>2022</v>
      </c>
    </row>
    <row r="104" spans="4:25" ht="16" x14ac:dyDescent="0.2">
      <c r="D104" s="10">
        <v>7104</v>
      </c>
      <c r="E104" s="7" t="s">
        <v>30</v>
      </c>
      <c r="H104" s="10">
        <v>3617</v>
      </c>
      <c r="I104" s="7" t="s">
        <v>297</v>
      </c>
      <c r="J104" s="4">
        <v>4209</v>
      </c>
      <c r="K104" s="9" t="s">
        <v>23</v>
      </c>
      <c r="L104" s="10">
        <v>1391</v>
      </c>
      <c r="M104" s="7" t="s">
        <v>1176</v>
      </c>
      <c r="N104" s="4">
        <v>2213</v>
      </c>
      <c r="O104" s="9" t="s">
        <v>283</v>
      </c>
      <c r="P104" s="10">
        <v>4924</v>
      </c>
      <c r="Q104" s="7" t="s">
        <v>38</v>
      </c>
      <c r="U104" s="12">
        <v>7104</v>
      </c>
      <c r="V104" s="13" t="s">
        <v>30</v>
      </c>
      <c r="W104" s="16" t="str">
        <f>TEXT(VLOOKUP(U104, News!A:C, 3, FALSE), "M/D/YYYY")</f>
        <v>5/3/2022</v>
      </c>
      <c r="X104" s="18">
        <f>DATE(YEAR(W104),MONTH(Metrics!$B$5), DAY(Metrics!$B$5))</f>
        <v>44805</v>
      </c>
      <c r="Y104" s="16">
        <f t="shared" si="1"/>
        <v>2022</v>
      </c>
    </row>
    <row r="105" spans="4:25" ht="16" x14ac:dyDescent="0.2">
      <c r="D105" s="10">
        <v>7376</v>
      </c>
      <c r="E105" s="7" t="s">
        <v>30</v>
      </c>
      <c r="H105" s="10">
        <v>7797</v>
      </c>
      <c r="I105" s="7" t="s">
        <v>297</v>
      </c>
      <c r="J105" s="4">
        <v>4244</v>
      </c>
      <c r="K105" s="9" t="s">
        <v>23</v>
      </c>
      <c r="L105" s="10">
        <v>1626</v>
      </c>
      <c r="M105" s="7" t="s">
        <v>1176</v>
      </c>
      <c r="N105" s="4">
        <v>2311</v>
      </c>
      <c r="O105" s="9" t="s">
        <v>283</v>
      </c>
      <c r="P105" s="10">
        <v>4964</v>
      </c>
      <c r="Q105" s="7" t="s">
        <v>38</v>
      </c>
      <c r="U105" s="12">
        <v>7376</v>
      </c>
      <c r="V105" s="13" t="s">
        <v>30</v>
      </c>
      <c r="W105" s="16" t="str">
        <f>TEXT(VLOOKUP(U105, News!A:C, 3, FALSE), "M/D/YYYY")</f>
        <v>8/31/2022</v>
      </c>
      <c r="X105" s="18">
        <f>DATE(YEAR(W105),MONTH(Metrics!$B$5), DAY(Metrics!$B$5))</f>
        <v>44805</v>
      </c>
      <c r="Y105" s="16">
        <f t="shared" si="1"/>
        <v>2022</v>
      </c>
    </row>
    <row r="106" spans="4:25" ht="16" x14ac:dyDescent="0.2">
      <c r="D106" s="10">
        <v>7400</v>
      </c>
      <c r="E106" s="7" t="s">
        <v>30</v>
      </c>
      <c r="H106" s="10">
        <v>3622</v>
      </c>
      <c r="I106" s="7" t="s">
        <v>297</v>
      </c>
      <c r="J106" s="4">
        <v>4247</v>
      </c>
      <c r="K106" s="9" t="s">
        <v>23</v>
      </c>
      <c r="L106" s="10">
        <v>3507</v>
      </c>
      <c r="M106" s="7" t="s">
        <v>1176</v>
      </c>
      <c r="N106" s="4">
        <v>3400</v>
      </c>
      <c r="O106" s="9" t="s">
        <v>283</v>
      </c>
      <c r="P106" s="10">
        <v>4998</v>
      </c>
      <c r="Q106" s="7" t="s">
        <v>38</v>
      </c>
      <c r="U106" s="12">
        <v>7400</v>
      </c>
      <c r="V106" s="13" t="s">
        <v>30</v>
      </c>
      <c r="W106" s="16" t="str">
        <f>TEXT(VLOOKUP(U106, News!A:C, 3, FALSE), "M/D/YYYY")</f>
        <v>9/6/2022</v>
      </c>
      <c r="X106" s="18">
        <f>DATE(YEAR(W106),MONTH(Metrics!$B$5), DAY(Metrics!$B$5))</f>
        <v>44805</v>
      </c>
      <c r="Y106" s="16">
        <f t="shared" si="1"/>
        <v>2023</v>
      </c>
    </row>
    <row r="107" spans="4:25" ht="16" x14ac:dyDescent="0.2">
      <c r="D107" s="10">
        <v>7350</v>
      </c>
      <c r="E107" s="7" t="s">
        <v>30</v>
      </c>
      <c r="H107" s="10">
        <v>3329</v>
      </c>
      <c r="I107" s="7" t="s">
        <v>297</v>
      </c>
      <c r="J107" s="4">
        <v>4472</v>
      </c>
      <c r="K107" s="9" t="s">
        <v>23</v>
      </c>
      <c r="L107" s="10">
        <v>3823</v>
      </c>
      <c r="M107" s="7" t="s">
        <v>1176</v>
      </c>
      <c r="N107" s="4">
        <v>8173</v>
      </c>
      <c r="O107" s="9" t="s">
        <v>283</v>
      </c>
      <c r="P107" s="10">
        <v>5003</v>
      </c>
      <c r="Q107" s="7" t="s">
        <v>38</v>
      </c>
      <c r="U107" s="12">
        <v>7350</v>
      </c>
      <c r="V107" s="13" t="s">
        <v>30</v>
      </c>
      <c r="W107" s="16" t="str">
        <f>TEXT(VLOOKUP(U107, News!A:C, 3, FALSE), "M/D/YYYY")</f>
        <v>9/14/2022</v>
      </c>
      <c r="X107" s="18">
        <f>DATE(YEAR(W107),MONTH(Metrics!$B$5), DAY(Metrics!$B$5))</f>
        <v>44805</v>
      </c>
      <c r="Y107" s="16">
        <f t="shared" si="1"/>
        <v>2023</v>
      </c>
    </row>
    <row r="108" spans="4:25" ht="16" x14ac:dyDescent="0.2">
      <c r="D108" s="10">
        <v>7631</v>
      </c>
      <c r="E108" s="7" t="s">
        <v>30</v>
      </c>
      <c r="H108" s="10">
        <v>3426</v>
      </c>
      <c r="I108" s="7" t="s">
        <v>297</v>
      </c>
      <c r="J108" s="4">
        <v>4765</v>
      </c>
      <c r="K108" s="9" t="s">
        <v>23</v>
      </c>
      <c r="L108" s="10">
        <v>3859</v>
      </c>
      <c r="M108" s="7" t="s">
        <v>1176</v>
      </c>
      <c r="N108" s="4">
        <v>2451</v>
      </c>
      <c r="O108" s="9" t="s">
        <v>283</v>
      </c>
      <c r="P108" s="10">
        <v>5016</v>
      </c>
      <c r="Q108" s="7" t="s">
        <v>38</v>
      </c>
      <c r="U108" s="12">
        <v>7631</v>
      </c>
      <c r="V108" s="13" t="s">
        <v>30</v>
      </c>
      <c r="W108" s="16" t="str">
        <f>TEXT(VLOOKUP(U108, News!A:C, 3, FALSE), "M/D/YYYY")</f>
        <v>10/13/2022</v>
      </c>
      <c r="X108" s="18">
        <f>DATE(YEAR(W108),MONTH(Metrics!$B$5), DAY(Metrics!$B$5))</f>
        <v>44805</v>
      </c>
      <c r="Y108" s="16">
        <f t="shared" si="1"/>
        <v>2023</v>
      </c>
    </row>
    <row r="109" spans="4:25" ht="16" x14ac:dyDescent="0.2">
      <c r="D109" s="10">
        <v>7657</v>
      </c>
      <c r="E109" s="7" t="s">
        <v>30</v>
      </c>
      <c r="H109" s="10">
        <v>3311</v>
      </c>
      <c r="I109" s="7" t="s">
        <v>297</v>
      </c>
      <c r="J109" s="4">
        <v>6028</v>
      </c>
      <c r="K109" s="9" t="s">
        <v>23</v>
      </c>
      <c r="L109" s="10">
        <v>4769</v>
      </c>
      <c r="M109" s="7" t="s">
        <v>1176</v>
      </c>
      <c r="N109" s="4">
        <v>3881</v>
      </c>
      <c r="O109" s="9" t="s">
        <v>283</v>
      </c>
      <c r="P109" s="10">
        <v>5038</v>
      </c>
      <c r="Q109" s="7" t="s">
        <v>38</v>
      </c>
      <c r="U109" s="12">
        <v>7657</v>
      </c>
      <c r="V109" s="13" t="s">
        <v>30</v>
      </c>
      <c r="W109" s="16" t="str">
        <f>TEXT(VLOOKUP(U109, News!A:C, 3, FALSE), "M/D/YYYY")</f>
        <v>10/20/2022</v>
      </c>
      <c r="X109" s="18">
        <f>DATE(YEAR(W109),MONTH(Metrics!$B$5), DAY(Metrics!$B$5))</f>
        <v>44805</v>
      </c>
      <c r="Y109" s="16">
        <f t="shared" si="1"/>
        <v>2023</v>
      </c>
    </row>
    <row r="110" spans="4:25" ht="16" x14ac:dyDescent="0.2">
      <c r="D110" s="10">
        <v>7845</v>
      </c>
      <c r="E110" s="7" t="s">
        <v>30</v>
      </c>
      <c r="H110" s="10">
        <v>3838</v>
      </c>
      <c r="I110" s="7" t="s">
        <v>297</v>
      </c>
      <c r="J110" s="4">
        <v>7765</v>
      </c>
      <c r="K110" s="9" t="s">
        <v>23</v>
      </c>
      <c r="L110" s="10">
        <v>4493</v>
      </c>
      <c r="M110" s="7" t="s">
        <v>1176</v>
      </c>
      <c r="N110" s="4">
        <v>5678</v>
      </c>
      <c r="O110" s="9" t="s">
        <v>283</v>
      </c>
      <c r="P110" s="10">
        <v>5070</v>
      </c>
      <c r="Q110" s="7" t="s">
        <v>38</v>
      </c>
      <c r="U110" s="12">
        <v>7845</v>
      </c>
      <c r="V110" s="13" t="s">
        <v>30</v>
      </c>
      <c r="W110" s="16" t="str">
        <f>TEXT(VLOOKUP(U110, News!A:C, 3, FALSE), "M/D/YYYY")</f>
        <v>1/5/2023</v>
      </c>
      <c r="X110" s="18">
        <f>DATE(YEAR(W110),MONTH(Metrics!$B$5), DAY(Metrics!$B$5))</f>
        <v>45170</v>
      </c>
      <c r="Y110" s="16">
        <f t="shared" si="1"/>
        <v>2023</v>
      </c>
    </row>
    <row r="111" spans="4:25" ht="16" x14ac:dyDescent="0.2">
      <c r="D111" s="10">
        <v>7894</v>
      </c>
      <c r="E111" s="7" t="s">
        <v>30</v>
      </c>
      <c r="H111" s="10">
        <v>7881</v>
      </c>
      <c r="I111" s="7" t="s">
        <v>297</v>
      </c>
      <c r="J111" s="4">
        <v>8153</v>
      </c>
      <c r="K111" s="9" t="s">
        <v>23</v>
      </c>
      <c r="L111" s="10">
        <v>4579</v>
      </c>
      <c r="M111" s="7" t="s">
        <v>1176</v>
      </c>
      <c r="N111" s="4">
        <v>4883</v>
      </c>
      <c r="O111" s="9" t="s">
        <v>283</v>
      </c>
      <c r="P111" s="10">
        <v>5094</v>
      </c>
      <c r="Q111" s="7" t="s">
        <v>38</v>
      </c>
      <c r="U111" s="12">
        <v>7894</v>
      </c>
      <c r="V111" s="13" t="s">
        <v>30</v>
      </c>
      <c r="W111" s="16" t="str">
        <f>TEXT(VLOOKUP(U111, News!A:C, 3, FALSE), "M/D/YYYY")</f>
        <v>1/11/2023</v>
      </c>
      <c r="X111" s="18">
        <f>DATE(YEAR(W111),MONTH(Metrics!$B$5), DAY(Metrics!$B$5))</f>
        <v>45170</v>
      </c>
      <c r="Y111" s="16">
        <f t="shared" si="1"/>
        <v>2023</v>
      </c>
    </row>
    <row r="112" spans="4:25" ht="16" x14ac:dyDescent="0.2">
      <c r="D112" s="10">
        <v>8056</v>
      </c>
      <c r="E112" s="7" t="s">
        <v>30</v>
      </c>
      <c r="H112" s="10">
        <v>1391</v>
      </c>
      <c r="I112" s="7" t="s">
        <v>297</v>
      </c>
      <c r="J112" s="4">
        <v>8085</v>
      </c>
      <c r="K112" s="9" t="s">
        <v>23</v>
      </c>
      <c r="L112" s="10">
        <v>7610</v>
      </c>
      <c r="M112" s="7" t="s">
        <v>1176</v>
      </c>
      <c r="N112" s="4">
        <v>3329</v>
      </c>
      <c r="O112" s="9" t="s">
        <v>283</v>
      </c>
      <c r="P112" s="10">
        <v>5446</v>
      </c>
      <c r="Q112" s="7" t="s">
        <v>38</v>
      </c>
      <c r="U112" s="12">
        <v>8056</v>
      </c>
      <c r="V112" s="13" t="s">
        <v>30</v>
      </c>
      <c r="W112" s="16" t="str">
        <f>TEXT(VLOOKUP(U112, News!A:C, 3, FALSE), "M/D/YYYY")</f>
        <v>2/16/2023</v>
      </c>
      <c r="X112" s="18">
        <f>DATE(YEAR(W112),MONTH(Metrics!$B$5), DAY(Metrics!$B$5))</f>
        <v>45170</v>
      </c>
      <c r="Y112" s="16">
        <f t="shared" si="1"/>
        <v>2023</v>
      </c>
    </row>
    <row r="113" spans="4:25" ht="16" x14ac:dyDescent="0.2">
      <c r="D113" s="10">
        <v>8061</v>
      </c>
      <c r="E113" s="7" t="s">
        <v>30</v>
      </c>
      <c r="H113" s="10">
        <v>1626</v>
      </c>
      <c r="I113" s="7" t="s">
        <v>297</v>
      </c>
      <c r="J113" s="4">
        <v>1312</v>
      </c>
      <c r="K113" s="9" t="s">
        <v>23</v>
      </c>
      <c r="L113" s="10">
        <v>8223</v>
      </c>
      <c r="M113" s="7" t="s">
        <v>1176</v>
      </c>
      <c r="N113" s="4">
        <v>3426</v>
      </c>
      <c r="O113" s="9" t="s">
        <v>283</v>
      </c>
      <c r="P113" s="10">
        <v>5454</v>
      </c>
      <c r="Q113" s="7" t="s">
        <v>38</v>
      </c>
      <c r="U113" s="12">
        <v>8061</v>
      </c>
      <c r="V113" s="13" t="s">
        <v>30</v>
      </c>
      <c r="W113" s="16" t="str">
        <f>TEXT(VLOOKUP(U113, News!A:C, 3, FALSE), "M/D/YYYY")</f>
        <v>2/16/2023</v>
      </c>
      <c r="X113" s="18">
        <f>DATE(YEAR(W113),MONTH(Metrics!$B$5), DAY(Metrics!$B$5))</f>
        <v>45170</v>
      </c>
      <c r="Y113" s="16">
        <f t="shared" si="1"/>
        <v>2023</v>
      </c>
    </row>
    <row r="114" spans="4:25" ht="16" x14ac:dyDescent="0.2">
      <c r="D114" s="10">
        <v>8271</v>
      </c>
      <c r="E114" s="7" t="s">
        <v>30</v>
      </c>
      <c r="H114" s="10">
        <v>3823</v>
      </c>
      <c r="I114" s="7" t="s">
        <v>297</v>
      </c>
      <c r="J114" s="4">
        <v>1318</v>
      </c>
      <c r="K114" s="9" t="s">
        <v>23</v>
      </c>
      <c r="L114" s="10">
        <v>6264</v>
      </c>
      <c r="M114" s="7" t="s">
        <v>1176</v>
      </c>
      <c r="N114" s="4">
        <v>3311</v>
      </c>
      <c r="O114" s="9" t="s">
        <v>283</v>
      </c>
      <c r="P114" s="10">
        <v>5523</v>
      </c>
      <c r="Q114" s="7" t="s">
        <v>38</v>
      </c>
      <c r="U114" s="12">
        <v>8271</v>
      </c>
      <c r="V114" s="13" t="s">
        <v>30</v>
      </c>
      <c r="W114" s="16" t="str">
        <f>TEXT(VLOOKUP(U114, News!A:C, 3, FALSE), "M/D/YYYY")</f>
        <v>4/28/2023</v>
      </c>
      <c r="X114" s="18">
        <f>DATE(YEAR(W114),MONTH(Metrics!$B$5), DAY(Metrics!$B$5))</f>
        <v>45170</v>
      </c>
      <c r="Y114" s="16">
        <f t="shared" si="1"/>
        <v>2023</v>
      </c>
    </row>
    <row r="115" spans="4:25" ht="16" x14ac:dyDescent="0.2">
      <c r="D115" s="10">
        <v>8204</v>
      </c>
      <c r="E115" s="7" t="s">
        <v>30</v>
      </c>
      <c r="H115" s="10">
        <v>4863</v>
      </c>
      <c r="I115" s="7" t="s">
        <v>297</v>
      </c>
      <c r="J115" s="4">
        <v>1372</v>
      </c>
      <c r="K115" s="9" t="s">
        <v>23</v>
      </c>
      <c r="L115" s="10">
        <v>8125</v>
      </c>
      <c r="M115" s="7" t="s">
        <v>1176</v>
      </c>
      <c r="N115" s="4">
        <v>3838</v>
      </c>
      <c r="O115" s="9" t="s">
        <v>283</v>
      </c>
      <c r="P115" s="10">
        <v>5578</v>
      </c>
      <c r="Q115" s="7" t="s">
        <v>38</v>
      </c>
      <c r="U115" s="12">
        <v>8204</v>
      </c>
      <c r="V115" s="13" t="s">
        <v>30</v>
      </c>
      <c r="W115" s="16" t="str">
        <f>TEXT(VLOOKUP(U115, News!A:C, 3, FALSE), "M/D/YYYY")</f>
        <v>4/18/2023</v>
      </c>
      <c r="X115" s="18">
        <f>DATE(YEAR(W115),MONTH(Metrics!$B$5), DAY(Metrics!$B$5))</f>
        <v>45170</v>
      </c>
      <c r="Y115" s="16">
        <f t="shared" si="1"/>
        <v>2023</v>
      </c>
    </row>
    <row r="116" spans="4:25" ht="16" x14ac:dyDescent="0.2">
      <c r="D116" s="10">
        <v>1396</v>
      </c>
      <c r="E116" s="7" t="s">
        <v>30</v>
      </c>
      <c r="H116" s="10">
        <v>4493</v>
      </c>
      <c r="I116" s="7" t="s">
        <v>297</v>
      </c>
      <c r="J116" s="4">
        <v>1431</v>
      </c>
      <c r="K116" s="9" t="s">
        <v>23</v>
      </c>
      <c r="N116" s="4">
        <v>7881</v>
      </c>
      <c r="O116" s="9" t="s">
        <v>283</v>
      </c>
      <c r="P116" s="10">
        <v>5606</v>
      </c>
      <c r="Q116" s="7" t="s">
        <v>38</v>
      </c>
      <c r="U116" s="12">
        <v>1396</v>
      </c>
      <c r="V116" s="13" t="s">
        <v>30</v>
      </c>
      <c r="W116" s="16" t="str">
        <f>TEXT(VLOOKUP(U116, News!A:C, 3, FALSE), "M/D/YYYY")</f>
        <v>3/29/2018</v>
      </c>
      <c r="X116" s="18">
        <f>DATE(YEAR(W116),MONTH(Metrics!$B$5), DAY(Metrics!$B$5))</f>
        <v>43344</v>
      </c>
      <c r="Y116" s="16">
        <f t="shared" si="1"/>
        <v>2018</v>
      </c>
    </row>
    <row r="117" spans="4:25" ht="16" x14ac:dyDescent="0.2">
      <c r="D117" s="10">
        <v>3609</v>
      </c>
      <c r="E117" s="7" t="s">
        <v>30</v>
      </c>
      <c r="H117" s="10">
        <v>4579</v>
      </c>
      <c r="I117" s="7" t="s">
        <v>297</v>
      </c>
      <c r="J117" s="4">
        <v>1468</v>
      </c>
      <c r="K117" s="9" t="s">
        <v>23</v>
      </c>
      <c r="N117" s="4">
        <v>3059</v>
      </c>
      <c r="O117" s="9" t="s">
        <v>283</v>
      </c>
      <c r="P117" s="10">
        <v>5761</v>
      </c>
      <c r="Q117" s="7" t="s">
        <v>38</v>
      </c>
      <c r="U117" s="12">
        <v>3609</v>
      </c>
      <c r="V117" s="13" t="s">
        <v>30</v>
      </c>
      <c r="W117" s="16" t="str">
        <f>TEXT(VLOOKUP(U117, News!A:C, 3, FALSE), "M/D/YYYY")</f>
        <v>1/30/2016</v>
      </c>
      <c r="X117" s="18">
        <f>DATE(YEAR(W117),MONTH(Metrics!$B$5), DAY(Metrics!$B$5))</f>
        <v>42614</v>
      </c>
      <c r="Y117" s="16">
        <f t="shared" si="1"/>
        <v>2016</v>
      </c>
    </row>
    <row r="118" spans="4:25" ht="16" x14ac:dyDescent="0.2">
      <c r="D118" s="10">
        <v>4013</v>
      </c>
      <c r="E118" s="7" t="s">
        <v>30</v>
      </c>
      <c r="H118" s="10">
        <v>7610</v>
      </c>
      <c r="I118" s="7" t="s">
        <v>297</v>
      </c>
      <c r="J118" s="4">
        <v>1544</v>
      </c>
      <c r="K118" s="9" t="s">
        <v>23</v>
      </c>
      <c r="N118" s="4">
        <v>2437</v>
      </c>
      <c r="O118" s="9" t="s">
        <v>283</v>
      </c>
      <c r="P118" s="10">
        <v>5795</v>
      </c>
      <c r="Q118" s="7" t="s">
        <v>38</v>
      </c>
      <c r="U118" s="12">
        <v>4013</v>
      </c>
      <c r="V118" s="13" t="s">
        <v>30</v>
      </c>
      <c r="W118" s="16" t="str">
        <f>TEXT(VLOOKUP(U118, News!A:C, 3, FALSE), "M/D/YYYY")</f>
        <v>2/5/2015</v>
      </c>
      <c r="X118" s="18">
        <f>DATE(YEAR(W118),MONTH(Metrics!$B$5), DAY(Metrics!$B$5))</f>
        <v>42248</v>
      </c>
      <c r="Y118" s="16">
        <f t="shared" si="1"/>
        <v>2015</v>
      </c>
    </row>
    <row r="119" spans="4:25" ht="16" x14ac:dyDescent="0.2">
      <c r="D119" s="10">
        <v>4474</v>
      </c>
      <c r="E119" s="7" t="s">
        <v>30</v>
      </c>
      <c r="H119" s="10">
        <v>8223</v>
      </c>
      <c r="I119" s="7" t="s">
        <v>297</v>
      </c>
      <c r="J119" s="4">
        <v>1914</v>
      </c>
      <c r="K119" s="9" t="s">
        <v>23</v>
      </c>
      <c r="N119" s="4">
        <v>3859</v>
      </c>
      <c r="O119" s="9" t="s">
        <v>283</v>
      </c>
      <c r="P119" s="10">
        <v>5842</v>
      </c>
      <c r="Q119" s="7" t="s">
        <v>38</v>
      </c>
      <c r="U119" s="12">
        <v>4474</v>
      </c>
      <c r="V119" s="13" t="s">
        <v>30</v>
      </c>
      <c r="W119" s="16" t="str">
        <f>TEXT(VLOOKUP(U119, News!A:C, 3, FALSE), "M/D/YYYY")</f>
        <v>4/27/2014</v>
      </c>
      <c r="X119" s="18">
        <f>DATE(YEAR(W119),MONTH(Metrics!$B$5), DAY(Metrics!$B$5))</f>
        <v>41883</v>
      </c>
      <c r="Y119" s="16">
        <f t="shared" si="1"/>
        <v>2014</v>
      </c>
    </row>
    <row r="120" spans="4:25" ht="16" x14ac:dyDescent="0.2">
      <c r="D120" s="10">
        <v>7060</v>
      </c>
      <c r="E120" s="7" t="s">
        <v>30</v>
      </c>
      <c r="H120" s="10">
        <v>6919</v>
      </c>
      <c r="I120" s="7" t="s">
        <v>297</v>
      </c>
      <c r="J120" s="4">
        <v>1947</v>
      </c>
      <c r="K120" s="9" t="s">
        <v>23</v>
      </c>
      <c r="N120" s="4">
        <v>4769</v>
      </c>
      <c r="O120" s="9" t="s">
        <v>283</v>
      </c>
      <c r="P120" s="10">
        <v>5864</v>
      </c>
      <c r="Q120" s="7" t="s">
        <v>38</v>
      </c>
      <c r="U120" s="12">
        <v>7060</v>
      </c>
      <c r="V120" s="13" t="s">
        <v>30</v>
      </c>
      <c r="W120" s="16" t="str">
        <f>TEXT(VLOOKUP(U120, News!A:C, 3, FALSE), "M/D/YYYY")</f>
        <v>4/18/2022</v>
      </c>
      <c r="X120" s="18">
        <f>DATE(YEAR(W120),MONTH(Metrics!$B$5), DAY(Metrics!$B$5))</f>
        <v>44805</v>
      </c>
      <c r="Y120" s="16">
        <f t="shared" si="1"/>
        <v>2022</v>
      </c>
    </row>
    <row r="121" spans="4:25" ht="16" x14ac:dyDescent="0.2">
      <c r="D121" s="10">
        <v>1935</v>
      </c>
      <c r="E121" s="7" t="s">
        <v>30</v>
      </c>
      <c r="H121" s="10">
        <v>8125</v>
      </c>
      <c r="I121" s="7" t="s">
        <v>297</v>
      </c>
      <c r="J121" s="4">
        <v>2007</v>
      </c>
      <c r="K121" s="9" t="s">
        <v>23</v>
      </c>
      <c r="N121" s="4">
        <v>4829</v>
      </c>
      <c r="O121" s="9" t="s">
        <v>283</v>
      </c>
      <c r="P121" s="10">
        <v>6008</v>
      </c>
      <c r="Q121" s="7" t="s">
        <v>38</v>
      </c>
      <c r="U121" s="12">
        <v>1935</v>
      </c>
      <c r="V121" s="13" t="s">
        <v>30</v>
      </c>
      <c r="W121" s="16" t="str">
        <f>TEXT(VLOOKUP(U121, News!A:C, 3, FALSE), "M/D/YYYY")</f>
        <v>10/26/2018</v>
      </c>
      <c r="X121" s="18">
        <f>DATE(YEAR(W121),MONTH(Metrics!$B$5), DAY(Metrics!$B$5))</f>
        <v>43344</v>
      </c>
      <c r="Y121" s="16">
        <f t="shared" si="1"/>
        <v>2019</v>
      </c>
    </row>
    <row r="122" spans="4:25" ht="16" x14ac:dyDescent="0.2">
      <c r="D122" s="10">
        <v>3972</v>
      </c>
      <c r="E122" s="7" t="s">
        <v>30</v>
      </c>
      <c r="J122" s="4">
        <v>2012</v>
      </c>
      <c r="K122" s="9" t="s">
        <v>23</v>
      </c>
      <c r="N122" s="4">
        <v>4373</v>
      </c>
      <c r="O122" s="9" t="s">
        <v>283</v>
      </c>
      <c r="P122" s="10">
        <v>6033</v>
      </c>
      <c r="Q122" s="7" t="s">
        <v>38</v>
      </c>
      <c r="U122" s="12">
        <v>3972</v>
      </c>
      <c r="V122" s="13" t="s">
        <v>30</v>
      </c>
      <c r="W122" s="16" t="str">
        <f>TEXT(VLOOKUP(U122, News!A:C, 3, FALSE), "M/D/YYYY")</f>
        <v>3/29/2015</v>
      </c>
      <c r="X122" s="18">
        <f>DATE(YEAR(W122),MONTH(Metrics!$B$5), DAY(Metrics!$B$5))</f>
        <v>42248</v>
      </c>
      <c r="Y122" s="16">
        <f t="shared" si="1"/>
        <v>2015</v>
      </c>
    </row>
    <row r="123" spans="4:25" ht="16" x14ac:dyDescent="0.2">
      <c r="D123" s="10">
        <v>4160</v>
      </c>
      <c r="E123" s="7" t="s">
        <v>30</v>
      </c>
      <c r="J123" s="4">
        <v>2089</v>
      </c>
      <c r="K123" s="9" t="s">
        <v>23</v>
      </c>
      <c r="N123" s="4">
        <v>7996</v>
      </c>
      <c r="O123" s="9" t="s">
        <v>283</v>
      </c>
      <c r="P123" s="10">
        <v>6094</v>
      </c>
      <c r="Q123" s="7" t="s">
        <v>38</v>
      </c>
      <c r="U123" s="12">
        <v>4160</v>
      </c>
      <c r="V123" s="13" t="s">
        <v>30</v>
      </c>
      <c r="W123" s="16" t="str">
        <f>TEXT(VLOOKUP(U123, News!A:C, 3, FALSE), "M/D/YYYY")</f>
        <v>5/29/2014</v>
      </c>
      <c r="X123" s="18">
        <f>DATE(YEAR(W123),MONTH(Metrics!$B$5), DAY(Metrics!$B$5))</f>
        <v>41883</v>
      </c>
      <c r="Y123" s="16">
        <f t="shared" si="1"/>
        <v>2014</v>
      </c>
    </row>
    <row r="124" spans="4:25" ht="16" x14ac:dyDescent="0.2">
      <c r="D124" s="10">
        <v>7706</v>
      </c>
      <c r="E124" s="7" t="s">
        <v>30</v>
      </c>
      <c r="J124" s="4">
        <v>2323</v>
      </c>
      <c r="K124" s="9" t="s">
        <v>23</v>
      </c>
      <c r="N124" s="4">
        <v>6919</v>
      </c>
      <c r="O124" s="9" t="s">
        <v>283</v>
      </c>
      <c r="P124" s="10">
        <v>6180</v>
      </c>
      <c r="Q124" s="7" t="s">
        <v>38</v>
      </c>
      <c r="U124" s="12">
        <v>7706</v>
      </c>
      <c r="V124" s="13" t="s">
        <v>30</v>
      </c>
      <c r="W124" s="16" t="str">
        <f>TEXT(VLOOKUP(U124, News!A:C, 3, FALSE), "M/D/YYYY")</f>
        <v>11/11/2022</v>
      </c>
      <c r="X124" s="18">
        <f>DATE(YEAR(W124),MONTH(Metrics!$B$5), DAY(Metrics!$B$5))</f>
        <v>44805</v>
      </c>
      <c r="Y124" s="16">
        <f t="shared" si="1"/>
        <v>2023</v>
      </c>
    </row>
    <row r="125" spans="4:25" ht="16" x14ac:dyDescent="0.2">
      <c r="D125" s="10">
        <v>1615</v>
      </c>
      <c r="E125" s="7" t="s">
        <v>30</v>
      </c>
      <c r="J125" s="4">
        <v>2825</v>
      </c>
      <c r="K125" s="9" t="s">
        <v>23</v>
      </c>
      <c r="N125" s="4">
        <v>8054</v>
      </c>
      <c r="O125" s="9" t="s">
        <v>283</v>
      </c>
      <c r="P125" s="10">
        <v>6556</v>
      </c>
      <c r="Q125" s="7" t="s">
        <v>38</v>
      </c>
      <c r="U125" s="12">
        <v>1615</v>
      </c>
      <c r="V125" s="13" t="s">
        <v>30</v>
      </c>
      <c r="W125" s="16" t="str">
        <f>TEXT(VLOOKUP(U125, News!A:C, 3, FALSE), "M/D/YYYY")</f>
        <v>8/24/2018</v>
      </c>
      <c r="X125" s="18">
        <f>DATE(YEAR(W125),MONTH(Metrics!$B$5), DAY(Metrics!$B$5))</f>
        <v>43344</v>
      </c>
      <c r="Y125" s="16">
        <f t="shared" si="1"/>
        <v>2018</v>
      </c>
    </row>
    <row r="126" spans="4:25" ht="16" x14ac:dyDescent="0.2">
      <c r="D126" s="10">
        <v>4018</v>
      </c>
      <c r="E126" s="7" t="s">
        <v>30</v>
      </c>
      <c r="J126" s="4">
        <v>3053</v>
      </c>
      <c r="K126" s="9" t="s">
        <v>23</v>
      </c>
      <c r="N126" s="4"/>
      <c r="O126" s="9"/>
      <c r="P126" s="10">
        <v>6642</v>
      </c>
      <c r="Q126" s="7" t="s">
        <v>38</v>
      </c>
      <c r="U126" s="12">
        <v>4018</v>
      </c>
      <c r="V126" s="13" t="s">
        <v>30</v>
      </c>
      <c r="W126" s="16" t="str">
        <f>TEXT(VLOOKUP(U126, News!A:C, 3, FALSE), "M/D/YYYY")</f>
        <v>1/11/2015</v>
      </c>
      <c r="X126" s="18">
        <f>DATE(YEAR(W126),MONTH(Metrics!$B$5), DAY(Metrics!$B$5))</f>
        <v>42248</v>
      </c>
      <c r="Y126" s="16">
        <f t="shared" si="1"/>
        <v>2015</v>
      </c>
    </row>
    <row r="127" spans="4:25" ht="16" x14ac:dyDescent="0.2">
      <c r="D127" s="10">
        <v>4130</v>
      </c>
      <c r="E127" s="7" t="s">
        <v>30</v>
      </c>
      <c r="J127" s="4">
        <v>3218</v>
      </c>
      <c r="K127" s="9" t="s">
        <v>23</v>
      </c>
      <c r="P127" s="10">
        <v>6776</v>
      </c>
      <c r="Q127" s="7" t="s">
        <v>38</v>
      </c>
      <c r="U127" s="12">
        <v>4130</v>
      </c>
      <c r="V127" s="13" t="s">
        <v>30</v>
      </c>
      <c r="W127" s="16" t="str">
        <f>TEXT(VLOOKUP(U127, News!A:C, 3, FALSE), "M/D/YYYY")</f>
        <v>7/10/2014</v>
      </c>
      <c r="X127" s="18">
        <f>DATE(YEAR(W127),MONTH(Metrics!$B$5), DAY(Metrics!$B$5))</f>
        <v>41883</v>
      </c>
      <c r="Y127" s="16">
        <f t="shared" si="1"/>
        <v>2014</v>
      </c>
    </row>
    <row r="128" spans="4:25" ht="16" x14ac:dyDescent="0.2">
      <c r="D128" s="10">
        <v>1355</v>
      </c>
      <c r="E128" s="7" t="s">
        <v>30</v>
      </c>
      <c r="J128" s="4">
        <v>3398</v>
      </c>
      <c r="K128" s="9" t="s">
        <v>23</v>
      </c>
      <c r="P128" s="10">
        <v>6828</v>
      </c>
      <c r="Q128" s="7" t="s">
        <v>38</v>
      </c>
      <c r="U128" s="12">
        <v>1355</v>
      </c>
      <c r="V128" s="13" t="s">
        <v>30</v>
      </c>
      <c r="W128" s="16" t="str">
        <f>TEXT(VLOOKUP(U128, News!A:C, 3, FALSE), "M/D/YYYY")</f>
        <v>10/3/2017</v>
      </c>
      <c r="X128" s="18">
        <f>DATE(YEAR(W128),MONTH(Metrics!$B$5), DAY(Metrics!$B$5))</f>
        <v>42979</v>
      </c>
      <c r="Y128" s="16">
        <f t="shared" si="1"/>
        <v>2018</v>
      </c>
    </row>
    <row r="129" spans="4:25" ht="16" x14ac:dyDescent="0.2">
      <c r="D129" s="10">
        <v>1379</v>
      </c>
      <c r="E129" s="7" t="s">
        <v>30</v>
      </c>
      <c r="J129" s="4">
        <v>3415</v>
      </c>
      <c r="K129" s="9" t="s">
        <v>23</v>
      </c>
      <c r="P129" s="10">
        <v>6944</v>
      </c>
      <c r="Q129" s="7" t="s">
        <v>38</v>
      </c>
      <c r="U129" s="12">
        <v>1379</v>
      </c>
      <c r="V129" s="13" t="s">
        <v>30</v>
      </c>
      <c r="W129" s="16" t="str">
        <f>TEXT(VLOOKUP(U129, News!A:C, 3, FALSE), "M/D/YYYY")</f>
        <v>10/26/2017</v>
      </c>
      <c r="X129" s="18">
        <f>DATE(YEAR(W129),MONTH(Metrics!$B$5), DAY(Metrics!$B$5))</f>
        <v>42979</v>
      </c>
      <c r="Y129" s="16">
        <f t="shared" si="1"/>
        <v>2018</v>
      </c>
    </row>
    <row r="130" spans="4:25" ht="16" x14ac:dyDescent="0.2">
      <c r="D130" s="10">
        <v>2305</v>
      </c>
      <c r="E130" s="7" t="s">
        <v>30</v>
      </c>
      <c r="J130" s="4">
        <v>3554</v>
      </c>
      <c r="K130" s="9" t="s">
        <v>23</v>
      </c>
      <c r="P130" s="10">
        <v>7033</v>
      </c>
      <c r="Q130" s="7" t="s">
        <v>38</v>
      </c>
      <c r="U130" s="12">
        <v>2305</v>
      </c>
      <c r="V130" s="13" t="s">
        <v>30</v>
      </c>
      <c r="W130" s="16" t="str">
        <f>TEXT(VLOOKUP(U130, News!A:C, 3, FALSE), "M/D/YYYY")</f>
        <v>5/19/2017</v>
      </c>
      <c r="X130" s="18">
        <f>DATE(YEAR(W130),MONTH(Metrics!$B$5), DAY(Metrics!$B$5))</f>
        <v>42979</v>
      </c>
      <c r="Y130" s="16">
        <f t="shared" si="1"/>
        <v>2017</v>
      </c>
    </row>
    <row r="131" spans="4:25" ht="16" x14ac:dyDescent="0.2">
      <c r="D131" s="10">
        <v>2549</v>
      </c>
      <c r="E131" s="7" t="s">
        <v>30</v>
      </c>
      <c r="J131" s="4">
        <v>3558</v>
      </c>
      <c r="K131" s="9" t="s">
        <v>23</v>
      </c>
      <c r="P131" s="10">
        <v>7066</v>
      </c>
      <c r="Q131" s="7" t="s">
        <v>38</v>
      </c>
      <c r="U131" s="12">
        <v>2549</v>
      </c>
      <c r="V131" s="13" t="s">
        <v>30</v>
      </c>
      <c r="W131" s="16" t="str">
        <f>TEXT(VLOOKUP(U131, News!A:C, 3, FALSE), "M/D/YYYY")</f>
        <v>1/20/2017</v>
      </c>
      <c r="X131" s="18">
        <f>DATE(YEAR(W131),MONTH(Metrics!$B$5), DAY(Metrics!$B$5))</f>
        <v>42979</v>
      </c>
      <c r="Y131" s="16">
        <f t="shared" ref="Y131:Y194" si="2">IF(MONTH(W131) &gt;= MONTH(X131), YEAR(W131)+1, YEAR(W131))</f>
        <v>2017</v>
      </c>
    </row>
    <row r="132" spans="4:25" ht="16" x14ac:dyDescent="0.2">
      <c r="D132" s="10">
        <v>3062</v>
      </c>
      <c r="E132" s="7" t="s">
        <v>30</v>
      </c>
      <c r="J132" s="4">
        <v>3871</v>
      </c>
      <c r="K132" s="9" t="s">
        <v>23</v>
      </c>
      <c r="P132" s="10">
        <v>7177</v>
      </c>
      <c r="Q132" s="7" t="s">
        <v>38</v>
      </c>
      <c r="U132" s="12">
        <v>3062</v>
      </c>
      <c r="V132" s="13" t="s">
        <v>30</v>
      </c>
      <c r="W132" s="16" t="str">
        <f>TEXT(VLOOKUP(U132, News!A:C, 3, FALSE), "M/D/YYYY")</f>
        <v>10/3/2016</v>
      </c>
      <c r="X132" s="18">
        <f>DATE(YEAR(W132),MONTH(Metrics!$B$5), DAY(Metrics!$B$5))</f>
        <v>42614</v>
      </c>
      <c r="Y132" s="16">
        <f t="shared" si="2"/>
        <v>2017</v>
      </c>
    </row>
    <row r="133" spans="4:25" ht="16" x14ac:dyDescent="0.2">
      <c r="D133" s="10">
        <v>3225</v>
      </c>
      <c r="E133" s="7" t="s">
        <v>30</v>
      </c>
      <c r="J133" s="4">
        <v>4354</v>
      </c>
      <c r="K133" s="9" t="s">
        <v>23</v>
      </c>
      <c r="P133" s="10">
        <v>7223</v>
      </c>
      <c r="Q133" s="7" t="s">
        <v>38</v>
      </c>
      <c r="U133" s="12">
        <v>3225</v>
      </c>
      <c r="V133" s="13" t="s">
        <v>30</v>
      </c>
      <c r="W133" s="16" t="str">
        <f>TEXT(VLOOKUP(U133, News!A:C, 3, FALSE), "M/D/YYYY")</f>
        <v>12/13/2018</v>
      </c>
      <c r="X133" s="18">
        <f>DATE(YEAR(W133),MONTH(Metrics!$B$5), DAY(Metrics!$B$5))</f>
        <v>43344</v>
      </c>
      <c r="Y133" s="16">
        <f t="shared" si="2"/>
        <v>2019</v>
      </c>
    </row>
    <row r="134" spans="4:25" ht="16" x14ac:dyDescent="0.2">
      <c r="D134" s="10">
        <v>3644</v>
      </c>
      <c r="E134" s="7" t="s">
        <v>30</v>
      </c>
      <c r="J134" s="4">
        <v>4594</v>
      </c>
      <c r="K134" s="9" t="s">
        <v>23</v>
      </c>
      <c r="P134" s="10">
        <v>7243</v>
      </c>
      <c r="Q134" s="7" t="s">
        <v>38</v>
      </c>
      <c r="U134" s="12">
        <v>3644</v>
      </c>
      <c r="V134" s="13" t="s">
        <v>30</v>
      </c>
      <c r="W134" s="16" t="str">
        <f>TEXT(VLOOKUP(U134, News!A:C, 3, FALSE), "M/D/YYYY")</f>
        <v>11/19/2015</v>
      </c>
      <c r="X134" s="18">
        <f>DATE(YEAR(W134),MONTH(Metrics!$B$5), DAY(Metrics!$B$5))</f>
        <v>42248</v>
      </c>
      <c r="Y134" s="16">
        <f t="shared" si="2"/>
        <v>2016</v>
      </c>
    </row>
    <row r="135" spans="4:25" ht="16" x14ac:dyDescent="0.2">
      <c r="D135" s="10">
        <v>4071</v>
      </c>
      <c r="E135" s="7" t="s">
        <v>30</v>
      </c>
      <c r="J135" s="4">
        <v>4608</v>
      </c>
      <c r="K135" s="9" t="s">
        <v>23</v>
      </c>
      <c r="P135" s="10">
        <v>7285</v>
      </c>
      <c r="Q135" s="7" t="s">
        <v>38</v>
      </c>
      <c r="U135" s="12">
        <v>4071</v>
      </c>
      <c r="V135" s="13" t="s">
        <v>30</v>
      </c>
      <c r="W135" s="16" t="str">
        <f>TEXT(VLOOKUP(U135, News!A:C, 3, FALSE), "M/D/YYYY")</f>
        <v>10/3/2014</v>
      </c>
      <c r="X135" s="18">
        <f>DATE(YEAR(W135),MONTH(Metrics!$B$5), DAY(Metrics!$B$5))</f>
        <v>41883</v>
      </c>
      <c r="Y135" s="16">
        <f t="shared" si="2"/>
        <v>2015</v>
      </c>
    </row>
    <row r="136" spans="4:25" ht="16" x14ac:dyDescent="0.2">
      <c r="D136" s="10">
        <v>4150</v>
      </c>
      <c r="E136" s="7" t="s">
        <v>30</v>
      </c>
      <c r="J136" s="4">
        <v>4619</v>
      </c>
      <c r="K136" s="9" t="s">
        <v>23</v>
      </c>
      <c r="P136" s="10">
        <v>7296</v>
      </c>
      <c r="Q136" s="7" t="s">
        <v>38</v>
      </c>
      <c r="U136" s="12">
        <v>4150</v>
      </c>
      <c r="V136" s="13" t="s">
        <v>30</v>
      </c>
      <c r="W136" s="16" t="str">
        <f>TEXT(VLOOKUP(U136, News!A:C, 3, FALSE), "M/D/YYYY")</f>
        <v>6/30/2014</v>
      </c>
      <c r="X136" s="18">
        <f>DATE(YEAR(W136),MONTH(Metrics!$B$5), DAY(Metrics!$B$5))</f>
        <v>41883</v>
      </c>
      <c r="Y136" s="16">
        <f t="shared" si="2"/>
        <v>2014</v>
      </c>
    </row>
    <row r="137" spans="4:25" ht="16" x14ac:dyDescent="0.2">
      <c r="D137" s="10">
        <v>4170</v>
      </c>
      <c r="E137" s="7" t="s">
        <v>30</v>
      </c>
      <c r="J137" s="4">
        <v>5537</v>
      </c>
      <c r="K137" s="9" t="s">
        <v>23</v>
      </c>
      <c r="P137" s="10">
        <v>7305</v>
      </c>
      <c r="Q137" s="7" t="s">
        <v>38</v>
      </c>
      <c r="U137" s="12">
        <v>4170</v>
      </c>
      <c r="V137" s="13" t="s">
        <v>30</v>
      </c>
      <c r="W137" s="16" t="str">
        <f>TEXT(VLOOKUP(U137, News!A:C, 3, FALSE), "M/D/YYYY")</f>
        <v>6/4/2019</v>
      </c>
      <c r="X137" s="18">
        <f>DATE(YEAR(W137),MONTH(Metrics!$B$5), DAY(Metrics!$B$5))</f>
        <v>43709</v>
      </c>
      <c r="Y137" s="16">
        <f t="shared" si="2"/>
        <v>2019</v>
      </c>
    </row>
    <row r="138" spans="4:25" ht="16" x14ac:dyDescent="0.2">
      <c r="D138" s="10">
        <v>4200</v>
      </c>
      <c r="E138" s="7" t="s">
        <v>30</v>
      </c>
      <c r="J138" s="4">
        <v>5806</v>
      </c>
      <c r="K138" s="9" t="s">
        <v>23</v>
      </c>
      <c r="P138" s="10">
        <v>7359</v>
      </c>
      <c r="Q138" s="7" t="s">
        <v>38</v>
      </c>
      <c r="U138" s="12">
        <v>4200</v>
      </c>
      <c r="V138" s="13" t="s">
        <v>30</v>
      </c>
      <c r="W138" s="16" t="str">
        <f>TEXT(VLOOKUP(U138, News!A:C, 3, FALSE), "M/D/YYYY")</f>
        <v>5/27/2014</v>
      </c>
      <c r="X138" s="18">
        <f>DATE(YEAR(W138),MONTH(Metrics!$B$5), DAY(Metrics!$B$5))</f>
        <v>41883</v>
      </c>
      <c r="Y138" s="16">
        <f t="shared" si="2"/>
        <v>2014</v>
      </c>
    </row>
    <row r="139" spans="4:25" ht="16" x14ac:dyDescent="0.2">
      <c r="D139" s="10">
        <v>6326</v>
      </c>
      <c r="E139" s="7" t="s">
        <v>30</v>
      </c>
      <c r="J139" s="4">
        <v>6664</v>
      </c>
      <c r="K139" s="9" t="s">
        <v>23</v>
      </c>
      <c r="P139" s="10">
        <v>7385</v>
      </c>
      <c r="Q139" s="7" t="s">
        <v>38</v>
      </c>
      <c r="U139" s="12">
        <v>6326</v>
      </c>
      <c r="V139" s="13" t="s">
        <v>30</v>
      </c>
      <c r="W139" s="16" t="str">
        <f>TEXT(VLOOKUP(U139, News!A:C, 3, FALSE), "M/D/YYYY")</f>
        <v>8/30/2021</v>
      </c>
      <c r="X139" s="18">
        <f>DATE(YEAR(W139),MONTH(Metrics!$B$5), DAY(Metrics!$B$5))</f>
        <v>44440</v>
      </c>
      <c r="Y139" s="16">
        <f t="shared" si="2"/>
        <v>2021</v>
      </c>
    </row>
    <row r="140" spans="4:25" ht="16" x14ac:dyDescent="0.2">
      <c r="D140" s="10">
        <v>8247</v>
      </c>
      <c r="E140" s="7" t="s">
        <v>30</v>
      </c>
      <c r="J140" s="4">
        <v>7146</v>
      </c>
      <c r="K140" s="9" t="s">
        <v>23</v>
      </c>
      <c r="P140" s="10">
        <v>7643</v>
      </c>
      <c r="Q140" s="7" t="s">
        <v>38</v>
      </c>
      <c r="U140" s="12">
        <v>8247</v>
      </c>
      <c r="V140" s="13" t="s">
        <v>30</v>
      </c>
      <c r="W140" s="16" t="str">
        <f>TEXT(VLOOKUP(U140, News!A:C, 3, FALSE), "M/D/YYYY")</f>
        <v>4/25/2023</v>
      </c>
      <c r="X140" s="18">
        <f>DATE(YEAR(W140),MONTH(Metrics!$B$5), DAY(Metrics!$B$5))</f>
        <v>45170</v>
      </c>
      <c r="Y140" s="16">
        <f t="shared" si="2"/>
        <v>2023</v>
      </c>
    </row>
    <row r="141" spans="4:25" ht="16" x14ac:dyDescent="0.2">
      <c r="D141" s="10">
        <v>1317</v>
      </c>
      <c r="E141" s="7" t="s">
        <v>30</v>
      </c>
      <c r="J141" s="4">
        <v>7157</v>
      </c>
      <c r="K141" s="9" t="s">
        <v>23</v>
      </c>
      <c r="P141" s="10">
        <v>7711</v>
      </c>
      <c r="Q141" s="7" t="s">
        <v>38</v>
      </c>
      <c r="U141" s="12">
        <v>1317</v>
      </c>
      <c r="V141" s="13" t="s">
        <v>30</v>
      </c>
      <c r="W141" s="16" t="str">
        <f>TEXT(VLOOKUP(U141, News!A:C, 3, FALSE), "M/D/YYYY")</f>
        <v>9/15/2017</v>
      </c>
      <c r="X141" s="18">
        <f>DATE(YEAR(W141),MONTH(Metrics!$B$5), DAY(Metrics!$B$5))</f>
        <v>42979</v>
      </c>
      <c r="Y141" s="16">
        <f t="shared" si="2"/>
        <v>2018</v>
      </c>
    </row>
    <row r="142" spans="4:25" ht="16" x14ac:dyDescent="0.2">
      <c r="D142" s="10">
        <v>1490</v>
      </c>
      <c r="E142" s="7" t="s">
        <v>30</v>
      </c>
      <c r="J142" s="4">
        <v>7634</v>
      </c>
      <c r="K142" s="9" t="s">
        <v>23</v>
      </c>
      <c r="P142" s="10">
        <v>7735</v>
      </c>
      <c r="Q142" s="7" t="s">
        <v>38</v>
      </c>
      <c r="U142" s="12">
        <v>1490</v>
      </c>
      <c r="V142" s="13" t="s">
        <v>30</v>
      </c>
      <c r="W142" s="16" t="str">
        <f>TEXT(VLOOKUP(U142, News!A:C, 3, FALSE), "M/D/YYYY")</f>
        <v>2/5/2018</v>
      </c>
      <c r="X142" s="18">
        <f>DATE(YEAR(W142),MONTH(Metrics!$B$5), DAY(Metrics!$B$5))</f>
        <v>43344</v>
      </c>
      <c r="Y142" s="16">
        <f t="shared" si="2"/>
        <v>2018</v>
      </c>
    </row>
    <row r="143" spans="4:25" ht="16" x14ac:dyDescent="0.2">
      <c r="D143" s="10">
        <v>2642</v>
      </c>
      <c r="E143" s="7" t="s">
        <v>30</v>
      </c>
      <c r="J143" s="4">
        <v>774</v>
      </c>
      <c r="K143" s="9" t="s">
        <v>23</v>
      </c>
      <c r="P143" s="10">
        <v>7768</v>
      </c>
      <c r="Q143" s="7" t="s">
        <v>38</v>
      </c>
      <c r="U143" s="12">
        <v>2642</v>
      </c>
      <c r="V143" s="13" t="s">
        <v>30</v>
      </c>
      <c r="W143" s="16" t="str">
        <f>TEXT(VLOOKUP(U143, News!A:C, 3, FALSE), "M/D/YYYY")</f>
        <v>11/20/2018</v>
      </c>
      <c r="X143" s="18">
        <f>DATE(YEAR(W143),MONTH(Metrics!$B$5), DAY(Metrics!$B$5))</f>
        <v>43344</v>
      </c>
      <c r="Y143" s="16">
        <f t="shared" si="2"/>
        <v>2019</v>
      </c>
    </row>
    <row r="144" spans="4:25" ht="16" x14ac:dyDescent="0.2">
      <c r="D144" s="10">
        <v>2747</v>
      </c>
      <c r="E144" s="7" t="s">
        <v>30</v>
      </c>
      <c r="J144" s="4">
        <v>776</v>
      </c>
      <c r="K144" s="9" t="s">
        <v>23</v>
      </c>
      <c r="P144" s="10">
        <v>7918</v>
      </c>
      <c r="Q144" s="7" t="s">
        <v>38</v>
      </c>
      <c r="U144" s="12">
        <v>2747</v>
      </c>
      <c r="V144" s="13" t="s">
        <v>30</v>
      </c>
      <c r="W144" s="16" t="str">
        <f>TEXT(VLOOKUP(U144, News!A:C, 3, FALSE), "M/D/YYYY")</f>
        <v>11/26/2018</v>
      </c>
      <c r="X144" s="18">
        <f>DATE(YEAR(W144),MONTH(Metrics!$B$5), DAY(Metrics!$B$5))</f>
        <v>43344</v>
      </c>
      <c r="Y144" s="16">
        <f t="shared" si="2"/>
        <v>2019</v>
      </c>
    </row>
    <row r="145" spans="4:25" ht="16" x14ac:dyDescent="0.2">
      <c r="D145" s="10">
        <v>4468</v>
      </c>
      <c r="E145" s="7" t="s">
        <v>30</v>
      </c>
      <c r="J145" s="4">
        <v>1306</v>
      </c>
      <c r="K145" s="9" t="s">
        <v>23</v>
      </c>
      <c r="P145" s="10">
        <v>7916</v>
      </c>
      <c r="Q145" s="7" t="s">
        <v>38</v>
      </c>
      <c r="U145" s="12">
        <v>4468</v>
      </c>
      <c r="V145" s="13" t="s">
        <v>30</v>
      </c>
      <c r="W145" s="16" t="str">
        <f>TEXT(VLOOKUP(U145, News!A:C, 3, FALSE), "M/D/YYYY")</f>
        <v>5/4/2014</v>
      </c>
      <c r="X145" s="18">
        <f>DATE(YEAR(W145),MONTH(Metrics!$B$5), DAY(Metrics!$B$5))</f>
        <v>41883</v>
      </c>
      <c r="Y145" s="16">
        <f t="shared" si="2"/>
        <v>2014</v>
      </c>
    </row>
    <row r="146" spans="4:25" ht="16" x14ac:dyDescent="0.2">
      <c r="D146" s="10">
        <v>4469</v>
      </c>
      <c r="E146" s="7" t="s">
        <v>30</v>
      </c>
      <c r="J146" s="4">
        <v>1415</v>
      </c>
      <c r="K146" s="9" t="s">
        <v>23</v>
      </c>
      <c r="P146" s="10">
        <v>8015</v>
      </c>
      <c r="Q146" s="7" t="s">
        <v>38</v>
      </c>
      <c r="U146" s="12">
        <v>4469</v>
      </c>
      <c r="V146" s="13" t="s">
        <v>30</v>
      </c>
      <c r="W146" s="16" t="str">
        <f>TEXT(VLOOKUP(U146, News!A:C, 3, FALSE), "M/D/YYYY")</f>
        <v>5/2/2014</v>
      </c>
      <c r="X146" s="18">
        <f>DATE(YEAR(W146),MONTH(Metrics!$B$5), DAY(Metrics!$B$5))</f>
        <v>41883</v>
      </c>
      <c r="Y146" s="16">
        <f t="shared" si="2"/>
        <v>2014</v>
      </c>
    </row>
    <row r="147" spans="4:25" ht="16" x14ac:dyDescent="0.2">
      <c r="D147" s="10">
        <v>5906</v>
      </c>
      <c r="E147" s="7" t="s">
        <v>30</v>
      </c>
      <c r="J147" s="4">
        <v>1930</v>
      </c>
      <c r="K147" s="9" t="s">
        <v>23</v>
      </c>
      <c r="P147" s="10">
        <v>8250</v>
      </c>
      <c r="Q147" s="7" t="s">
        <v>38</v>
      </c>
      <c r="U147" s="12">
        <v>5906</v>
      </c>
      <c r="V147" s="13" t="s">
        <v>30</v>
      </c>
      <c r="W147" s="16" t="str">
        <f>TEXT(VLOOKUP(U147, News!A:C, 3, FALSE), "M/D/YYYY")</f>
        <v>3/25/2021</v>
      </c>
      <c r="X147" s="18">
        <f>DATE(YEAR(W147),MONTH(Metrics!$B$5), DAY(Metrics!$B$5))</f>
        <v>44440</v>
      </c>
      <c r="Y147" s="16">
        <f t="shared" si="2"/>
        <v>2021</v>
      </c>
    </row>
    <row r="148" spans="4:25" ht="16" x14ac:dyDescent="0.2">
      <c r="D148" s="10">
        <v>7162</v>
      </c>
      <c r="E148" s="7" t="s">
        <v>30</v>
      </c>
      <c r="J148" s="4">
        <v>2213</v>
      </c>
      <c r="K148" s="9" t="s">
        <v>23</v>
      </c>
      <c r="P148" s="10">
        <v>2999</v>
      </c>
      <c r="Q148" s="7" t="s">
        <v>38</v>
      </c>
      <c r="U148" s="12">
        <v>7162</v>
      </c>
      <c r="V148" s="13" t="s">
        <v>30</v>
      </c>
      <c r="W148" s="16" t="str">
        <f>TEXT(VLOOKUP(U148, News!A:C, 3, FALSE), "M/D/YYYY")</f>
        <v>6/1/2022</v>
      </c>
      <c r="X148" s="18">
        <f>DATE(YEAR(W148),MONTH(Metrics!$B$5), DAY(Metrics!$B$5))</f>
        <v>44805</v>
      </c>
      <c r="Y148" s="16">
        <f t="shared" si="2"/>
        <v>2022</v>
      </c>
    </row>
    <row r="149" spans="4:25" ht="16" x14ac:dyDescent="0.2">
      <c r="D149" s="10">
        <v>7306</v>
      </c>
      <c r="E149" s="7" t="s">
        <v>30</v>
      </c>
      <c r="J149" s="4">
        <v>2311</v>
      </c>
      <c r="K149" s="9" t="s">
        <v>23</v>
      </c>
      <c r="P149" s="10">
        <v>3634</v>
      </c>
      <c r="Q149" s="7" t="s">
        <v>38</v>
      </c>
      <c r="U149" s="12">
        <v>7306</v>
      </c>
      <c r="V149" s="13" t="s">
        <v>30</v>
      </c>
      <c r="W149" s="16" t="str">
        <f>TEXT(VLOOKUP(U149, News!A:C, 3, FALSE), "M/D/YYYY")</f>
        <v>8/11/2022</v>
      </c>
      <c r="X149" s="18">
        <f>DATE(YEAR(W149),MONTH(Metrics!$B$5), DAY(Metrics!$B$5))</f>
        <v>44805</v>
      </c>
      <c r="Y149" s="16">
        <f t="shared" si="2"/>
        <v>2022</v>
      </c>
    </row>
    <row r="150" spans="4:25" ht="16" x14ac:dyDescent="0.2">
      <c r="D150" s="10">
        <v>1381</v>
      </c>
      <c r="E150" s="7" t="s">
        <v>30</v>
      </c>
      <c r="J150" s="4">
        <v>3400</v>
      </c>
      <c r="K150" s="9" t="s">
        <v>23</v>
      </c>
      <c r="P150" s="10">
        <v>5732</v>
      </c>
      <c r="Q150" s="7" t="s">
        <v>38</v>
      </c>
      <c r="U150" s="12">
        <v>1381</v>
      </c>
      <c r="V150" s="13" t="s">
        <v>30</v>
      </c>
      <c r="W150" s="16" t="str">
        <f>TEXT(VLOOKUP(U150, News!A:C, 3, FALSE), "M/D/YYYY")</f>
        <v>11/2/2017</v>
      </c>
      <c r="X150" s="18">
        <f>DATE(YEAR(W150),MONTH(Metrics!$B$5), DAY(Metrics!$B$5))</f>
        <v>42979</v>
      </c>
      <c r="Y150" s="16">
        <f t="shared" si="2"/>
        <v>2018</v>
      </c>
    </row>
    <row r="151" spans="4:25" ht="16" x14ac:dyDescent="0.2">
      <c r="D151" s="10">
        <v>1392</v>
      </c>
      <c r="E151" s="7" t="s">
        <v>30</v>
      </c>
      <c r="J151" s="4">
        <v>8173</v>
      </c>
      <c r="K151" s="9" t="s">
        <v>23</v>
      </c>
      <c r="P151" s="10">
        <v>7449</v>
      </c>
      <c r="Q151" s="7" t="s">
        <v>38</v>
      </c>
      <c r="U151" s="12">
        <v>1392</v>
      </c>
      <c r="V151" s="13" t="s">
        <v>30</v>
      </c>
      <c r="W151" s="16" t="str">
        <f>TEXT(VLOOKUP(U151, News!A:C, 3, FALSE), "M/D/YYYY")</f>
        <v>4/5/2018</v>
      </c>
      <c r="X151" s="18">
        <f>DATE(YEAR(W151),MONTH(Metrics!$B$5), DAY(Metrics!$B$5))</f>
        <v>43344</v>
      </c>
      <c r="Y151" s="16">
        <f t="shared" si="2"/>
        <v>2018</v>
      </c>
    </row>
    <row r="152" spans="4:25" ht="16" x14ac:dyDescent="0.2">
      <c r="D152" s="10">
        <v>1413</v>
      </c>
      <c r="E152" s="7" t="s">
        <v>30</v>
      </c>
      <c r="J152" s="4">
        <v>3334</v>
      </c>
      <c r="K152" s="9" t="s">
        <v>23</v>
      </c>
      <c r="P152" s="10">
        <v>1310</v>
      </c>
      <c r="Q152" s="7" t="s">
        <v>38</v>
      </c>
      <c r="U152" s="12">
        <v>1413</v>
      </c>
      <c r="V152" s="13" t="s">
        <v>30</v>
      </c>
      <c r="W152" s="16" t="str">
        <f>TEXT(VLOOKUP(U152, News!A:C, 3, FALSE), "M/D/YYYY")</f>
        <v>11/10/2017</v>
      </c>
      <c r="X152" s="18">
        <f>DATE(YEAR(W152),MONTH(Metrics!$B$5), DAY(Metrics!$B$5))</f>
        <v>42979</v>
      </c>
      <c r="Y152" s="16">
        <f t="shared" si="2"/>
        <v>2018</v>
      </c>
    </row>
    <row r="153" spans="4:25" ht="16" x14ac:dyDescent="0.2">
      <c r="D153" s="10">
        <v>1681</v>
      </c>
      <c r="E153" s="7" t="s">
        <v>30</v>
      </c>
      <c r="J153" s="4">
        <v>4087</v>
      </c>
      <c r="K153" s="9" t="s">
        <v>23</v>
      </c>
      <c r="P153" s="10">
        <v>2203</v>
      </c>
      <c r="Q153" s="7" t="s">
        <v>38</v>
      </c>
      <c r="U153" s="12">
        <v>1681</v>
      </c>
      <c r="V153" s="13" t="s">
        <v>30</v>
      </c>
      <c r="W153" s="16" t="str">
        <f>TEXT(VLOOKUP(U153, News!A:C, 3, FALSE), "M/D/YYYY")</f>
        <v>8/24/2018</v>
      </c>
      <c r="X153" s="18">
        <f>DATE(YEAR(W153),MONTH(Metrics!$B$5), DAY(Metrics!$B$5))</f>
        <v>43344</v>
      </c>
      <c r="Y153" s="16">
        <f t="shared" si="2"/>
        <v>2018</v>
      </c>
    </row>
    <row r="154" spans="4:25" ht="16" x14ac:dyDescent="0.2">
      <c r="D154" s="10">
        <v>3002</v>
      </c>
      <c r="E154" s="7" t="s">
        <v>30</v>
      </c>
      <c r="J154" s="4">
        <v>4239</v>
      </c>
      <c r="K154" s="9" t="s">
        <v>23</v>
      </c>
      <c r="P154" s="10">
        <v>2306</v>
      </c>
      <c r="Q154" s="7" t="s">
        <v>38</v>
      </c>
      <c r="U154" s="12">
        <v>3002</v>
      </c>
      <c r="V154" s="13" t="s">
        <v>30</v>
      </c>
      <c r="W154" s="16" t="str">
        <f>TEXT(VLOOKUP(U154, News!A:C, 3, FALSE), "M/D/YYYY")</f>
        <v>11/26/2016</v>
      </c>
      <c r="X154" s="18">
        <f>DATE(YEAR(W154),MONTH(Metrics!$B$5), DAY(Metrics!$B$5))</f>
        <v>42614</v>
      </c>
      <c r="Y154" s="16">
        <f t="shared" si="2"/>
        <v>2017</v>
      </c>
    </row>
    <row r="155" spans="4:25" ht="16" x14ac:dyDescent="0.2">
      <c r="D155" s="10">
        <v>3345</v>
      </c>
      <c r="E155" s="7" t="s">
        <v>30</v>
      </c>
      <c r="J155" s="4">
        <v>6926</v>
      </c>
      <c r="K155" s="9" t="s">
        <v>23</v>
      </c>
      <c r="P155" s="10">
        <v>2408</v>
      </c>
      <c r="Q155" s="7" t="s">
        <v>38</v>
      </c>
      <c r="U155" s="12">
        <v>3345</v>
      </c>
      <c r="V155" s="13" t="s">
        <v>30</v>
      </c>
      <c r="W155" s="16" t="str">
        <f>TEXT(VLOOKUP(U155, News!A:C, 3, FALSE), "M/D/YYYY")</f>
        <v>5/29/2016</v>
      </c>
      <c r="X155" s="18">
        <f>DATE(YEAR(W155),MONTH(Metrics!$B$5), DAY(Metrics!$B$5))</f>
        <v>42614</v>
      </c>
      <c r="Y155" s="16">
        <f t="shared" si="2"/>
        <v>2016</v>
      </c>
    </row>
    <row r="156" spans="4:25" ht="16" x14ac:dyDescent="0.2">
      <c r="D156" s="10">
        <v>3376</v>
      </c>
      <c r="E156" s="7" t="s">
        <v>30</v>
      </c>
      <c r="J156" s="4">
        <v>7196</v>
      </c>
      <c r="K156" s="9" t="s">
        <v>23</v>
      </c>
      <c r="P156" s="10">
        <v>3534</v>
      </c>
      <c r="Q156" s="7" t="s">
        <v>38</v>
      </c>
      <c r="U156" s="12">
        <v>3376</v>
      </c>
      <c r="V156" s="13" t="s">
        <v>30</v>
      </c>
      <c r="W156" s="16" t="str">
        <f>TEXT(VLOOKUP(U156, News!A:C, 3, FALSE), "M/D/YYYY")</f>
        <v>1/28/2019</v>
      </c>
      <c r="X156" s="18">
        <f>DATE(YEAR(W156),MONTH(Metrics!$B$5), DAY(Metrics!$B$5))</f>
        <v>43709</v>
      </c>
      <c r="Y156" s="16">
        <f t="shared" si="2"/>
        <v>2019</v>
      </c>
    </row>
    <row r="157" spans="4:25" ht="16" x14ac:dyDescent="0.2">
      <c r="D157" s="10">
        <v>3539</v>
      </c>
      <c r="E157" s="7" t="s">
        <v>30</v>
      </c>
      <c r="J157" s="4">
        <v>7325</v>
      </c>
      <c r="K157" s="9" t="s">
        <v>23</v>
      </c>
      <c r="P157" s="10">
        <v>4359</v>
      </c>
      <c r="Q157" s="7" t="s">
        <v>38</v>
      </c>
      <c r="U157" s="12">
        <v>3539</v>
      </c>
      <c r="V157" s="13" t="s">
        <v>30</v>
      </c>
      <c r="W157" s="16" t="str">
        <f>TEXT(VLOOKUP(U157, News!A:C, 3, FALSE), "M/D/YYYY")</f>
        <v>4/22/2016</v>
      </c>
      <c r="X157" s="18">
        <f>DATE(YEAR(W157),MONTH(Metrics!$B$5), DAY(Metrics!$B$5))</f>
        <v>42614</v>
      </c>
      <c r="Y157" s="16">
        <f t="shared" si="2"/>
        <v>2016</v>
      </c>
    </row>
    <row r="158" spans="4:25" ht="16" x14ac:dyDescent="0.2">
      <c r="D158" s="10">
        <v>3612</v>
      </c>
      <c r="E158" s="7" t="s">
        <v>30</v>
      </c>
      <c r="J158" s="4">
        <v>3941</v>
      </c>
      <c r="K158" s="9" t="s">
        <v>23</v>
      </c>
      <c r="P158" s="10">
        <v>4460</v>
      </c>
      <c r="Q158" s="7" t="s">
        <v>38</v>
      </c>
      <c r="U158" s="12">
        <v>3612</v>
      </c>
      <c r="V158" s="13" t="s">
        <v>30</v>
      </c>
      <c r="W158" s="16" t="str">
        <f>TEXT(VLOOKUP(U158, News!A:C, 3, FALSE), "M/D/YYYY")</f>
        <v>1/29/2016</v>
      </c>
      <c r="X158" s="18">
        <f>DATE(YEAR(W158),MONTH(Metrics!$B$5), DAY(Metrics!$B$5))</f>
        <v>42614</v>
      </c>
      <c r="Y158" s="16">
        <f t="shared" si="2"/>
        <v>2016</v>
      </c>
    </row>
    <row r="159" spans="4:25" ht="16" x14ac:dyDescent="0.2">
      <c r="D159" s="10">
        <v>3797</v>
      </c>
      <c r="E159" s="7" t="s">
        <v>30</v>
      </c>
      <c r="J159" s="4">
        <v>4052</v>
      </c>
      <c r="K159" s="9" t="s">
        <v>23</v>
      </c>
      <c r="P159" s="10">
        <v>8226</v>
      </c>
      <c r="Q159" s="7" t="s">
        <v>38</v>
      </c>
      <c r="U159" s="12">
        <v>3797</v>
      </c>
      <c r="V159" s="13" t="s">
        <v>30</v>
      </c>
      <c r="W159" s="16" t="str">
        <f>TEXT(VLOOKUP(U159, News!A:C, 3, FALSE), "M/D/YYYY")</f>
        <v>7/20/2015</v>
      </c>
      <c r="X159" s="18">
        <f>DATE(YEAR(W159),MONTH(Metrics!$B$5), DAY(Metrics!$B$5))</f>
        <v>42248</v>
      </c>
      <c r="Y159" s="16">
        <f t="shared" si="2"/>
        <v>2015</v>
      </c>
    </row>
    <row r="160" spans="4:25" ht="16" x14ac:dyDescent="0.2">
      <c r="D160" s="10">
        <v>3801</v>
      </c>
      <c r="E160" s="7" t="s">
        <v>30</v>
      </c>
      <c r="J160" s="4">
        <v>1310</v>
      </c>
      <c r="K160" s="9" t="s">
        <v>23</v>
      </c>
      <c r="P160" s="10">
        <v>3978</v>
      </c>
      <c r="Q160" s="7" t="s">
        <v>38</v>
      </c>
      <c r="U160" s="12">
        <v>3801</v>
      </c>
      <c r="V160" s="13" t="s">
        <v>30</v>
      </c>
      <c r="W160" s="16" t="str">
        <f>TEXT(VLOOKUP(U160, News!A:C, 3, FALSE), "M/D/YYYY")</f>
        <v>7/4/2015</v>
      </c>
      <c r="X160" s="18">
        <f>DATE(YEAR(W160),MONTH(Metrics!$B$5), DAY(Metrics!$B$5))</f>
        <v>42248</v>
      </c>
      <c r="Y160" s="16">
        <f t="shared" si="2"/>
        <v>2015</v>
      </c>
    </row>
    <row r="161" spans="4:25" ht="16" x14ac:dyDescent="0.2">
      <c r="D161" s="10">
        <v>3887</v>
      </c>
      <c r="E161" s="7" t="s">
        <v>30</v>
      </c>
      <c r="J161" s="4">
        <v>2203</v>
      </c>
      <c r="K161" s="9" t="s">
        <v>23</v>
      </c>
      <c r="P161" s="10">
        <v>2551</v>
      </c>
      <c r="Q161" s="7" t="s">
        <v>38</v>
      </c>
      <c r="U161" s="12">
        <v>3887</v>
      </c>
      <c r="V161" s="13" t="s">
        <v>30</v>
      </c>
      <c r="W161" s="16" t="str">
        <f>TEXT(VLOOKUP(U161, News!A:C, 3, FALSE), "M/D/YYYY")</f>
        <v>6/5/2015</v>
      </c>
      <c r="X161" s="18">
        <f>DATE(YEAR(W161),MONTH(Metrics!$B$5), DAY(Metrics!$B$5))</f>
        <v>42248</v>
      </c>
      <c r="Y161" s="16">
        <f t="shared" si="2"/>
        <v>2015</v>
      </c>
    </row>
    <row r="162" spans="4:25" ht="16" x14ac:dyDescent="0.2">
      <c r="D162" s="10">
        <v>3943</v>
      </c>
      <c r="E162" s="7" t="s">
        <v>30</v>
      </c>
      <c r="J162" s="4">
        <v>2306</v>
      </c>
      <c r="K162" s="9" t="s">
        <v>23</v>
      </c>
      <c r="P162" s="10">
        <v>3947</v>
      </c>
      <c r="Q162" s="7" t="s">
        <v>38</v>
      </c>
      <c r="U162" s="12">
        <v>3943</v>
      </c>
      <c r="V162" s="13" t="s">
        <v>30</v>
      </c>
      <c r="W162" s="16" t="str">
        <f>TEXT(VLOOKUP(U162, News!A:C, 3, FALSE), "M/D/YYYY")</f>
        <v>4/24/2015</v>
      </c>
      <c r="X162" s="18">
        <f>DATE(YEAR(W162),MONTH(Metrics!$B$5), DAY(Metrics!$B$5))</f>
        <v>42248</v>
      </c>
      <c r="Y162" s="16">
        <f t="shared" si="2"/>
        <v>2015</v>
      </c>
    </row>
    <row r="163" spans="4:25" ht="16" x14ac:dyDescent="0.2">
      <c r="D163" s="10">
        <v>4081</v>
      </c>
      <c r="E163" s="7" t="s">
        <v>30</v>
      </c>
      <c r="J163" s="4">
        <v>2408</v>
      </c>
      <c r="K163" s="9" t="s">
        <v>23</v>
      </c>
      <c r="P163" s="10">
        <v>4242</v>
      </c>
      <c r="Q163" s="7" t="s">
        <v>38</v>
      </c>
      <c r="U163" s="12">
        <v>4081</v>
      </c>
      <c r="V163" s="13" t="s">
        <v>30</v>
      </c>
      <c r="W163" s="16" t="str">
        <f>TEXT(VLOOKUP(U163, News!A:C, 3, FALSE), "M/D/YYYY")</f>
        <v>9/25/2014</v>
      </c>
      <c r="X163" s="18">
        <f>DATE(YEAR(W163),MONTH(Metrics!$B$5), DAY(Metrics!$B$5))</f>
        <v>41883</v>
      </c>
      <c r="Y163" s="16">
        <f t="shared" si="2"/>
        <v>2015</v>
      </c>
    </row>
    <row r="164" spans="4:25" ht="16" x14ac:dyDescent="0.2">
      <c r="D164" s="10">
        <v>4085</v>
      </c>
      <c r="E164" s="7" t="s">
        <v>30</v>
      </c>
      <c r="J164" s="4">
        <v>3534</v>
      </c>
      <c r="K164" s="9" t="s">
        <v>23</v>
      </c>
      <c r="P164" s="10">
        <v>4912</v>
      </c>
      <c r="Q164" s="7" t="s">
        <v>38</v>
      </c>
      <c r="U164" s="12">
        <v>4085</v>
      </c>
      <c r="V164" s="13" t="s">
        <v>30</v>
      </c>
      <c r="W164" s="16" t="str">
        <f>TEXT(VLOOKUP(U164, News!A:C, 3, FALSE), "M/D/YYYY")</f>
        <v>8/31/2014</v>
      </c>
      <c r="X164" s="18">
        <f>DATE(YEAR(W164),MONTH(Metrics!$B$5), DAY(Metrics!$B$5))</f>
        <v>41883</v>
      </c>
      <c r="Y164" s="16">
        <f t="shared" si="2"/>
        <v>2014</v>
      </c>
    </row>
    <row r="165" spans="4:25" ht="16" x14ac:dyDescent="0.2">
      <c r="D165" s="10">
        <v>4089</v>
      </c>
      <c r="E165" s="7" t="s">
        <v>30</v>
      </c>
      <c r="J165" s="4">
        <v>4359</v>
      </c>
      <c r="K165" s="9" t="s">
        <v>23</v>
      </c>
      <c r="P165" s="10">
        <v>3622</v>
      </c>
      <c r="Q165" s="7" t="s">
        <v>38</v>
      </c>
      <c r="U165" s="12">
        <v>4089</v>
      </c>
      <c r="V165" s="13" t="s">
        <v>30</v>
      </c>
      <c r="W165" s="16" t="str">
        <f>TEXT(VLOOKUP(U165, News!A:C, 3, FALSE), "M/D/YYYY")</f>
        <v>8/22/2014</v>
      </c>
      <c r="X165" s="18">
        <f>DATE(YEAR(W165),MONTH(Metrics!$B$5), DAY(Metrics!$B$5))</f>
        <v>41883</v>
      </c>
      <c r="Y165" s="16">
        <f t="shared" si="2"/>
        <v>2014</v>
      </c>
    </row>
    <row r="166" spans="4:25" ht="16" x14ac:dyDescent="0.2">
      <c r="D166" s="10">
        <v>4133</v>
      </c>
      <c r="E166" s="7" t="s">
        <v>30</v>
      </c>
      <c r="J166" s="4">
        <v>4460</v>
      </c>
      <c r="K166" s="9" t="s">
        <v>23</v>
      </c>
      <c r="P166" s="10">
        <v>3329</v>
      </c>
      <c r="Q166" s="7" t="s">
        <v>38</v>
      </c>
      <c r="U166" s="12">
        <v>4133</v>
      </c>
      <c r="V166" s="13" t="s">
        <v>30</v>
      </c>
      <c r="W166" s="16" t="str">
        <f>TEXT(VLOOKUP(U166, News!A:C, 3, FALSE), "M/D/YYYY")</f>
        <v>7/1/2014</v>
      </c>
      <c r="X166" s="18">
        <f>DATE(YEAR(W166),MONTH(Metrics!$B$5), DAY(Metrics!$B$5))</f>
        <v>41883</v>
      </c>
      <c r="Y166" s="16">
        <f t="shared" si="2"/>
        <v>2014</v>
      </c>
    </row>
    <row r="167" spans="4:25" ht="16" x14ac:dyDescent="0.2">
      <c r="D167" s="10">
        <v>4151</v>
      </c>
      <c r="E167" s="7" t="s">
        <v>30</v>
      </c>
      <c r="J167" s="4">
        <v>8226</v>
      </c>
      <c r="K167" s="9" t="s">
        <v>23</v>
      </c>
      <c r="P167" s="10">
        <v>3426</v>
      </c>
      <c r="Q167" s="7" t="s">
        <v>38</v>
      </c>
      <c r="U167" s="12">
        <v>4151</v>
      </c>
      <c r="V167" s="13" t="s">
        <v>30</v>
      </c>
      <c r="W167" s="16" t="str">
        <f>TEXT(VLOOKUP(U167, News!A:C, 3, FALSE), "M/D/YYYY")</f>
        <v>6/15/2014</v>
      </c>
      <c r="X167" s="18">
        <f>DATE(YEAR(W167),MONTH(Metrics!$B$5), DAY(Metrics!$B$5))</f>
        <v>41883</v>
      </c>
      <c r="Y167" s="16">
        <f t="shared" si="2"/>
        <v>2014</v>
      </c>
    </row>
    <row r="168" spans="4:25" ht="16" x14ac:dyDescent="0.2">
      <c r="D168" s="10">
        <v>4466</v>
      </c>
      <c r="E168" s="7" t="s">
        <v>30</v>
      </c>
      <c r="J168" s="4">
        <v>3329</v>
      </c>
      <c r="K168" s="9" t="s">
        <v>23</v>
      </c>
      <c r="P168" s="10">
        <v>3332</v>
      </c>
      <c r="Q168" s="7" t="s">
        <v>38</v>
      </c>
      <c r="U168" s="12">
        <v>4466</v>
      </c>
      <c r="V168" s="13" t="s">
        <v>30</v>
      </c>
      <c r="W168" s="16" t="str">
        <f>TEXT(VLOOKUP(U168, News!A:C, 3, FALSE), "M/D/YYYY")</f>
        <v>5/5/2014</v>
      </c>
      <c r="X168" s="18">
        <f>DATE(YEAR(W168),MONTH(Metrics!$B$5), DAY(Metrics!$B$5))</f>
        <v>41883</v>
      </c>
      <c r="Y168" s="16">
        <f t="shared" si="2"/>
        <v>2014</v>
      </c>
    </row>
    <row r="169" spans="4:25" ht="16" x14ac:dyDescent="0.2">
      <c r="D169" s="10">
        <v>4662</v>
      </c>
      <c r="E169" s="7" t="s">
        <v>30</v>
      </c>
      <c r="J169" s="4">
        <v>3426</v>
      </c>
      <c r="K169" s="9" t="s">
        <v>23</v>
      </c>
      <c r="P169" s="10">
        <v>3311</v>
      </c>
      <c r="Q169" s="7" t="s">
        <v>38</v>
      </c>
      <c r="U169" s="12">
        <v>4662</v>
      </c>
      <c r="V169" s="13" t="s">
        <v>30</v>
      </c>
      <c r="W169" s="16" t="str">
        <f>TEXT(VLOOKUP(U169, News!A:C, 3, FALSE), "M/D/YYYY")</f>
        <v>11/1/2019</v>
      </c>
      <c r="X169" s="18">
        <f>DATE(YEAR(W169),MONTH(Metrics!$B$5), DAY(Metrics!$B$5))</f>
        <v>43709</v>
      </c>
      <c r="Y169" s="16">
        <f t="shared" si="2"/>
        <v>2020</v>
      </c>
    </row>
    <row r="170" spans="4:25" ht="16" x14ac:dyDescent="0.2">
      <c r="D170" s="10">
        <v>6606</v>
      </c>
      <c r="E170" s="7" t="s">
        <v>30</v>
      </c>
      <c r="J170" s="4">
        <v>3278</v>
      </c>
      <c r="K170" s="9" t="s">
        <v>23</v>
      </c>
      <c r="P170" s="10">
        <v>3838</v>
      </c>
      <c r="Q170" s="7" t="s">
        <v>38</v>
      </c>
      <c r="U170" s="12">
        <v>6606</v>
      </c>
      <c r="V170" s="13" t="s">
        <v>30</v>
      </c>
      <c r="W170" s="16" t="str">
        <f>TEXT(VLOOKUP(U170, News!A:C, 3, FALSE), "M/D/YYYY")</f>
        <v>11/1/2021</v>
      </c>
      <c r="X170" s="18">
        <f>DATE(YEAR(W170),MONTH(Metrics!$B$5), DAY(Metrics!$B$5))</f>
        <v>44440</v>
      </c>
      <c r="Y170" s="16">
        <f t="shared" si="2"/>
        <v>2022</v>
      </c>
    </row>
    <row r="171" spans="4:25" ht="16" x14ac:dyDescent="0.2">
      <c r="D171" s="10">
        <v>6747</v>
      </c>
      <c r="E171" s="7" t="s">
        <v>30</v>
      </c>
      <c r="J171" s="4">
        <v>2338</v>
      </c>
      <c r="K171" s="9" t="s">
        <v>23</v>
      </c>
      <c r="P171" s="10">
        <v>7881</v>
      </c>
      <c r="Q171" s="7" t="s">
        <v>38</v>
      </c>
      <c r="U171" s="12">
        <v>6747</v>
      </c>
      <c r="V171" s="13" t="s">
        <v>30</v>
      </c>
      <c r="W171" s="16" t="str">
        <f>TEXT(VLOOKUP(U171, News!A:C, 3, FALSE), "M/D/YYYY")</f>
        <v>12/17/2021</v>
      </c>
      <c r="X171" s="18">
        <f>DATE(YEAR(W171),MONTH(Metrics!$B$5), DAY(Metrics!$B$5))</f>
        <v>44440</v>
      </c>
      <c r="Y171" s="16">
        <f t="shared" si="2"/>
        <v>2022</v>
      </c>
    </row>
    <row r="172" spans="4:25" ht="16" x14ac:dyDescent="0.2">
      <c r="D172" s="10">
        <v>7265</v>
      </c>
      <c r="E172" s="7" t="s">
        <v>30</v>
      </c>
      <c r="J172" s="4">
        <v>1391</v>
      </c>
      <c r="K172" s="9" t="s">
        <v>23</v>
      </c>
      <c r="P172" s="10">
        <v>3278</v>
      </c>
      <c r="Q172" s="7" t="s">
        <v>38</v>
      </c>
      <c r="U172" s="12">
        <v>7265</v>
      </c>
      <c r="V172" s="13" t="s">
        <v>30</v>
      </c>
      <c r="W172" s="16" t="str">
        <f>TEXT(VLOOKUP(U172, News!A:C, 3, FALSE), "M/D/YYYY")</f>
        <v>7/12/2022</v>
      </c>
      <c r="X172" s="18">
        <f>DATE(YEAR(W172),MONTH(Metrics!$B$5), DAY(Metrics!$B$5))</f>
        <v>44805</v>
      </c>
      <c r="Y172" s="16">
        <f t="shared" si="2"/>
        <v>2022</v>
      </c>
    </row>
    <row r="173" spans="4:25" ht="16" x14ac:dyDescent="0.2">
      <c r="D173" s="10">
        <v>7744</v>
      </c>
      <c r="E173" s="7" t="s">
        <v>30</v>
      </c>
      <c r="J173" s="4">
        <v>4769</v>
      </c>
      <c r="K173" s="9" t="s">
        <v>23</v>
      </c>
      <c r="P173" s="10">
        <v>3059</v>
      </c>
      <c r="Q173" s="7" t="s">
        <v>38</v>
      </c>
      <c r="U173" s="12">
        <v>7744</v>
      </c>
      <c r="V173" s="13" t="s">
        <v>30</v>
      </c>
      <c r="W173" s="16" t="str">
        <f>TEXT(VLOOKUP(U173, News!A:C, 3, FALSE), "M/D/YYYY")</f>
        <v>11/28/2022</v>
      </c>
      <c r="X173" s="18">
        <f>DATE(YEAR(W173),MONTH(Metrics!$B$5), DAY(Metrics!$B$5))</f>
        <v>44805</v>
      </c>
      <c r="Y173" s="16">
        <f t="shared" si="2"/>
        <v>2023</v>
      </c>
    </row>
    <row r="174" spans="4:25" ht="16" x14ac:dyDescent="0.2">
      <c r="D174" s="10">
        <v>3895</v>
      </c>
      <c r="E174" s="7" t="s">
        <v>30</v>
      </c>
      <c r="J174" s="4">
        <v>4863</v>
      </c>
      <c r="K174" s="9" t="s">
        <v>23</v>
      </c>
      <c r="P174" s="10">
        <v>2437</v>
      </c>
      <c r="Q174" s="7" t="s">
        <v>38</v>
      </c>
      <c r="U174" s="12">
        <v>3895</v>
      </c>
      <c r="V174" s="13" t="s">
        <v>30</v>
      </c>
      <c r="W174" s="16" t="str">
        <f>TEXT(VLOOKUP(U174, News!A:C, 3, FALSE), "M/D/YYYY")</f>
        <v>6/1/2015</v>
      </c>
      <c r="X174" s="18">
        <f>DATE(YEAR(W174),MONTH(Metrics!$B$5), DAY(Metrics!$B$5))</f>
        <v>42248</v>
      </c>
      <c r="Y174" s="16">
        <f t="shared" si="2"/>
        <v>2015</v>
      </c>
    </row>
    <row r="175" spans="4:25" ht="16" x14ac:dyDescent="0.2">
      <c r="D175" s="10">
        <v>4073</v>
      </c>
      <c r="E175" s="7" t="s">
        <v>30</v>
      </c>
      <c r="J175" s="4">
        <v>4829</v>
      </c>
      <c r="K175" s="9" t="s">
        <v>23</v>
      </c>
      <c r="P175" s="10">
        <v>1309</v>
      </c>
      <c r="Q175" s="7" t="s">
        <v>38</v>
      </c>
      <c r="U175" s="12">
        <v>4073</v>
      </c>
      <c r="V175" s="13" t="s">
        <v>30</v>
      </c>
      <c r="W175" s="16" t="str">
        <f>TEXT(VLOOKUP(U175, News!A:C, 3, FALSE), "M/D/YYYY")</f>
        <v>9/30/2014</v>
      </c>
      <c r="X175" s="18">
        <f>DATE(YEAR(W175),MONTH(Metrics!$B$5), DAY(Metrics!$B$5))</f>
        <v>41883</v>
      </c>
      <c r="Y175" s="16">
        <f t="shared" si="2"/>
        <v>2015</v>
      </c>
    </row>
    <row r="176" spans="4:25" ht="16" x14ac:dyDescent="0.2">
      <c r="D176" s="10">
        <v>3316</v>
      </c>
      <c r="E176" s="7" t="s">
        <v>30</v>
      </c>
      <c r="J176" s="4">
        <v>4493</v>
      </c>
      <c r="K176" s="9" t="s">
        <v>23</v>
      </c>
      <c r="P176" s="10">
        <v>2341</v>
      </c>
      <c r="Q176" s="7" t="s">
        <v>38</v>
      </c>
      <c r="U176" s="12">
        <v>3316</v>
      </c>
      <c r="V176" s="13" t="s">
        <v>30</v>
      </c>
      <c r="W176" s="16" t="str">
        <f>TEXT(VLOOKUP(U176, News!A:C, 3, FALSE), "M/D/YYYY")</f>
        <v>7/29/2016</v>
      </c>
      <c r="X176" s="18">
        <f>DATE(YEAR(W176),MONTH(Metrics!$B$5), DAY(Metrics!$B$5))</f>
        <v>42614</v>
      </c>
      <c r="Y176" s="16">
        <f t="shared" si="2"/>
        <v>2016</v>
      </c>
    </row>
    <row r="177" spans="4:25" ht="16" x14ac:dyDescent="0.2">
      <c r="D177" s="10">
        <v>4045</v>
      </c>
      <c r="E177" s="7" t="s">
        <v>30</v>
      </c>
      <c r="J177" s="4">
        <v>4579</v>
      </c>
      <c r="K177" s="9" t="s">
        <v>23</v>
      </c>
      <c r="P177" s="10">
        <v>5641</v>
      </c>
      <c r="Q177" s="7" t="s">
        <v>38</v>
      </c>
      <c r="U177" s="12">
        <v>4045</v>
      </c>
      <c r="V177" s="13" t="s">
        <v>30</v>
      </c>
      <c r="W177" s="16" t="str">
        <f>TEXT(VLOOKUP(U177, News!A:C, 3, FALSE), "M/D/YYYY")</f>
        <v>11/6/2014</v>
      </c>
      <c r="X177" s="18">
        <f>DATE(YEAR(W177),MONTH(Metrics!$B$5), DAY(Metrics!$B$5))</f>
        <v>41883</v>
      </c>
      <c r="Y177" s="16">
        <f t="shared" si="2"/>
        <v>2015</v>
      </c>
    </row>
    <row r="178" spans="4:25" ht="16" x14ac:dyDescent="0.2">
      <c r="D178" s="10">
        <v>1294</v>
      </c>
      <c r="E178" s="7" t="s">
        <v>30</v>
      </c>
      <c r="J178" s="4">
        <v>7610</v>
      </c>
      <c r="K178" s="9" t="s">
        <v>23</v>
      </c>
      <c r="P178" s="10">
        <v>7155</v>
      </c>
      <c r="Q178" s="7" t="s">
        <v>38</v>
      </c>
      <c r="U178" s="12">
        <v>1294</v>
      </c>
      <c r="V178" s="13" t="s">
        <v>30</v>
      </c>
      <c r="W178" s="16" t="str">
        <f>TEXT(VLOOKUP(U178, News!A:C, 3, FALSE), "M/D/YYYY")</f>
        <v>8/13/2018</v>
      </c>
      <c r="X178" s="18">
        <f>DATE(YEAR(W178),MONTH(Metrics!$B$5), DAY(Metrics!$B$5))</f>
        <v>43344</v>
      </c>
      <c r="Y178" s="16">
        <f t="shared" si="2"/>
        <v>2018</v>
      </c>
    </row>
    <row r="179" spans="4:25" ht="16" x14ac:dyDescent="0.2">
      <c r="D179" s="10">
        <v>1360</v>
      </c>
      <c r="E179" s="7" t="s">
        <v>30</v>
      </c>
      <c r="J179" s="4">
        <v>8223</v>
      </c>
      <c r="K179" s="9" t="s">
        <v>23</v>
      </c>
      <c r="P179" s="10">
        <v>2338</v>
      </c>
      <c r="Q179" s="7" t="s">
        <v>38</v>
      </c>
      <c r="U179" s="12">
        <v>1360</v>
      </c>
      <c r="V179" s="13" t="s">
        <v>30</v>
      </c>
      <c r="W179" s="16" t="str">
        <f>TEXT(VLOOKUP(U179, News!A:C, 3, FALSE), "M/D/YYYY")</f>
        <v>5/2/2018</v>
      </c>
      <c r="X179" s="18">
        <f>DATE(YEAR(W179),MONTH(Metrics!$B$5), DAY(Metrics!$B$5))</f>
        <v>43344</v>
      </c>
      <c r="Y179" s="16">
        <f t="shared" si="2"/>
        <v>2018</v>
      </c>
    </row>
    <row r="180" spans="4:25" ht="16" x14ac:dyDescent="0.2">
      <c r="D180" s="10">
        <v>1377</v>
      </c>
      <c r="E180" s="7" t="s">
        <v>30</v>
      </c>
      <c r="J180" s="4">
        <v>8054</v>
      </c>
      <c r="K180" s="9" t="s">
        <v>23</v>
      </c>
      <c r="P180" s="10">
        <v>1391</v>
      </c>
      <c r="Q180" s="7" t="s">
        <v>38</v>
      </c>
      <c r="U180" s="12">
        <v>1377</v>
      </c>
      <c r="V180" s="13" t="s">
        <v>30</v>
      </c>
      <c r="W180" s="16" t="str">
        <f>TEXT(VLOOKUP(U180, News!A:C, 3, FALSE), "M/D/YYYY")</f>
        <v>10/21/2017</v>
      </c>
      <c r="X180" s="18">
        <f>DATE(YEAR(W180),MONTH(Metrics!$B$5), DAY(Metrics!$B$5))</f>
        <v>42979</v>
      </c>
      <c r="Y180" s="16">
        <f t="shared" si="2"/>
        <v>2018</v>
      </c>
    </row>
    <row r="181" spans="4:25" ht="16" x14ac:dyDescent="0.2">
      <c r="D181" s="10">
        <v>3000</v>
      </c>
      <c r="E181" s="7" t="s">
        <v>30</v>
      </c>
      <c r="J181" s="4"/>
      <c r="K181" s="9"/>
      <c r="P181" s="10">
        <v>1626</v>
      </c>
      <c r="Q181" s="7" t="s">
        <v>38</v>
      </c>
      <c r="U181" s="12">
        <v>3000</v>
      </c>
      <c r="V181" s="13" t="s">
        <v>30</v>
      </c>
      <c r="W181" s="16" t="str">
        <f>TEXT(VLOOKUP(U181, News!A:C, 3, FALSE), "M/D/YYYY")</f>
        <v>11/27/2016</v>
      </c>
      <c r="X181" s="18">
        <f>DATE(YEAR(W181),MONTH(Metrics!$B$5), DAY(Metrics!$B$5))</f>
        <v>42614</v>
      </c>
      <c r="Y181" s="16">
        <f t="shared" si="2"/>
        <v>2017</v>
      </c>
    </row>
    <row r="182" spans="4:25" ht="16" x14ac:dyDescent="0.2">
      <c r="D182" s="10">
        <v>3063</v>
      </c>
      <c r="E182" s="7" t="s">
        <v>30</v>
      </c>
      <c r="P182" s="10">
        <v>3254</v>
      </c>
      <c r="Q182" s="7" t="s">
        <v>38</v>
      </c>
      <c r="U182" s="12">
        <v>3063</v>
      </c>
      <c r="V182" s="13" t="s">
        <v>30</v>
      </c>
      <c r="W182" s="16" t="str">
        <f>TEXT(VLOOKUP(U182, News!A:C, 3, FALSE), "M/D/YYYY")</f>
        <v>10/1/2016</v>
      </c>
      <c r="X182" s="18">
        <f>DATE(YEAR(W182),MONTH(Metrics!$B$5), DAY(Metrics!$B$5))</f>
        <v>42614</v>
      </c>
      <c r="Y182" s="16">
        <f t="shared" si="2"/>
        <v>2017</v>
      </c>
    </row>
    <row r="183" spans="4:25" ht="16" x14ac:dyDescent="0.2">
      <c r="D183" s="10">
        <v>3897</v>
      </c>
      <c r="E183" s="7" t="s">
        <v>30</v>
      </c>
      <c r="P183" s="10">
        <v>4881</v>
      </c>
      <c r="Q183" s="7" t="s">
        <v>38</v>
      </c>
      <c r="U183" s="12">
        <v>3897</v>
      </c>
      <c r="V183" s="13" t="s">
        <v>30</v>
      </c>
      <c r="W183" s="16" t="str">
        <f>TEXT(VLOOKUP(U183, News!A:C, 3, FALSE), "M/D/YYYY")</f>
        <v>5/31/2015</v>
      </c>
      <c r="X183" s="18">
        <f>DATE(YEAR(W183),MONTH(Metrics!$B$5), DAY(Metrics!$B$5))</f>
        <v>42248</v>
      </c>
      <c r="Y183" s="16">
        <f t="shared" si="2"/>
        <v>2015</v>
      </c>
    </row>
    <row r="184" spans="4:25" ht="16" x14ac:dyDescent="0.2">
      <c r="D184" s="10">
        <v>3949</v>
      </c>
      <c r="E184" s="7" t="s">
        <v>30</v>
      </c>
      <c r="P184" s="10">
        <v>3507</v>
      </c>
      <c r="Q184" s="7" t="s">
        <v>38</v>
      </c>
      <c r="U184" s="12">
        <v>3949</v>
      </c>
      <c r="V184" s="13" t="s">
        <v>30</v>
      </c>
      <c r="W184" s="16" t="str">
        <f>TEXT(VLOOKUP(U184, News!A:C, 3, FALSE), "M/D/YYYY")</f>
        <v>4/18/2019</v>
      </c>
      <c r="X184" s="18">
        <f>DATE(YEAR(W184),MONTH(Metrics!$B$5), DAY(Metrics!$B$5))</f>
        <v>43709</v>
      </c>
      <c r="Y184" s="16">
        <f t="shared" si="2"/>
        <v>2019</v>
      </c>
    </row>
    <row r="185" spans="4:25" ht="16" x14ac:dyDescent="0.2">
      <c r="D185" s="10">
        <v>4254</v>
      </c>
      <c r="E185" s="7" t="s">
        <v>30</v>
      </c>
      <c r="P185" s="10">
        <v>3823</v>
      </c>
      <c r="Q185" s="7" t="s">
        <v>38</v>
      </c>
      <c r="U185" s="12">
        <v>4254</v>
      </c>
      <c r="V185" s="13" t="s">
        <v>30</v>
      </c>
      <c r="W185" s="16" t="str">
        <f>TEXT(VLOOKUP(U185, News!A:C, 3, FALSE), "M/D/YYYY")</f>
        <v>6/21/2019</v>
      </c>
      <c r="X185" s="18">
        <f>DATE(YEAR(W185),MONTH(Metrics!$B$5), DAY(Metrics!$B$5))</f>
        <v>43709</v>
      </c>
      <c r="Y185" s="16">
        <f t="shared" si="2"/>
        <v>2019</v>
      </c>
    </row>
    <row r="186" spans="4:25" ht="16" x14ac:dyDescent="0.2">
      <c r="D186" s="10">
        <v>4577</v>
      </c>
      <c r="E186" s="7" t="s">
        <v>30</v>
      </c>
      <c r="P186" s="10">
        <v>3859</v>
      </c>
      <c r="Q186" s="7" t="s">
        <v>38</v>
      </c>
      <c r="U186" s="12">
        <v>4577</v>
      </c>
      <c r="V186" s="13" t="s">
        <v>30</v>
      </c>
      <c r="W186" s="16" t="str">
        <f>TEXT(VLOOKUP(U186, News!A:C, 3, FALSE), "M/D/YYYY")</f>
        <v>4/15/2019</v>
      </c>
      <c r="X186" s="18">
        <f>DATE(YEAR(W186),MONTH(Metrics!$B$5), DAY(Metrics!$B$5))</f>
        <v>43709</v>
      </c>
      <c r="Y186" s="16">
        <f t="shared" si="2"/>
        <v>2019</v>
      </c>
    </row>
    <row r="187" spans="4:25" ht="16" x14ac:dyDescent="0.2">
      <c r="D187" s="10">
        <v>4934</v>
      </c>
      <c r="E187" s="7" t="s">
        <v>30</v>
      </c>
      <c r="P187" s="10">
        <v>4769</v>
      </c>
      <c r="Q187" s="7" t="s">
        <v>38</v>
      </c>
      <c r="U187" s="12">
        <v>4934</v>
      </c>
      <c r="V187" s="13" t="s">
        <v>30</v>
      </c>
      <c r="W187" s="16" t="str">
        <f>TEXT(VLOOKUP(U187, News!A:C, 3, FALSE), "M/D/YYYY")</f>
        <v>5/27/2020</v>
      </c>
      <c r="X187" s="18">
        <f>DATE(YEAR(W187),MONTH(Metrics!$B$5), DAY(Metrics!$B$5))</f>
        <v>44075</v>
      </c>
      <c r="Y187" s="16">
        <f t="shared" si="2"/>
        <v>2020</v>
      </c>
    </row>
    <row r="188" spans="4:25" ht="16" x14ac:dyDescent="0.2">
      <c r="D188" s="10">
        <v>5025</v>
      </c>
      <c r="E188" s="7" t="s">
        <v>30</v>
      </c>
      <c r="P188" s="10">
        <v>4863</v>
      </c>
      <c r="Q188" s="7" t="s">
        <v>38</v>
      </c>
      <c r="U188" s="12">
        <v>5025</v>
      </c>
      <c r="V188" s="13" t="s">
        <v>30</v>
      </c>
      <c r="W188" s="16" t="str">
        <f>TEXT(VLOOKUP(U188, News!A:C, 3, FALSE), "M/D/YYYY")</f>
        <v>8/6/2020</v>
      </c>
      <c r="X188" s="18">
        <f>DATE(YEAR(W188),MONTH(Metrics!$B$5), DAY(Metrics!$B$5))</f>
        <v>44075</v>
      </c>
      <c r="Y188" s="16">
        <f t="shared" si="2"/>
        <v>2020</v>
      </c>
    </row>
    <row r="189" spans="4:25" ht="16" x14ac:dyDescent="0.2">
      <c r="D189" s="10">
        <v>5958</v>
      </c>
      <c r="E189" s="7" t="s">
        <v>30</v>
      </c>
      <c r="P189" s="10">
        <v>4829</v>
      </c>
      <c r="Q189" s="7" t="s">
        <v>38</v>
      </c>
      <c r="U189" s="12">
        <v>5958</v>
      </c>
      <c r="V189" s="13" t="s">
        <v>30</v>
      </c>
      <c r="W189" s="16" t="str">
        <f>TEXT(VLOOKUP(U189, News!A:C, 3, FALSE), "M/D/YYYY")</f>
        <v>4/19/2021</v>
      </c>
      <c r="X189" s="18">
        <f>DATE(YEAR(W189),MONTH(Metrics!$B$5), DAY(Metrics!$B$5))</f>
        <v>44440</v>
      </c>
      <c r="Y189" s="16">
        <f t="shared" si="2"/>
        <v>2021</v>
      </c>
    </row>
    <row r="190" spans="4:25" ht="16" x14ac:dyDescent="0.2">
      <c r="D190" s="10">
        <v>6871</v>
      </c>
      <c r="E190" s="7" t="s">
        <v>30</v>
      </c>
      <c r="P190" s="10">
        <v>4373</v>
      </c>
      <c r="Q190" s="7" t="s">
        <v>38</v>
      </c>
      <c r="U190" s="12">
        <v>6871</v>
      </c>
      <c r="V190" s="13" t="s">
        <v>30</v>
      </c>
      <c r="W190" s="16" t="str">
        <f>TEXT(VLOOKUP(U190, News!A:C, 3, FALSE), "M/D/YYYY")</f>
        <v>2/9/2022</v>
      </c>
      <c r="X190" s="18">
        <f>DATE(YEAR(W190),MONTH(Metrics!$B$5), DAY(Metrics!$B$5))</f>
        <v>44805</v>
      </c>
      <c r="Y190" s="16">
        <f t="shared" si="2"/>
        <v>2022</v>
      </c>
    </row>
    <row r="191" spans="4:25" ht="16" x14ac:dyDescent="0.2">
      <c r="D191" s="10">
        <v>7914</v>
      </c>
      <c r="E191" s="7" t="s">
        <v>30</v>
      </c>
      <c r="P191" s="10">
        <v>7996</v>
      </c>
      <c r="Q191" s="7" t="s">
        <v>38</v>
      </c>
      <c r="U191" s="12">
        <v>7914</v>
      </c>
      <c r="V191" s="13" t="s">
        <v>30</v>
      </c>
      <c r="W191" s="16" t="str">
        <f>TEXT(VLOOKUP(U191, News!A:C, 3, FALSE), "M/D/YYYY")</f>
        <v>1/13/2023</v>
      </c>
      <c r="X191" s="18">
        <f>DATE(YEAR(W191),MONTH(Metrics!$B$5), DAY(Metrics!$B$5))</f>
        <v>45170</v>
      </c>
      <c r="Y191" s="16">
        <f t="shared" si="2"/>
        <v>2023</v>
      </c>
    </row>
    <row r="192" spans="4:25" ht="16" x14ac:dyDescent="0.2">
      <c r="D192" s="10">
        <v>3003</v>
      </c>
      <c r="E192" s="7" t="s">
        <v>30</v>
      </c>
      <c r="P192" s="10">
        <v>4493</v>
      </c>
      <c r="Q192" s="7" t="s">
        <v>38</v>
      </c>
      <c r="U192" s="12">
        <v>3003</v>
      </c>
      <c r="V192" s="13" t="s">
        <v>30</v>
      </c>
      <c r="W192" s="16" t="str">
        <f>TEXT(VLOOKUP(U192, News!A:C, 3, FALSE), "M/D/YYYY")</f>
        <v>11/1/2016</v>
      </c>
      <c r="X192" s="18">
        <f>DATE(YEAR(W192),MONTH(Metrics!$B$5), DAY(Metrics!$B$5))</f>
        <v>42614</v>
      </c>
      <c r="Y192" s="16">
        <f t="shared" si="2"/>
        <v>2017</v>
      </c>
    </row>
    <row r="193" spans="4:25" ht="16" x14ac:dyDescent="0.2">
      <c r="D193" s="10">
        <v>3537</v>
      </c>
      <c r="E193" s="7" t="s">
        <v>30</v>
      </c>
      <c r="P193" s="10">
        <v>4579</v>
      </c>
      <c r="Q193" s="7" t="s">
        <v>38</v>
      </c>
      <c r="U193" s="12">
        <v>3537</v>
      </c>
      <c r="V193" s="13" t="s">
        <v>30</v>
      </c>
      <c r="W193" s="16" t="str">
        <f>TEXT(VLOOKUP(U193, News!A:C, 3, FALSE), "M/D/YYYY")</f>
        <v>4/25/2016</v>
      </c>
      <c r="X193" s="18">
        <f>DATE(YEAR(W193),MONTH(Metrics!$B$5), DAY(Metrics!$B$5))</f>
        <v>42614</v>
      </c>
      <c r="Y193" s="16">
        <f t="shared" si="2"/>
        <v>2016</v>
      </c>
    </row>
    <row r="194" spans="4:25" ht="16" x14ac:dyDescent="0.2">
      <c r="D194" s="10">
        <v>4069</v>
      </c>
      <c r="E194" s="7" t="s">
        <v>30</v>
      </c>
      <c r="P194" s="10">
        <v>7610</v>
      </c>
      <c r="Q194" s="7" t="s">
        <v>38</v>
      </c>
      <c r="U194" s="12">
        <v>4069</v>
      </c>
      <c r="V194" s="13" t="s">
        <v>30</v>
      </c>
      <c r="W194" s="16" t="str">
        <f>TEXT(VLOOKUP(U194, News!A:C, 3, FALSE), "M/D/YYYY")</f>
        <v>10/20/2014</v>
      </c>
      <c r="X194" s="18">
        <f>DATE(YEAR(W194),MONTH(Metrics!$B$5), DAY(Metrics!$B$5))</f>
        <v>41883</v>
      </c>
      <c r="Y194" s="16">
        <f t="shared" si="2"/>
        <v>2015</v>
      </c>
    </row>
    <row r="195" spans="4:25" ht="16" x14ac:dyDescent="0.2">
      <c r="D195" s="10">
        <v>1445</v>
      </c>
      <c r="E195" s="7" t="s">
        <v>30</v>
      </c>
      <c r="P195" s="10">
        <v>8223</v>
      </c>
      <c r="Q195" s="7" t="s">
        <v>38</v>
      </c>
      <c r="U195" s="12">
        <v>1445</v>
      </c>
      <c r="V195" s="13" t="s">
        <v>30</v>
      </c>
      <c r="W195" s="16" t="str">
        <f>TEXT(VLOOKUP(U195, News!A:C, 3, FALSE), "M/D/YYYY")</f>
        <v>1/31/2018</v>
      </c>
      <c r="X195" s="18">
        <f>DATE(YEAR(W195),MONTH(Metrics!$B$5), DAY(Metrics!$B$5))</f>
        <v>43344</v>
      </c>
      <c r="Y195" s="16">
        <f t="shared" ref="Y195:Y258" si="3">IF(MONTH(W195) &gt;= MONTH(X195), YEAR(W195)+1, YEAR(W195))</f>
        <v>2018</v>
      </c>
    </row>
    <row r="196" spans="4:25" ht="16" x14ac:dyDescent="0.2">
      <c r="D196" s="10">
        <v>4048</v>
      </c>
      <c r="E196" s="7" t="s">
        <v>30</v>
      </c>
      <c r="P196" s="10">
        <v>6078</v>
      </c>
      <c r="Q196" s="7" t="s">
        <v>38</v>
      </c>
      <c r="U196" s="12">
        <v>4048</v>
      </c>
      <c r="V196" s="13" t="s">
        <v>30</v>
      </c>
      <c r="W196" s="16" t="str">
        <f>TEXT(VLOOKUP(U196, News!A:C, 3, FALSE), "M/D/YYYY")</f>
        <v>11/2/2014</v>
      </c>
      <c r="X196" s="18">
        <f>DATE(YEAR(W196),MONTH(Metrics!$B$5), DAY(Metrics!$B$5))</f>
        <v>41883</v>
      </c>
      <c r="Y196" s="16">
        <f t="shared" si="3"/>
        <v>2015</v>
      </c>
    </row>
    <row r="197" spans="4:25" ht="16" x14ac:dyDescent="0.2">
      <c r="D197" s="10">
        <v>2015</v>
      </c>
      <c r="E197" s="7" t="s">
        <v>30</v>
      </c>
      <c r="P197" s="10">
        <v>6267</v>
      </c>
      <c r="Q197" s="7" t="s">
        <v>38</v>
      </c>
      <c r="U197" s="12">
        <v>2015</v>
      </c>
      <c r="V197" s="13" t="s">
        <v>30</v>
      </c>
      <c r="W197" s="16" t="str">
        <f>TEXT(VLOOKUP(U197, News!A:C, 3, FALSE), "M/D/YYYY")</f>
        <v>8/18/2017</v>
      </c>
      <c r="X197" s="18">
        <f>DATE(YEAR(W197),MONTH(Metrics!$B$5), DAY(Metrics!$B$5))</f>
        <v>42979</v>
      </c>
      <c r="Y197" s="16">
        <f t="shared" si="3"/>
        <v>2017</v>
      </c>
    </row>
    <row r="198" spans="4:25" ht="16" x14ac:dyDescent="0.2">
      <c r="D198" s="10">
        <v>4204</v>
      </c>
      <c r="E198" s="7" t="s">
        <v>30</v>
      </c>
      <c r="P198" s="10">
        <v>6264</v>
      </c>
      <c r="Q198" s="7" t="s">
        <v>38</v>
      </c>
      <c r="U198" s="12">
        <v>4204</v>
      </c>
      <c r="V198" s="13" t="s">
        <v>30</v>
      </c>
      <c r="W198" s="16" t="str">
        <f>TEXT(VLOOKUP(U198, News!A:C, 3, FALSE), "M/D/YYYY")</f>
        <v>6/3/2014</v>
      </c>
      <c r="X198" s="18">
        <f>DATE(YEAR(W198),MONTH(Metrics!$B$5), DAY(Metrics!$B$5))</f>
        <v>41883</v>
      </c>
      <c r="Y198" s="16">
        <f t="shared" si="3"/>
        <v>2014</v>
      </c>
    </row>
    <row r="199" spans="4:25" ht="16" x14ac:dyDescent="0.2">
      <c r="D199" s="10">
        <v>2525</v>
      </c>
      <c r="E199" s="7" t="s">
        <v>30</v>
      </c>
      <c r="P199" s="10">
        <v>6919</v>
      </c>
      <c r="Q199" s="7" t="s">
        <v>38</v>
      </c>
      <c r="U199" s="12">
        <v>2525</v>
      </c>
      <c r="V199" s="13" t="s">
        <v>30</v>
      </c>
      <c r="W199" s="16" t="str">
        <f>TEXT(VLOOKUP(U199, News!A:C, 3, FALSE), "M/D/YYYY")</f>
        <v>1/28/2017</v>
      </c>
      <c r="X199" s="18">
        <f>DATE(YEAR(W199),MONTH(Metrics!$B$5), DAY(Metrics!$B$5))</f>
        <v>42979</v>
      </c>
      <c r="Y199" s="16">
        <f t="shared" si="3"/>
        <v>2017</v>
      </c>
    </row>
    <row r="200" spans="4:25" ht="16" x14ac:dyDescent="0.2">
      <c r="D200" s="10">
        <v>3005</v>
      </c>
      <c r="E200" s="7" t="s">
        <v>30</v>
      </c>
      <c r="P200" s="10">
        <v>8125</v>
      </c>
      <c r="Q200" s="7" t="s">
        <v>38</v>
      </c>
      <c r="U200" s="12">
        <v>3005</v>
      </c>
      <c r="V200" s="13" t="s">
        <v>30</v>
      </c>
      <c r="W200" s="16" t="str">
        <f>TEXT(VLOOKUP(U200, News!A:C, 3, FALSE), "M/D/YYYY")</f>
        <v>10/31/2016</v>
      </c>
      <c r="X200" s="18">
        <f>DATE(YEAR(W200),MONTH(Metrics!$B$5), DAY(Metrics!$B$5))</f>
        <v>42614</v>
      </c>
      <c r="Y200" s="16">
        <f t="shared" si="3"/>
        <v>2017</v>
      </c>
    </row>
    <row r="201" spans="4:25" ht="16" x14ac:dyDescent="0.2">
      <c r="D201" s="10">
        <v>3317</v>
      </c>
      <c r="E201" s="7" t="s">
        <v>30</v>
      </c>
      <c r="P201" s="10">
        <v>8054</v>
      </c>
      <c r="Q201" s="7" t="s">
        <v>38</v>
      </c>
      <c r="U201" s="12">
        <v>3317</v>
      </c>
      <c r="V201" s="13" t="s">
        <v>30</v>
      </c>
      <c r="W201" s="16" t="str">
        <f>TEXT(VLOOKUP(U201, News!A:C, 3, FALSE), "M/D/YYYY")</f>
        <v>7/14/2016</v>
      </c>
      <c r="X201" s="18">
        <f>DATE(YEAR(W201),MONTH(Metrics!$B$5), DAY(Metrics!$B$5))</f>
        <v>42614</v>
      </c>
      <c r="Y201" s="16">
        <f t="shared" si="3"/>
        <v>2016</v>
      </c>
    </row>
    <row r="202" spans="4:25" ht="16" x14ac:dyDescent="0.2">
      <c r="D202" s="10">
        <v>4132</v>
      </c>
      <c r="E202" s="7" t="s">
        <v>30</v>
      </c>
      <c r="Q202" s="7" t="s">
        <v>38</v>
      </c>
      <c r="U202" s="12">
        <v>4132</v>
      </c>
      <c r="V202" s="13" t="s">
        <v>30</v>
      </c>
      <c r="W202" s="16" t="str">
        <f>TEXT(VLOOKUP(U202, News!A:C, 3, FALSE), "M/D/YYYY")</f>
        <v>7/6/2014</v>
      </c>
      <c r="X202" s="18">
        <f>DATE(YEAR(W202),MONTH(Metrics!$B$5), DAY(Metrics!$B$5))</f>
        <v>41883</v>
      </c>
      <c r="Y202" s="16">
        <f t="shared" si="3"/>
        <v>2014</v>
      </c>
    </row>
    <row r="203" spans="4:25" ht="16" x14ac:dyDescent="0.2">
      <c r="D203" s="10">
        <v>3620</v>
      </c>
      <c r="E203" s="7" t="s">
        <v>30</v>
      </c>
      <c r="Q203" s="7" t="s">
        <v>38</v>
      </c>
      <c r="U203" s="12">
        <v>3620</v>
      </c>
      <c r="V203" s="13" t="s">
        <v>30</v>
      </c>
      <c r="W203" s="16" t="str">
        <f>TEXT(VLOOKUP(U203, News!A:C, 3, FALSE), "M/D/YYYY")</f>
        <v>1/5/2016</v>
      </c>
      <c r="X203" s="18">
        <f>DATE(YEAR(W203),MONTH(Metrics!$B$5), DAY(Metrics!$B$5))</f>
        <v>42614</v>
      </c>
      <c r="Y203" s="16">
        <f t="shared" si="3"/>
        <v>2016</v>
      </c>
    </row>
    <row r="204" spans="4:25" ht="16" x14ac:dyDescent="0.2">
      <c r="D204" s="10">
        <v>4154</v>
      </c>
      <c r="E204" s="7" t="s">
        <v>30</v>
      </c>
      <c r="Q204" s="7" t="s">
        <v>38</v>
      </c>
      <c r="U204" s="12">
        <v>4154</v>
      </c>
      <c r="V204" s="13" t="s">
        <v>30</v>
      </c>
      <c r="W204" s="16" t="str">
        <f>TEXT(VLOOKUP(U204, News!A:C, 3, FALSE), "M/D/YYYY")</f>
        <v>6/1/2014</v>
      </c>
      <c r="X204" s="18">
        <f>DATE(YEAR(W204),MONTH(Metrics!$B$5), DAY(Metrics!$B$5))</f>
        <v>41883</v>
      </c>
      <c r="Y204" s="16">
        <f t="shared" si="3"/>
        <v>2014</v>
      </c>
    </row>
    <row r="205" spans="4:25" ht="16" x14ac:dyDescent="0.2">
      <c r="D205" s="10">
        <v>6999</v>
      </c>
      <c r="E205" s="7" t="s">
        <v>30</v>
      </c>
      <c r="Q205" s="7" t="s">
        <v>38</v>
      </c>
      <c r="U205" s="12">
        <v>6999</v>
      </c>
      <c r="V205" s="13" t="s">
        <v>30</v>
      </c>
      <c r="W205" s="16" t="str">
        <f>TEXT(VLOOKUP(U205, News!A:C, 3, FALSE), "M/D/YYYY")</f>
        <v>3/16/2022</v>
      </c>
      <c r="X205" s="18">
        <f>DATE(YEAR(W205),MONTH(Metrics!$B$5), DAY(Metrics!$B$5))</f>
        <v>44805</v>
      </c>
      <c r="Y205" s="16">
        <f t="shared" si="3"/>
        <v>2022</v>
      </c>
    </row>
    <row r="206" spans="4:25" ht="16" x14ac:dyDescent="0.2">
      <c r="D206" s="10">
        <v>3257</v>
      </c>
      <c r="E206" s="7" t="s">
        <v>30</v>
      </c>
      <c r="Q206" s="7" t="s">
        <v>38</v>
      </c>
      <c r="U206" s="12">
        <v>3257</v>
      </c>
      <c r="V206" s="13" t="s">
        <v>30</v>
      </c>
      <c r="W206" s="16" t="str">
        <f>TEXT(VLOOKUP(U206, News!A:C, 3, FALSE), "M/D/YYYY")</f>
        <v>12/18/2018</v>
      </c>
      <c r="X206" s="18">
        <f>DATE(YEAR(W206),MONTH(Metrics!$B$5), DAY(Metrics!$B$5))</f>
        <v>43344</v>
      </c>
      <c r="Y206" s="16">
        <f t="shared" si="3"/>
        <v>2019</v>
      </c>
    </row>
    <row r="207" spans="4:25" ht="16" x14ac:dyDescent="0.2">
      <c r="D207" s="10">
        <v>3978</v>
      </c>
      <c r="E207" s="7" t="s">
        <v>30</v>
      </c>
      <c r="Q207" s="7" t="s">
        <v>38</v>
      </c>
      <c r="U207" s="12">
        <v>3978</v>
      </c>
      <c r="V207" s="13" t="s">
        <v>30</v>
      </c>
      <c r="W207" s="16" t="str">
        <f>TEXT(VLOOKUP(U207, News!A:C, 3, FALSE), "M/D/YYYY")</f>
        <v>2/28/2015</v>
      </c>
      <c r="X207" s="18">
        <f>DATE(YEAR(W207),MONTH(Metrics!$B$5), DAY(Metrics!$B$5))</f>
        <v>42248</v>
      </c>
      <c r="Y207" s="16">
        <f t="shared" si="3"/>
        <v>2015</v>
      </c>
    </row>
    <row r="208" spans="4:25" ht="16" x14ac:dyDescent="0.2">
      <c r="D208" s="10">
        <v>2551</v>
      </c>
      <c r="E208" s="7" t="s">
        <v>30</v>
      </c>
      <c r="Q208" s="7" t="s">
        <v>38</v>
      </c>
      <c r="U208" s="12">
        <v>2551</v>
      </c>
      <c r="V208" s="13" t="s">
        <v>30</v>
      </c>
      <c r="W208" s="16" t="str">
        <f>TEXT(VLOOKUP(U208, News!A:C, 3, FALSE), "M/D/YYYY")</f>
        <v>1/1/2017</v>
      </c>
      <c r="X208" s="18">
        <f>DATE(YEAR(W208),MONTH(Metrics!$B$5), DAY(Metrics!$B$5))</f>
        <v>42979</v>
      </c>
      <c r="Y208" s="16">
        <f t="shared" si="3"/>
        <v>2017</v>
      </c>
    </row>
    <row r="209" spans="4:25" ht="16" x14ac:dyDescent="0.2">
      <c r="D209" s="10">
        <v>3947</v>
      </c>
      <c r="E209" s="7" t="s">
        <v>30</v>
      </c>
      <c r="Q209" s="7" t="s">
        <v>38</v>
      </c>
      <c r="U209" s="12">
        <v>3947</v>
      </c>
      <c r="V209" s="13" t="s">
        <v>30</v>
      </c>
      <c r="W209" s="16" t="str">
        <f>TEXT(VLOOKUP(U209, News!A:C, 3, FALSE), "M/D/YYYY")</f>
        <v>4/10/2015</v>
      </c>
      <c r="X209" s="18">
        <f>DATE(YEAR(W209),MONTH(Metrics!$B$5), DAY(Metrics!$B$5))</f>
        <v>42248</v>
      </c>
      <c r="Y209" s="16">
        <f t="shared" si="3"/>
        <v>2015</v>
      </c>
    </row>
    <row r="210" spans="4:25" ht="16" x14ac:dyDescent="0.2">
      <c r="D210" s="10">
        <v>4242</v>
      </c>
      <c r="E210" s="7" t="s">
        <v>30</v>
      </c>
      <c r="Q210" s="7" t="s">
        <v>38</v>
      </c>
      <c r="U210" s="12">
        <v>4242</v>
      </c>
      <c r="V210" s="13" t="s">
        <v>30</v>
      </c>
      <c r="W210" s="16" t="str">
        <f>TEXT(VLOOKUP(U210, News!A:C, 3, FALSE), "M/D/YYYY")</f>
        <v>6/21/2019</v>
      </c>
      <c r="X210" s="18">
        <f>DATE(YEAR(W210),MONTH(Metrics!$B$5), DAY(Metrics!$B$5))</f>
        <v>43709</v>
      </c>
      <c r="Y210" s="16">
        <f t="shared" si="3"/>
        <v>2019</v>
      </c>
    </row>
    <row r="211" spans="4:25" ht="16" x14ac:dyDescent="0.2">
      <c r="D211" s="10">
        <v>4912</v>
      </c>
      <c r="E211" s="7" t="s">
        <v>30</v>
      </c>
      <c r="Q211" s="7" t="s">
        <v>38</v>
      </c>
      <c r="U211" s="12">
        <v>4912</v>
      </c>
      <c r="V211" s="13" t="s">
        <v>30</v>
      </c>
      <c r="W211" s="16" t="str">
        <f>TEXT(VLOOKUP(U211, News!A:C, 3, FALSE), "M/D/YYYY")</f>
        <v>3/24/2020</v>
      </c>
      <c r="X211" s="18">
        <f>DATE(YEAR(W211),MONTH(Metrics!$B$5), DAY(Metrics!$B$5))</f>
        <v>44075</v>
      </c>
      <c r="Y211" s="16">
        <f t="shared" si="3"/>
        <v>2020</v>
      </c>
    </row>
    <row r="212" spans="4:25" ht="16" x14ac:dyDescent="0.2">
      <c r="D212" s="10">
        <v>3622</v>
      </c>
      <c r="E212" s="7" t="s">
        <v>30</v>
      </c>
      <c r="Q212" s="7" t="s">
        <v>38</v>
      </c>
      <c r="U212" s="12">
        <v>3622</v>
      </c>
      <c r="V212" s="13" t="s">
        <v>30</v>
      </c>
      <c r="W212" s="16" t="str">
        <f>TEXT(VLOOKUP(U212, News!A:C, 3, FALSE), "M/D/YYYY")</f>
        <v>1/1/2016</v>
      </c>
      <c r="X212" s="18">
        <f>DATE(YEAR(W212),MONTH(Metrics!$B$5), DAY(Metrics!$B$5))</f>
        <v>42614</v>
      </c>
      <c r="Y212" s="16">
        <f t="shared" si="3"/>
        <v>2016</v>
      </c>
    </row>
    <row r="213" spans="4:25" ht="16" x14ac:dyDescent="0.2">
      <c r="D213" s="10">
        <v>2437</v>
      </c>
      <c r="E213" s="7" t="s">
        <v>30</v>
      </c>
      <c r="Q213" s="7" t="s">
        <v>38</v>
      </c>
      <c r="U213" s="12">
        <v>2437</v>
      </c>
      <c r="V213" s="13" t="s">
        <v>30</v>
      </c>
      <c r="W213" s="16" t="str">
        <f>TEXT(VLOOKUP(U213, News!A:C, 3, FALSE), "M/D/YYYY")</f>
        <v>3/15/2017</v>
      </c>
      <c r="X213" s="18">
        <f>DATE(YEAR(W213),MONTH(Metrics!$B$5), DAY(Metrics!$B$5))</f>
        <v>42979</v>
      </c>
      <c r="Y213" s="16">
        <f t="shared" si="3"/>
        <v>2017</v>
      </c>
    </row>
    <row r="214" spans="4:25" ht="16" x14ac:dyDescent="0.2">
      <c r="D214" s="10">
        <v>1309</v>
      </c>
      <c r="E214" s="7" t="s">
        <v>30</v>
      </c>
      <c r="Q214" s="7" t="s">
        <v>38</v>
      </c>
      <c r="U214" s="12">
        <v>1309</v>
      </c>
      <c r="V214" s="13" t="s">
        <v>30</v>
      </c>
      <c r="W214" s="16" t="str">
        <f>TEXT(VLOOKUP(U214, News!A:C, 3, FALSE), "M/D/YYYY")</f>
        <v>6/10/2018</v>
      </c>
      <c r="X214" s="18">
        <f>DATE(YEAR(W214),MONTH(Metrics!$B$5), DAY(Metrics!$B$5))</f>
        <v>43344</v>
      </c>
      <c r="Y214" s="16">
        <f t="shared" si="3"/>
        <v>2018</v>
      </c>
    </row>
    <row r="215" spans="4:25" ht="16" x14ac:dyDescent="0.2">
      <c r="D215" s="10">
        <v>2341</v>
      </c>
      <c r="E215" s="7" t="s">
        <v>30</v>
      </c>
      <c r="Q215" s="7" t="s">
        <v>38</v>
      </c>
      <c r="U215" s="12">
        <v>2341</v>
      </c>
      <c r="V215" s="13" t="s">
        <v>30</v>
      </c>
      <c r="W215" s="16" t="str">
        <f>TEXT(VLOOKUP(U215, News!A:C, 3, FALSE), "M/D/YYYY")</f>
        <v>4/28/2017</v>
      </c>
      <c r="X215" s="18">
        <f>DATE(YEAR(W215),MONTH(Metrics!$B$5), DAY(Metrics!$B$5))</f>
        <v>42979</v>
      </c>
      <c r="Y215" s="16">
        <f t="shared" si="3"/>
        <v>2017</v>
      </c>
    </row>
    <row r="216" spans="4:25" ht="16" x14ac:dyDescent="0.2">
      <c r="D216" s="10">
        <v>5641</v>
      </c>
      <c r="E216" s="7" t="s">
        <v>30</v>
      </c>
      <c r="Q216" s="7" t="s">
        <v>38</v>
      </c>
      <c r="U216" s="12">
        <v>5641</v>
      </c>
      <c r="V216" s="13" t="s">
        <v>30</v>
      </c>
      <c r="W216" s="16" t="str">
        <f>TEXT(VLOOKUP(U216, News!A:C, 3, FALSE), "M/D/YYYY")</f>
        <v>11/16/2020</v>
      </c>
      <c r="X216" s="18">
        <f>DATE(YEAR(W216),MONTH(Metrics!$B$5), DAY(Metrics!$B$5))</f>
        <v>44075</v>
      </c>
      <c r="Y216" s="16">
        <f t="shared" si="3"/>
        <v>2021</v>
      </c>
    </row>
    <row r="217" spans="4:25" ht="16" x14ac:dyDescent="0.2">
      <c r="D217" s="10">
        <v>7155</v>
      </c>
      <c r="E217" s="7" t="s">
        <v>30</v>
      </c>
      <c r="Q217" s="7" t="s">
        <v>38</v>
      </c>
      <c r="U217" s="12">
        <v>7155</v>
      </c>
      <c r="V217" s="13" t="s">
        <v>30</v>
      </c>
      <c r="W217" s="16" t="str">
        <f>TEXT(VLOOKUP(U217, News!A:C, 3, FALSE), "M/D/YYYY")</f>
        <v>6/7/2022</v>
      </c>
      <c r="X217" s="18">
        <f>DATE(YEAR(W217),MONTH(Metrics!$B$5), DAY(Metrics!$B$5))</f>
        <v>44805</v>
      </c>
      <c r="Y217" s="16">
        <f t="shared" si="3"/>
        <v>2022</v>
      </c>
    </row>
    <row r="218" spans="4:25" ht="16" x14ac:dyDescent="0.2">
      <c r="D218" s="10">
        <v>2338</v>
      </c>
      <c r="E218" s="7" t="s">
        <v>30</v>
      </c>
      <c r="Q218" s="7" t="s">
        <v>38</v>
      </c>
      <c r="U218" s="12">
        <v>2338</v>
      </c>
      <c r="V218" s="13" t="s">
        <v>30</v>
      </c>
      <c r="W218" s="16" t="str">
        <f>TEXT(VLOOKUP(U218, News!A:C, 3, FALSE), "M/D/YYYY")</f>
        <v>4/30/2017</v>
      </c>
      <c r="X218" s="18">
        <f>DATE(YEAR(W218),MONTH(Metrics!$B$5), DAY(Metrics!$B$5))</f>
        <v>42979</v>
      </c>
      <c r="Y218" s="16">
        <f t="shared" si="3"/>
        <v>2017</v>
      </c>
    </row>
    <row r="219" spans="4:25" ht="16" x14ac:dyDescent="0.2">
      <c r="D219" s="10">
        <v>1391</v>
      </c>
      <c r="E219" s="7" t="s">
        <v>30</v>
      </c>
      <c r="Q219" s="7" t="s">
        <v>38</v>
      </c>
      <c r="U219" s="12">
        <v>1391</v>
      </c>
      <c r="V219" s="13" t="s">
        <v>30</v>
      </c>
      <c r="W219" s="16" t="str">
        <f>TEXT(VLOOKUP(U219, News!A:C, 3, FALSE), "M/D/YYYY")</f>
        <v>4/10/2018</v>
      </c>
      <c r="X219" s="18">
        <f>DATE(YEAR(W219),MONTH(Metrics!$B$5), DAY(Metrics!$B$5))</f>
        <v>43344</v>
      </c>
      <c r="Y219" s="16">
        <f t="shared" si="3"/>
        <v>2018</v>
      </c>
    </row>
    <row r="220" spans="4:25" ht="16" x14ac:dyDescent="0.2">
      <c r="D220" s="10">
        <v>3254</v>
      </c>
      <c r="E220" s="7" t="s">
        <v>30</v>
      </c>
      <c r="Q220" s="7" t="s">
        <v>38</v>
      </c>
      <c r="U220" s="12">
        <v>3254</v>
      </c>
      <c r="V220" s="13" t="s">
        <v>30</v>
      </c>
      <c r="W220" s="16" t="str">
        <f>TEXT(VLOOKUP(U220, News!A:C, 3, FALSE), "M/D/YYYY")</f>
        <v>12/18/2018</v>
      </c>
      <c r="X220" s="18">
        <f>DATE(YEAR(W220),MONTH(Metrics!$B$5), DAY(Metrics!$B$5))</f>
        <v>43344</v>
      </c>
      <c r="Y220" s="16">
        <f t="shared" si="3"/>
        <v>2019</v>
      </c>
    </row>
    <row r="221" spans="4:25" ht="16" x14ac:dyDescent="0.2">
      <c r="D221" s="10">
        <v>4881</v>
      </c>
      <c r="E221" s="7" t="s">
        <v>30</v>
      </c>
      <c r="Q221" s="7" t="s">
        <v>38</v>
      </c>
      <c r="U221" s="12">
        <v>4881</v>
      </c>
      <c r="V221" s="13" t="s">
        <v>30</v>
      </c>
      <c r="W221" s="16" t="str">
        <f>TEXT(VLOOKUP(U221, News!A:C, 3, FALSE), "M/D/YYYY")</f>
        <v>4/9/2020</v>
      </c>
      <c r="X221" s="18">
        <f>DATE(YEAR(W221),MONTH(Metrics!$B$5), DAY(Metrics!$B$5))</f>
        <v>44075</v>
      </c>
      <c r="Y221" s="16">
        <f t="shared" si="3"/>
        <v>2020</v>
      </c>
    </row>
    <row r="222" spans="4:25" ht="16" x14ac:dyDescent="0.2">
      <c r="D222" s="10">
        <v>8125</v>
      </c>
      <c r="E222" s="7" t="s">
        <v>30</v>
      </c>
      <c r="Q222" s="7" t="s">
        <v>38</v>
      </c>
      <c r="U222" s="12">
        <v>8125</v>
      </c>
      <c r="V222" s="13" t="s">
        <v>30</v>
      </c>
      <c r="W222" s="16" t="str">
        <f>TEXT(VLOOKUP(U222, News!A:C, 3, FALSE), "M/D/YYYY")</f>
        <v>3/28/2023</v>
      </c>
      <c r="X222" s="18">
        <f>DATE(YEAR(W222),MONTH(Metrics!$B$5), DAY(Metrics!$B$5))</f>
        <v>45170</v>
      </c>
      <c r="Y222" s="16">
        <f t="shared" si="3"/>
        <v>2023</v>
      </c>
    </row>
    <row r="223" spans="4:25" ht="16" x14ac:dyDescent="0.2">
      <c r="U223" s="12">
        <v>1310</v>
      </c>
      <c r="V223" s="13" t="s">
        <v>899</v>
      </c>
      <c r="W223" s="16" t="str">
        <f>TEXT(VLOOKUP(U223, News!A:C, 3, FALSE), "M/D/YYYY")</f>
        <v>6/4/2018</v>
      </c>
      <c r="X223" s="18">
        <f>DATE(YEAR(W223),MONTH(Metrics!$B$5), DAY(Metrics!$B$5))</f>
        <v>43344</v>
      </c>
      <c r="Y223" s="16">
        <f t="shared" si="3"/>
        <v>2018</v>
      </c>
    </row>
    <row r="224" spans="4:25" ht="16" x14ac:dyDescent="0.2">
      <c r="U224" s="12">
        <v>2203</v>
      </c>
      <c r="V224" s="13" t="s">
        <v>899</v>
      </c>
      <c r="W224" s="16" t="str">
        <f>TEXT(VLOOKUP(U224, News!A:C, 3, FALSE), "M/D/YYYY")</f>
        <v>6/3/2017</v>
      </c>
      <c r="X224" s="18">
        <f>DATE(YEAR(W224),MONTH(Metrics!$B$5), DAY(Metrics!$B$5))</f>
        <v>42979</v>
      </c>
      <c r="Y224" s="16">
        <f t="shared" si="3"/>
        <v>2017</v>
      </c>
    </row>
    <row r="225" spans="21:25" ht="16" x14ac:dyDescent="0.2">
      <c r="U225" s="12">
        <v>2306</v>
      </c>
      <c r="V225" s="13" t="s">
        <v>899</v>
      </c>
      <c r="W225" s="16" t="str">
        <f>TEXT(VLOOKUP(U225, News!A:C, 3, FALSE), "M/D/YYYY")</f>
        <v>5/18/2017</v>
      </c>
      <c r="X225" s="18">
        <f>DATE(YEAR(W225),MONTH(Metrics!$B$5), DAY(Metrics!$B$5))</f>
        <v>42979</v>
      </c>
      <c r="Y225" s="16">
        <f t="shared" si="3"/>
        <v>2017</v>
      </c>
    </row>
    <row r="226" spans="21:25" ht="16" x14ac:dyDescent="0.2">
      <c r="U226" s="12">
        <v>2408</v>
      </c>
      <c r="V226" s="13" t="s">
        <v>899</v>
      </c>
      <c r="W226" s="16" t="str">
        <f>TEXT(VLOOKUP(U226, News!A:C, 3, FALSE), "M/D/YYYY")</f>
        <v>11/12/2018</v>
      </c>
      <c r="X226" s="18">
        <f>DATE(YEAR(W226),MONTH(Metrics!$B$5), DAY(Metrics!$B$5))</f>
        <v>43344</v>
      </c>
      <c r="Y226" s="16">
        <f t="shared" si="3"/>
        <v>2019</v>
      </c>
    </row>
    <row r="227" spans="21:25" ht="16" x14ac:dyDescent="0.2">
      <c r="U227" s="12">
        <v>3534</v>
      </c>
      <c r="V227" s="13" t="s">
        <v>899</v>
      </c>
      <c r="W227" s="16" t="str">
        <f>TEXT(VLOOKUP(U227, News!A:C, 3, FALSE), "M/D/YYYY")</f>
        <v>4/28/2016</v>
      </c>
      <c r="X227" s="18">
        <f>DATE(YEAR(W227),MONTH(Metrics!$B$5), DAY(Metrics!$B$5))</f>
        <v>42614</v>
      </c>
      <c r="Y227" s="16">
        <f t="shared" si="3"/>
        <v>2016</v>
      </c>
    </row>
    <row r="228" spans="21:25" ht="16" x14ac:dyDescent="0.2">
      <c r="U228" s="12">
        <v>4359</v>
      </c>
      <c r="V228" s="13" t="s">
        <v>899</v>
      </c>
      <c r="W228" s="16" t="str">
        <f>TEXT(VLOOKUP(U228, News!A:C, 3, FALSE), "M/D/YYYY")</f>
        <v>8/23/2019</v>
      </c>
      <c r="X228" s="18">
        <f>DATE(YEAR(W228),MONTH(Metrics!$B$5), DAY(Metrics!$B$5))</f>
        <v>43709</v>
      </c>
      <c r="Y228" s="16">
        <f t="shared" si="3"/>
        <v>2019</v>
      </c>
    </row>
    <row r="229" spans="21:25" ht="16" x14ac:dyDescent="0.2">
      <c r="U229" s="12">
        <v>4460</v>
      </c>
      <c r="V229" s="13" t="s">
        <v>899</v>
      </c>
      <c r="W229" s="16" t="str">
        <f>TEXT(VLOOKUP(U229, News!A:C, 3, FALSE), "M/D/YYYY")</f>
        <v>5/8/2014</v>
      </c>
      <c r="X229" s="18">
        <f>DATE(YEAR(W229),MONTH(Metrics!$B$5), DAY(Metrics!$B$5))</f>
        <v>41883</v>
      </c>
      <c r="Y229" s="16">
        <f t="shared" si="3"/>
        <v>2014</v>
      </c>
    </row>
    <row r="230" spans="21:25" ht="16" x14ac:dyDescent="0.2">
      <c r="U230" s="12">
        <v>8226</v>
      </c>
      <c r="V230" s="13" t="s">
        <v>899</v>
      </c>
      <c r="W230" s="16" t="str">
        <f>TEXT(VLOOKUP(U230, News!A:C, 3, FALSE), "M/D/YYYY")</f>
        <v>4/20/2023</v>
      </c>
      <c r="X230" s="18">
        <f>DATE(YEAR(W230),MONTH(Metrics!$B$5), DAY(Metrics!$B$5))</f>
        <v>45170</v>
      </c>
      <c r="Y230" s="16">
        <f t="shared" si="3"/>
        <v>2023</v>
      </c>
    </row>
    <row r="231" spans="21:25" ht="16" x14ac:dyDescent="0.2">
      <c r="U231" s="12">
        <v>3978</v>
      </c>
      <c r="V231" s="13" t="s">
        <v>899</v>
      </c>
      <c r="W231" s="16" t="str">
        <f>TEXT(VLOOKUP(U231, News!A:C, 3, FALSE), "M/D/YYYY")</f>
        <v>2/28/2015</v>
      </c>
      <c r="X231" s="18">
        <f>DATE(YEAR(W231),MONTH(Metrics!$B$5), DAY(Metrics!$B$5))</f>
        <v>42248</v>
      </c>
      <c r="Y231" s="16">
        <f t="shared" si="3"/>
        <v>2015</v>
      </c>
    </row>
    <row r="232" spans="21:25" ht="16" x14ac:dyDescent="0.2">
      <c r="U232" s="12">
        <v>2551</v>
      </c>
      <c r="V232" s="13" t="s">
        <v>899</v>
      </c>
      <c r="W232" s="16" t="str">
        <f>TEXT(VLOOKUP(U232, News!A:C, 3, FALSE), "M/D/YYYY")</f>
        <v>1/1/2017</v>
      </c>
      <c r="X232" s="18">
        <f>DATE(YEAR(W232),MONTH(Metrics!$B$5), DAY(Metrics!$B$5))</f>
        <v>42979</v>
      </c>
      <c r="Y232" s="16">
        <f t="shared" si="3"/>
        <v>2017</v>
      </c>
    </row>
    <row r="233" spans="21:25" ht="16" x14ac:dyDescent="0.2">
      <c r="U233" s="12">
        <v>3947</v>
      </c>
      <c r="V233" s="13" t="s">
        <v>899</v>
      </c>
      <c r="W233" s="16" t="str">
        <f>TEXT(VLOOKUP(U233, News!A:C, 3, FALSE), "M/D/YYYY")</f>
        <v>4/10/2015</v>
      </c>
      <c r="X233" s="18">
        <f>DATE(YEAR(W233),MONTH(Metrics!$B$5), DAY(Metrics!$B$5))</f>
        <v>42248</v>
      </c>
      <c r="Y233" s="16">
        <f t="shared" si="3"/>
        <v>2015</v>
      </c>
    </row>
    <row r="234" spans="21:25" ht="16" x14ac:dyDescent="0.2">
      <c r="U234" s="12">
        <v>4242</v>
      </c>
      <c r="V234" s="13" t="s">
        <v>899</v>
      </c>
      <c r="W234" s="16" t="str">
        <f>TEXT(VLOOKUP(U234, News!A:C, 3, FALSE), "M/D/YYYY")</f>
        <v>6/21/2019</v>
      </c>
      <c r="X234" s="18">
        <f>DATE(YEAR(W234),MONTH(Metrics!$B$5), DAY(Metrics!$B$5))</f>
        <v>43709</v>
      </c>
      <c r="Y234" s="16">
        <f t="shared" si="3"/>
        <v>2019</v>
      </c>
    </row>
    <row r="235" spans="21:25" ht="16" x14ac:dyDescent="0.2">
      <c r="U235" s="12">
        <v>4912</v>
      </c>
      <c r="V235" s="13" t="s">
        <v>899</v>
      </c>
      <c r="W235" s="16" t="str">
        <f>TEXT(VLOOKUP(U235, News!A:C, 3, FALSE), "M/D/YYYY")</f>
        <v>3/24/2020</v>
      </c>
      <c r="X235" s="18">
        <f>DATE(YEAR(W235),MONTH(Metrics!$B$5), DAY(Metrics!$B$5))</f>
        <v>44075</v>
      </c>
      <c r="Y235" s="16">
        <f t="shared" si="3"/>
        <v>2020</v>
      </c>
    </row>
    <row r="236" spans="21:25" ht="16" x14ac:dyDescent="0.2">
      <c r="U236" s="12">
        <v>3622</v>
      </c>
      <c r="V236" s="13" t="s">
        <v>899</v>
      </c>
      <c r="W236" s="16" t="str">
        <f>TEXT(VLOOKUP(U236, News!A:C, 3, FALSE), "M/D/YYYY")</f>
        <v>1/1/2016</v>
      </c>
      <c r="X236" s="18">
        <f>DATE(YEAR(W236),MONTH(Metrics!$B$5), DAY(Metrics!$B$5))</f>
        <v>42614</v>
      </c>
      <c r="Y236" s="16">
        <f t="shared" si="3"/>
        <v>2016</v>
      </c>
    </row>
    <row r="237" spans="21:25" ht="16" x14ac:dyDescent="0.2">
      <c r="U237" s="12">
        <v>3329</v>
      </c>
      <c r="V237" s="13" t="s">
        <v>899</v>
      </c>
      <c r="W237" s="16" t="str">
        <f>TEXT(VLOOKUP(U237, News!A:C, 3, FALSE), "M/D/YYYY")</f>
        <v>7/13/2016</v>
      </c>
      <c r="X237" s="18">
        <f>DATE(YEAR(W237),MONTH(Metrics!$B$5), DAY(Metrics!$B$5))</f>
        <v>42614</v>
      </c>
      <c r="Y237" s="16">
        <f t="shared" si="3"/>
        <v>2016</v>
      </c>
    </row>
    <row r="238" spans="21:25" ht="16" x14ac:dyDescent="0.2">
      <c r="U238" s="12">
        <v>3426</v>
      </c>
      <c r="V238" s="13" t="s">
        <v>899</v>
      </c>
      <c r="W238" s="16" t="str">
        <f>TEXT(VLOOKUP(U238, News!A:C, 3, FALSE), "M/D/YYYY")</f>
        <v>5/20/2016</v>
      </c>
      <c r="X238" s="18">
        <f>DATE(YEAR(W238),MONTH(Metrics!$B$5), DAY(Metrics!$B$5))</f>
        <v>42614</v>
      </c>
      <c r="Y238" s="16">
        <f t="shared" si="3"/>
        <v>2016</v>
      </c>
    </row>
    <row r="239" spans="21:25" ht="16" x14ac:dyDescent="0.2">
      <c r="U239" s="12">
        <v>3332</v>
      </c>
      <c r="V239" s="13" t="s">
        <v>899</v>
      </c>
      <c r="W239" s="16" t="str">
        <f>TEXT(VLOOKUP(U239, News!A:C, 3, FALSE), "M/D/YYYY")</f>
        <v>7/12/2016</v>
      </c>
      <c r="X239" s="18">
        <f>DATE(YEAR(W239),MONTH(Metrics!$B$5), DAY(Metrics!$B$5))</f>
        <v>42614</v>
      </c>
      <c r="Y239" s="16">
        <f t="shared" si="3"/>
        <v>2016</v>
      </c>
    </row>
    <row r="240" spans="21:25" ht="16" x14ac:dyDescent="0.2">
      <c r="U240" s="12">
        <v>3311</v>
      </c>
      <c r="V240" s="13" t="s">
        <v>899</v>
      </c>
      <c r="W240" s="16" t="str">
        <f>TEXT(VLOOKUP(U240, News!A:C, 3, FALSE), "M/D/YYYY")</f>
        <v>8/27/2016</v>
      </c>
      <c r="X240" s="18">
        <f>DATE(YEAR(W240),MONTH(Metrics!$B$5), DAY(Metrics!$B$5))</f>
        <v>42614</v>
      </c>
      <c r="Y240" s="16">
        <f t="shared" si="3"/>
        <v>2016</v>
      </c>
    </row>
    <row r="241" spans="21:25" ht="16" x14ac:dyDescent="0.2">
      <c r="U241" s="12">
        <v>3838</v>
      </c>
      <c r="V241" s="13" t="s">
        <v>899</v>
      </c>
      <c r="W241" s="16" t="str">
        <f>TEXT(VLOOKUP(U241, News!A:C, 3, FALSE), "M/D/YYYY")</f>
        <v>3/25/2019</v>
      </c>
      <c r="X241" s="18">
        <f>DATE(YEAR(W241),MONTH(Metrics!$B$5), DAY(Metrics!$B$5))</f>
        <v>43709</v>
      </c>
      <c r="Y241" s="16">
        <f t="shared" si="3"/>
        <v>2019</v>
      </c>
    </row>
    <row r="242" spans="21:25" ht="16" x14ac:dyDescent="0.2">
      <c r="U242" s="12">
        <v>7881</v>
      </c>
      <c r="V242" s="13" t="s">
        <v>899</v>
      </c>
      <c r="W242" s="16" t="str">
        <f>TEXT(VLOOKUP(U242, News!A:C, 3, FALSE), "M/D/YYYY")</f>
        <v>1/10/2023</v>
      </c>
      <c r="X242" s="18">
        <f>DATE(YEAR(W242),MONTH(Metrics!$B$5), DAY(Metrics!$B$5))</f>
        <v>45170</v>
      </c>
      <c r="Y242" s="16">
        <f t="shared" si="3"/>
        <v>2023</v>
      </c>
    </row>
    <row r="243" spans="21:25" ht="16" x14ac:dyDescent="0.2">
      <c r="U243" s="12">
        <v>3278</v>
      </c>
      <c r="V243" s="13" t="s">
        <v>899</v>
      </c>
      <c r="W243" s="16" t="str">
        <f>TEXT(VLOOKUP(U243, News!A:C, 3, FALSE), "M/D/YYYY")</f>
        <v>8/31/2016</v>
      </c>
      <c r="X243" s="18">
        <f>DATE(YEAR(W243),MONTH(Metrics!$B$5), DAY(Metrics!$B$5))</f>
        <v>42614</v>
      </c>
      <c r="Y243" s="16">
        <f t="shared" si="3"/>
        <v>2016</v>
      </c>
    </row>
    <row r="244" spans="21:25" ht="16" x14ac:dyDescent="0.2">
      <c r="U244" s="12">
        <v>3059</v>
      </c>
      <c r="V244" s="13" t="s">
        <v>899</v>
      </c>
      <c r="W244" s="16" t="str">
        <f>TEXT(VLOOKUP(U244, News!A:C, 3, FALSE), "M/D/YYYY")</f>
        <v>10/14/2016</v>
      </c>
      <c r="X244" s="18">
        <f>DATE(YEAR(W244),MONTH(Metrics!$B$5), DAY(Metrics!$B$5))</f>
        <v>42614</v>
      </c>
      <c r="Y244" s="16">
        <f t="shared" si="3"/>
        <v>2017</v>
      </c>
    </row>
    <row r="245" spans="21:25" ht="16" x14ac:dyDescent="0.2">
      <c r="U245" s="12">
        <v>2437</v>
      </c>
      <c r="V245" s="13" t="s">
        <v>899</v>
      </c>
      <c r="W245" s="16" t="str">
        <f>TEXT(VLOOKUP(U245, News!A:C, 3, FALSE), "M/D/YYYY")</f>
        <v>3/15/2017</v>
      </c>
      <c r="X245" s="18">
        <f>DATE(YEAR(W245),MONTH(Metrics!$B$5), DAY(Metrics!$B$5))</f>
        <v>42979</v>
      </c>
      <c r="Y245" s="16">
        <f t="shared" si="3"/>
        <v>2017</v>
      </c>
    </row>
    <row r="246" spans="21:25" ht="16" x14ac:dyDescent="0.2">
      <c r="U246" s="12">
        <v>1309</v>
      </c>
      <c r="V246" s="13" t="s">
        <v>899</v>
      </c>
      <c r="W246" s="16" t="str">
        <f>TEXT(VLOOKUP(U246, News!A:C, 3, FALSE), "M/D/YYYY")</f>
        <v>6/10/2018</v>
      </c>
      <c r="X246" s="18">
        <f>DATE(YEAR(W246),MONTH(Metrics!$B$5), DAY(Metrics!$B$5))</f>
        <v>43344</v>
      </c>
      <c r="Y246" s="16">
        <f t="shared" si="3"/>
        <v>2018</v>
      </c>
    </row>
    <row r="247" spans="21:25" ht="16" x14ac:dyDescent="0.2">
      <c r="U247" s="12">
        <v>2341</v>
      </c>
      <c r="V247" s="13" t="s">
        <v>899</v>
      </c>
      <c r="W247" s="16" t="str">
        <f>TEXT(VLOOKUP(U247, News!A:C, 3, FALSE), "M/D/YYYY")</f>
        <v>4/28/2017</v>
      </c>
      <c r="X247" s="18">
        <f>DATE(YEAR(W247),MONTH(Metrics!$B$5), DAY(Metrics!$B$5))</f>
        <v>42979</v>
      </c>
      <c r="Y247" s="16">
        <f t="shared" si="3"/>
        <v>2017</v>
      </c>
    </row>
    <row r="248" spans="21:25" ht="16" x14ac:dyDescent="0.2">
      <c r="U248" s="12">
        <v>5641</v>
      </c>
      <c r="V248" s="13" t="s">
        <v>899</v>
      </c>
      <c r="W248" s="16" t="str">
        <f>TEXT(VLOOKUP(U248, News!A:C, 3, FALSE), "M/D/YYYY")</f>
        <v>11/16/2020</v>
      </c>
      <c r="X248" s="18">
        <f>DATE(YEAR(W248),MONTH(Metrics!$B$5), DAY(Metrics!$B$5))</f>
        <v>44075</v>
      </c>
      <c r="Y248" s="16">
        <f t="shared" si="3"/>
        <v>2021</v>
      </c>
    </row>
    <row r="249" spans="21:25" ht="16" x14ac:dyDescent="0.2">
      <c r="U249" s="12">
        <v>7155</v>
      </c>
      <c r="V249" s="13" t="s">
        <v>899</v>
      </c>
      <c r="W249" s="16" t="str">
        <f>TEXT(VLOOKUP(U249, News!A:C, 3, FALSE), "M/D/YYYY")</f>
        <v>6/7/2022</v>
      </c>
      <c r="X249" s="18">
        <f>DATE(YEAR(W249),MONTH(Metrics!$B$5), DAY(Metrics!$B$5))</f>
        <v>44805</v>
      </c>
      <c r="Y249" s="16">
        <f t="shared" si="3"/>
        <v>2022</v>
      </c>
    </row>
    <row r="250" spans="21:25" ht="16" x14ac:dyDescent="0.2">
      <c r="U250" s="12">
        <v>2338</v>
      </c>
      <c r="V250" s="13" t="s">
        <v>899</v>
      </c>
      <c r="W250" s="16" t="str">
        <f>TEXT(VLOOKUP(U250, News!A:C, 3, FALSE), "M/D/YYYY")</f>
        <v>4/30/2017</v>
      </c>
      <c r="X250" s="18">
        <f>DATE(YEAR(W250),MONTH(Metrics!$B$5), DAY(Metrics!$B$5))</f>
        <v>42979</v>
      </c>
      <c r="Y250" s="16">
        <f t="shared" si="3"/>
        <v>2017</v>
      </c>
    </row>
    <row r="251" spans="21:25" ht="16" x14ac:dyDescent="0.2">
      <c r="U251" s="12">
        <v>1391</v>
      </c>
      <c r="V251" s="13" t="s">
        <v>899</v>
      </c>
      <c r="W251" s="16" t="str">
        <f>TEXT(VLOOKUP(U251, News!A:C, 3, FALSE), "M/D/YYYY")</f>
        <v>4/10/2018</v>
      </c>
      <c r="X251" s="18">
        <f>DATE(YEAR(W251),MONTH(Metrics!$B$5), DAY(Metrics!$B$5))</f>
        <v>43344</v>
      </c>
      <c r="Y251" s="16">
        <f t="shared" si="3"/>
        <v>2018</v>
      </c>
    </row>
    <row r="252" spans="21:25" ht="16" x14ac:dyDescent="0.2">
      <c r="U252" s="12">
        <v>1626</v>
      </c>
      <c r="V252" s="13" t="s">
        <v>899</v>
      </c>
      <c r="W252" s="16" t="str">
        <f>TEXT(VLOOKUP(U252, News!A:C, 3, FALSE), "M/D/YYYY")</f>
        <v>6/1/2018</v>
      </c>
      <c r="X252" s="18">
        <f>DATE(YEAR(W252),MONTH(Metrics!$B$5), DAY(Metrics!$B$5))</f>
        <v>43344</v>
      </c>
      <c r="Y252" s="16">
        <f t="shared" si="3"/>
        <v>2018</v>
      </c>
    </row>
    <row r="253" spans="21:25" ht="16" x14ac:dyDescent="0.2">
      <c r="U253" s="12">
        <v>3254</v>
      </c>
      <c r="V253" s="13" t="s">
        <v>899</v>
      </c>
      <c r="W253" s="16" t="str">
        <f>TEXT(VLOOKUP(U253, News!A:C, 3, FALSE), "M/D/YYYY")</f>
        <v>12/18/2018</v>
      </c>
      <c r="X253" s="18">
        <f>DATE(YEAR(W253),MONTH(Metrics!$B$5), DAY(Metrics!$B$5))</f>
        <v>43344</v>
      </c>
      <c r="Y253" s="16">
        <f t="shared" si="3"/>
        <v>2019</v>
      </c>
    </row>
    <row r="254" spans="21:25" ht="16" x14ac:dyDescent="0.2">
      <c r="U254" s="12">
        <v>4881</v>
      </c>
      <c r="V254" s="13" t="s">
        <v>899</v>
      </c>
      <c r="W254" s="16" t="str">
        <f>TEXT(VLOOKUP(U254, News!A:C, 3, FALSE), "M/D/YYYY")</f>
        <v>4/9/2020</v>
      </c>
      <c r="X254" s="18">
        <f>DATE(YEAR(W254),MONTH(Metrics!$B$5), DAY(Metrics!$B$5))</f>
        <v>44075</v>
      </c>
      <c r="Y254" s="16">
        <f t="shared" si="3"/>
        <v>2020</v>
      </c>
    </row>
    <row r="255" spans="21:25" ht="16" x14ac:dyDescent="0.2">
      <c r="U255" s="12">
        <v>3507</v>
      </c>
      <c r="V255" s="13" t="s">
        <v>899</v>
      </c>
      <c r="W255" s="16" t="str">
        <f>TEXT(VLOOKUP(U255, News!A:C, 3, FALSE), "M/D/YYYY")</f>
        <v>2/7/2019</v>
      </c>
      <c r="X255" s="18">
        <f>DATE(YEAR(W255),MONTH(Metrics!$B$5), DAY(Metrics!$B$5))</f>
        <v>43709</v>
      </c>
      <c r="Y255" s="16">
        <f t="shared" si="3"/>
        <v>2019</v>
      </c>
    </row>
    <row r="256" spans="21:25" ht="16" x14ac:dyDescent="0.2">
      <c r="U256" s="12">
        <v>3823</v>
      </c>
      <c r="V256" s="13" t="s">
        <v>899</v>
      </c>
      <c r="W256" s="16" t="str">
        <f>TEXT(VLOOKUP(U256, News!A:C, 3, FALSE), "M/D/YYYY")</f>
        <v>3/13/2019</v>
      </c>
      <c r="X256" s="18">
        <f>DATE(YEAR(W256),MONTH(Metrics!$B$5), DAY(Metrics!$B$5))</f>
        <v>43709</v>
      </c>
      <c r="Y256" s="16">
        <f t="shared" si="3"/>
        <v>2019</v>
      </c>
    </row>
    <row r="257" spans="21:25" ht="16" x14ac:dyDescent="0.2">
      <c r="U257" s="12">
        <v>3859</v>
      </c>
      <c r="V257" s="13" t="s">
        <v>899</v>
      </c>
      <c r="W257" s="16" t="str">
        <f>TEXT(VLOOKUP(U257, News!A:C, 3, FALSE), "M/D/YYYY")</f>
        <v>3/29/2019</v>
      </c>
      <c r="X257" s="18">
        <f>DATE(YEAR(W257),MONTH(Metrics!$B$5), DAY(Metrics!$B$5))</f>
        <v>43709</v>
      </c>
      <c r="Y257" s="16">
        <f t="shared" si="3"/>
        <v>2019</v>
      </c>
    </row>
    <row r="258" spans="21:25" ht="16" x14ac:dyDescent="0.2">
      <c r="U258" s="12">
        <v>4769</v>
      </c>
      <c r="V258" s="13" t="s">
        <v>899</v>
      </c>
      <c r="W258" s="16" t="str">
        <f>TEXT(VLOOKUP(U258, News!A:C, 3, FALSE), "M/D/YYYY")</f>
        <v>1/22/2020</v>
      </c>
      <c r="X258" s="18">
        <f>DATE(YEAR(W258),MONTH(Metrics!$B$5), DAY(Metrics!$B$5))</f>
        <v>44075</v>
      </c>
      <c r="Y258" s="16">
        <f t="shared" si="3"/>
        <v>2020</v>
      </c>
    </row>
    <row r="259" spans="21:25" ht="16" x14ac:dyDescent="0.2">
      <c r="U259" s="12">
        <v>4863</v>
      </c>
      <c r="V259" s="13" t="s">
        <v>899</v>
      </c>
      <c r="W259" s="16" t="str">
        <f>TEXT(VLOOKUP(U259, News!A:C, 3, FALSE), "M/D/YYYY")</f>
        <v>2/6/2020</v>
      </c>
      <c r="X259" s="18">
        <f>DATE(YEAR(W259),MONTH(Metrics!$B$5), DAY(Metrics!$B$5))</f>
        <v>44075</v>
      </c>
      <c r="Y259" s="16">
        <f t="shared" ref="Y259:Y322" si="4">IF(MONTH(W259) &gt;= MONTH(X259), YEAR(W259)+1, YEAR(W259))</f>
        <v>2020</v>
      </c>
    </row>
    <row r="260" spans="21:25" ht="16" x14ac:dyDescent="0.2">
      <c r="U260" s="12">
        <v>4829</v>
      </c>
      <c r="V260" s="13" t="s">
        <v>899</v>
      </c>
      <c r="W260" s="16" t="str">
        <f>TEXT(VLOOKUP(U260, News!A:C, 3, FALSE), "M/D/YYYY")</f>
        <v>2/18/2020</v>
      </c>
      <c r="X260" s="18">
        <f>DATE(YEAR(W260),MONTH(Metrics!$B$5), DAY(Metrics!$B$5))</f>
        <v>44075</v>
      </c>
      <c r="Y260" s="16">
        <f t="shared" si="4"/>
        <v>2020</v>
      </c>
    </row>
    <row r="261" spans="21:25" ht="16" x14ac:dyDescent="0.2">
      <c r="U261" s="12">
        <v>4493</v>
      </c>
      <c r="V261" s="13" t="s">
        <v>899</v>
      </c>
      <c r="W261" s="16" t="str">
        <f>TEXT(VLOOKUP(U261, News!A:C, 3, FALSE), "M/D/YYYY")</f>
        <v>10/10/2019</v>
      </c>
      <c r="X261" s="18">
        <f>DATE(YEAR(W261),MONTH(Metrics!$B$5), DAY(Metrics!$B$5))</f>
        <v>43709</v>
      </c>
      <c r="Y261" s="16">
        <f t="shared" si="4"/>
        <v>2020</v>
      </c>
    </row>
    <row r="262" spans="21:25" ht="16" x14ac:dyDescent="0.2">
      <c r="U262" s="12">
        <v>4579</v>
      </c>
      <c r="V262" s="13" t="s">
        <v>899</v>
      </c>
      <c r="W262" s="16" t="str">
        <f>TEXT(VLOOKUP(U262, News!A:C, 3, FALSE), "M/D/YYYY")</f>
        <v>9/30/2019</v>
      </c>
      <c r="X262" s="18">
        <f>DATE(YEAR(W262),MONTH(Metrics!$B$5), DAY(Metrics!$B$5))</f>
        <v>43709</v>
      </c>
      <c r="Y262" s="16">
        <f t="shared" si="4"/>
        <v>2020</v>
      </c>
    </row>
    <row r="263" spans="21:25" ht="16" x14ac:dyDescent="0.2">
      <c r="U263" s="12">
        <v>7610</v>
      </c>
      <c r="V263" s="13" t="s">
        <v>899</v>
      </c>
      <c r="W263" s="16" t="str">
        <f>TEXT(VLOOKUP(U263, News!A:C, 3, FALSE), "M/D/YYYY")</f>
        <v>10/12/2022</v>
      </c>
      <c r="X263" s="18">
        <f>DATE(YEAR(W263),MONTH(Metrics!$B$5), DAY(Metrics!$B$5))</f>
        <v>44805</v>
      </c>
      <c r="Y263" s="16">
        <f t="shared" si="4"/>
        <v>2023</v>
      </c>
    </row>
    <row r="264" spans="21:25" ht="16" x14ac:dyDescent="0.2">
      <c r="U264" s="12">
        <v>8223</v>
      </c>
      <c r="V264" s="13" t="s">
        <v>899</v>
      </c>
      <c r="W264" s="16" t="str">
        <f>TEXT(VLOOKUP(U264, News!A:C, 3, FALSE), "M/D/YYYY")</f>
        <v>4/20/2023</v>
      </c>
      <c r="X264" s="18">
        <f>DATE(YEAR(W264),MONTH(Metrics!$B$5), DAY(Metrics!$B$5))</f>
        <v>45170</v>
      </c>
      <c r="Y264" s="16">
        <f t="shared" si="4"/>
        <v>2023</v>
      </c>
    </row>
    <row r="265" spans="21:25" ht="16" x14ac:dyDescent="0.2">
      <c r="U265" s="12">
        <v>6078</v>
      </c>
      <c r="V265" s="13" t="s">
        <v>899</v>
      </c>
      <c r="W265" s="16" t="str">
        <f>TEXT(VLOOKUP(U265, News!A:C, 3, FALSE), "M/D/YYYY")</f>
        <v>5/17/2021</v>
      </c>
      <c r="X265" s="18">
        <f>DATE(YEAR(W265),MONTH(Metrics!$B$5), DAY(Metrics!$B$5))</f>
        <v>44440</v>
      </c>
      <c r="Y265" s="16">
        <f t="shared" si="4"/>
        <v>2021</v>
      </c>
    </row>
    <row r="266" spans="21:25" ht="16" x14ac:dyDescent="0.2">
      <c r="U266" s="12">
        <v>6267</v>
      </c>
      <c r="V266" s="13" t="s">
        <v>899</v>
      </c>
      <c r="W266" s="16" t="str">
        <f>TEXT(VLOOKUP(U266, News!A:C, 3, FALSE), "M/D/YYYY")</f>
        <v>8/17/2021</v>
      </c>
      <c r="X266" s="18">
        <f>DATE(YEAR(W266),MONTH(Metrics!$B$5), DAY(Metrics!$B$5))</f>
        <v>44440</v>
      </c>
      <c r="Y266" s="16">
        <f t="shared" si="4"/>
        <v>2021</v>
      </c>
    </row>
    <row r="267" spans="21:25" ht="16" x14ac:dyDescent="0.2">
      <c r="U267" s="12">
        <v>6264</v>
      </c>
      <c r="V267" s="13" t="s">
        <v>899</v>
      </c>
      <c r="W267" s="16" t="str">
        <f>TEXT(VLOOKUP(U267, News!A:C, 3, FALSE), "M/D/YYYY")</f>
        <v>8/16/2021</v>
      </c>
      <c r="X267" s="18">
        <f>DATE(YEAR(W267),MONTH(Metrics!$B$5), DAY(Metrics!$B$5))</f>
        <v>44440</v>
      </c>
      <c r="Y267" s="16">
        <f t="shared" si="4"/>
        <v>2021</v>
      </c>
    </row>
    <row r="268" spans="21:25" ht="16" x14ac:dyDescent="0.2">
      <c r="U268" s="12">
        <v>6919</v>
      </c>
      <c r="V268" s="13" t="s">
        <v>899</v>
      </c>
      <c r="W268" s="16" t="str">
        <f>TEXT(VLOOKUP(U268, News!A:C, 3, FALSE), "M/D/YYYY")</f>
        <v>2/23/2022</v>
      </c>
      <c r="X268" s="18">
        <f>DATE(YEAR(W268),MONTH(Metrics!$B$5), DAY(Metrics!$B$5))</f>
        <v>44805</v>
      </c>
      <c r="Y268" s="16">
        <f t="shared" si="4"/>
        <v>2022</v>
      </c>
    </row>
    <row r="269" spans="21:25" ht="16" x14ac:dyDescent="0.2">
      <c r="U269" s="12">
        <v>8125</v>
      </c>
      <c r="V269" s="13" t="s">
        <v>899</v>
      </c>
      <c r="W269" s="16" t="str">
        <f>TEXT(VLOOKUP(U269, News!A:C, 3, FALSE), "M/D/YYYY")</f>
        <v>3/28/2023</v>
      </c>
      <c r="X269" s="18">
        <f>DATE(YEAR(W269),MONTH(Metrics!$B$5), DAY(Metrics!$B$5))</f>
        <v>45170</v>
      </c>
      <c r="Y269" s="16">
        <f t="shared" si="4"/>
        <v>2023</v>
      </c>
    </row>
    <row r="270" spans="21:25" ht="16" x14ac:dyDescent="0.2">
      <c r="U270" s="12">
        <v>1613</v>
      </c>
      <c r="V270" s="13" t="s">
        <v>297</v>
      </c>
      <c r="W270" s="16" t="str">
        <f>TEXT(VLOOKUP(U270, News!A:C, 3, FALSE), "M/D/YYYY")</f>
        <v>8/6/2018</v>
      </c>
      <c r="X270" s="18">
        <f>DATE(YEAR(W270),MONTH(Metrics!$B$5), DAY(Metrics!$B$5))</f>
        <v>43344</v>
      </c>
      <c r="Y270" s="16">
        <f t="shared" si="4"/>
        <v>2018</v>
      </c>
    </row>
    <row r="271" spans="21:25" ht="16" x14ac:dyDescent="0.2">
      <c r="U271" s="12">
        <v>2439</v>
      </c>
      <c r="V271" s="13" t="s">
        <v>297</v>
      </c>
      <c r="W271" s="16" t="str">
        <f>TEXT(VLOOKUP(U271, News!A:C, 3, FALSE), "M/D/YYYY")</f>
        <v>3/13/2017</v>
      </c>
      <c r="X271" s="18">
        <f>DATE(YEAR(W271),MONTH(Metrics!$B$5), DAY(Metrics!$B$5))</f>
        <v>42979</v>
      </c>
      <c r="Y271" s="16">
        <f t="shared" si="4"/>
        <v>2017</v>
      </c>
    </row>
    <row r="272" spans="21:25" ht="16" x14ac:dyDescent="0.2">
      <c r="U272" s="12">
        <v>3308</v>
      </c>
      <c r="V272" s="13" t="s">
        <v>297</v>
      </c>
      <c r="W272" s="16" t="str">
        <f>TEXT(VLOOKUP(U272, News!A:C, 3, FALSE), "M/D/YYYY")</f>
        <v>8/28/2016</v>
      </c>
      <c r="X272" s="18">
        <f>DATE(YEAR(W272),MONTH(Metrics!$B$5), DAY(Metrics!$B$5))</f>
        <v>42614</v>
      </c>
      <c r="Y272" s="16">
        <f t="shared" si="4"/>
        <v>2016</v>
      </c>
    </row>
    <row r="273" spans="21:25" ht="16" x14ac:dyDescent="0.2">
      <c r="U273" s="12">
        <v>3784</v>
      </c>
      <c r="V273" s="13" t="s">
        <v>297</v>
      </c>
      <c r="W273" s="16" t="str">
        <f>TEXT(VLOOKUP(U273, News!A:C, 3, FALSE), "M/D/YYYY")</f>
        <v>8/31/2015</v>
      </c>
      <c r="X273" s="18">
        <f>DATE(YEAR(W273),MONTH(Metrics!$B$5), DAY(Metrics!$B$5))</f>
        <v>42248</v>
      </c>
      <c r="Y273" s="16">
        <f t="shared" si="4"/>
        <v>2015</v>
      </c>
    </row>
    <row r="274" spans="21:25" ht="16" x14ac:dyDescent="0.2">
      <c r="U274" s="12">
        <v>3976</v>
      </c>
      <c r="V274" s="13" t="s">
        <v>297</v>
      </c>
      <c r="W274" s="16" t="str">
        <f>TEXT(VLOOKUP(U274, News!A:C, 3, FALSE), "M/D/YYYY")</f>
        <v>3/1/2015</v>
      </c>
      <c r="X274" s="18">
        <f>DATE(YEAR(W274),MONTH(Metrics!$B$5), DAY(Metrics!$B$5))</f>
        <v>42248</v>
      </c>
      <c r="Y274" s="16">
        <f t="shared" si="4"/>
        <v>2015</v>
      </c>
    </row>
    <row r="275" spans="21:25" ht="16" x14ac:dyDescent="0.2">
      <c r="U275" s="12">
        <v>4406</v>
      </c>
      <c r="V275" s="13" t="s">
        <v>297</v>
      </c>
      <c r="W275" s="16" t="str">
        <f>TEXT(VLOOKUP(U275, News!A:C, 3, FALSE), "M/D/YYYY")</f>
        <v>6/1/2019</v>
      </c>
      <c r="X275" s="18">
        <f>DATE(YEAR(W275),MONTH(Metrics!$B$5), DAY(Metrics!$B$5))</f>
        <v>43709</v>
      </c>
      <c r="Y275" s="16">
        <f t="shared" si="4"/>
        <v>2019</v>
      </c>
    </row>
    <row r="276" spans="21:25" ht="16" x14ac:dyDescent="0.2">
      <c r="U276" s="12">
        <v>5535</v>
      </c>
      <c r="V276" s="13" t="s">
        <v>297</v>
      </c>
      <c r="W276" s="16" t="str">
        <f>TEXT(VLOOKUP(U276, News!A:C, 3, FALSE), "M/D/YYYY")</f>
        <v>10/30/2020</v>
      </c>
      <c r="X276" s="18">
        <f>DATE(YEAR(W276),MONTH(Metrics!$B$5), DAY(Metrics!$B$5))</f>
        <v>44075</v>
      </c>
      <c r="Y276" s="16">
        <f t="shared" si="4"/>
        <v>2021</v>
      </c>
    </row>
    <row r="277" spans="21:25" ht="16" x14ac:dyDescent="0.2">
      <c r="U277" s="12">
        <v>1294</v>
      </c>
      <c r="V277" s="13" t="s">
        <v>297</v>
      </c>
      <c r="W277" s="16" t="str">
        <f>TEXT(VLOOKUP(U277, News!A:C, 3, FALSE), "M/D/YYYY")</f>
        <v>8/13/2018</v>
      </c>
      <c r="X277" s="18">
        <f>DATE(YEAR(W277),MONTH(Metrics!$B$5), DAY(Metrics!$B$5))</f>
        <v>43344</v>
      </c>
      <c r="Y277" s="16">
        <f t="shared" si="4"/>
        <v>2018</v>
      </c>
    </row>
    <row r="278" spans="21:25" ht="16" x14ac:dyDescent="0.2">
      <c r="U278" s="12">
        <v>1360</v>
      </c>
      <c r="V278" s="13" t="s">
        <v>297</v>
      </c>
      <c r="W278" s="16" t="str">
        <f>TEXT(VLOOKUP(U278, News!A:C, 3, FALSE), "M/D/YYYY")</f>
        <v>5/2/2018</v>
      </c>
      <c r="X278" s="18">
        <f>DATE(YEAR(W278),MONTH(Metrics!$B$5), DAY(Metrics!$B$5))</f>
        <v>43344</v>
      </c>
      <c r="Y278" s="16">
        <f t="shared" si="4"/>
        <v>2018</v>
      </c>
    </row>
    <row r="279" spans="21:25" ht="16" x14ac:dyDescent="0.2">
      <c r="U279" s="12">
        <v>1377</v>
      </c>
      <c r="V279" s="13" t="s">
        <v>297</v>
      </c>
      <c r="W279" s="16" t="str">
        <f>TEXT(VLOOKUP(U279, News!A:C, 3, FALSE), "M/D/YYYY")</f>
        <v>10/21/2017</v>
      </c>
      <c r="X279" s="18">
        <f>DATE(YEAR(W279),MONTH(Metrics!$B$5), DAY(Metrics!$B$5))</f>
        <v>42979</v>
      </c>
      <c r="Y279" s="16">
        <f t="shared" si="4"/>
        <v>2018</v>
      </c>
    </row>
    <row r="280" spans="21:25" ht="16" x14ac:dyDescent="0.2">
      <c r="U280" s="12">
        <v>3000</v>
      </c>
      <c r="V280" s="13" t="s">
        <v>297</v>
      </c>
      <c r="W280" s="16" t="str">
        <f>TEXT(VLOOKUP(U280, News!A:C, 3, FALSE), "M/D/YYYY")</f>
        <v>11/27/2016</v>
      </c>
      <c r="X280" s="18">
        <f>DATE(YEAR(W280),MONTH(Metrics!$B$5), DAY(Metrics!$B$5))</f>
        <v>42614</v>
      </c>
      <c r="Y280" s="16">
        <f t="shared" si="4"/>
        <v>2017</v>
      </c>
    </row>
    <row r="281" spans="21:25" ht="16" x14ac:dyDescent="0.2">
      <c r="U281" s="12">
        <v>3063</v>
      </c>
      <c r="V281" s="13" t="s">
        <v>297</v>
      </c>
      <c r="W281" s="16" t="str">
        <f>TEXT(VLOOKUP(U281, News!A:C, 3, FALSE), "M/D/YYYY")</f>
        <v>10/1/2016</v>
      </c>
      <c r="X281" s="18">
        <f>DATE(YEAR(W281),MONTH(Metrics!$B$5), DAY(Metrics!$B$5))</f>
        <v>42614</v>
      </c>
      <c r="Y281" s="16">
        <f t="shared" si="4"/>
        <v>2017</v>
      </c>
    </row>
    <row r="282" spans="21:25" ht="16" x14ac:dyDescent="0.2">
      <c r="U282" s="12">
        <v>3897</v>
      </c>
      <c r="V282" s="13" t="s">
        <v>297</v>
      </c>
      <c r="W282" s="16" t="str">
        <f>TEXT(VLOOKUP(U282, News!A:C, 3, FALSE), "M/D/YYYY")</f>
        <v>5/31/2015</v>
      </c>
      <c r="X282" s="18">
        <f>DATE(YEAR(W282),MONTH(Metrics!$B$5), DAY(Metrics!$B$5))</f>
        <v>42248</v>
      </c>
      <c r="Y282" s="16">
        <f t="shared" si="4"/>
        <v>2015</v>
      </c>
    </row>
    <row r="283" spans="21:25" ht="16" x14ac:dyDescent="0.2">
      <c r="U283" s="12">
        <v>3949</v>
      </c>
      <c r="V283" s="13" t="s">
        <v>297</v>
      </c>
      <c r="W283" s="16" t="str">
        <f>TEXT(VLOOKUP(U283, News!A:C, 3, FALSE), "M/D/YYYY")</f>
        <v>4/18/2019</v>
      </c>
      <c r="X283" s="18">
        <f>DATE(YEAR(W283),MONTH(Metrics!$B$5), DAY(Metrics!$B$5))</f>
        <v>43709</v>
      </c>
      <c r="Y283" s="16">
        <f t="shared" si="4"/>
        <v>2019</v>
      </c>
    </row>
    <row r="284" spans="21:25" ht="16" x14ac:dyDescent="0.2">
      <c r="U284" s="12">
        <v>4254</v>
      </c>
      <c r="V284" s="13" t="s">
        <v>297</v>
      </c>
      <c r="W284" s="16" t="str">
        <f>TEXT(VLOOKUP(U284, News!A:C, 3, FALSE), "M/D/YYYY")</f>
        <v>6/21/2019</v>
      </c>
      <c r="X284" s="18">
        <f>DATE(YEAR(W284),MONTH(Metrics!$B$5), DAY(Metrics!$B$5))</f>
        <v>43709</v>
      </c>
      <c r="Y284" s="16">
        <f t="shared" si="4"/>
        <v>2019</v>
      </c>
    </row>
    <row r="285" spans="21:25" ht="16" x14ac:dyDescent="0.2">
      <c r="U285" s="12">
        <v>4577</v>
      </c>
      <c r="V285" s="13" t="s">
        <v>297</v>
      </c>
      <c r="W285" s="16" t="str">
        <f>TEXT(VLOOKUP(U285, News!A:C, 3, FALSE), "M/D/YYYY")</f>
        <v>4/15/2019</v>
      </c>
      <c r="X285" s="18">
        <f>DATE(YEAR(W285),MONTH(Metrics!$B$5), DAY(Metrics!$B$5))</f>
        <v>43709</v>
      </c>
      <c r="Y285" s="16">
        <f t="shared" si="4"/>
        <v>2019</v>
      </c>
    </row>
    <row r="286" spans="21:25" ht="16" x14ac:dyDescent="0.2">
      <c r="U286" s="12">
        <v>4934</v>
      </c>
      <c r="V286" s="13" t="s">
        <v>297</v>
      </c>
      <c r="W286" s="16" t="str">
        <f>TEXT(VLOOKUP(U286, News!A:C, 3, FALSE), "M/D/YYYY")</f>
        <v>5/27/2020</v>
      </c>
      <c r="X286" s="18">
        <f>DATE(YEAR(W286),MONTH(Metrics!$B$5), DAY(Metrics!$B$5))</f>
        <v>44075</v>
      </c>
      <c r="Y286" s="16">
        <f t="shared" si="4"/>
        <v>2020</v>
      </c>
    </row>
    <row r="287" spans="21:25" ht="16" x14ac:dyDescent="0.2">
      <c r="U287" s="12">
        <v>5025</v>
      </c>
      <c r="V287" s="13" t="s">
        <v>297</v>
      </c>
      <c r="W287" s="16" t="str">
        <f>TEXT(VLOOKUP(U287, News!A:C, 3, FALSE), "M/D/YYYY")</f>
        <v>8/6/2020</v>
      </c>
      <c r="X287" s="18">
        <f>DATE(YEAR(W287),MONTH(Metrics!$B$5), DAY(Metrics!$B$5))</f>
        <v>44075</v>
      </c>
      <c r="Y287" s="16">
        <f t="shared" si="4"/>
        <v>2020</v>
      </c>
    </row>
    <row r="288" spans="21:25" ht="16" x14ac:dyDescent="0.2">
      <c r="U288" s="12">
        <v>5958</v>
      </c>
      <c r="V288" s="13" t="s">
        <v>297</v>
      </c>
      <c r="W288" s="16" t="str">
        <f>TEXT(VLOOKUP(U288, News!A:C, 3, FALSE), "M/D/YYYY")</f>
        <v>4/19/2021</v>
      </c>
      <c r="X288" s="18">
        <f>DATE(YEAR(W288),MONTH(Metrics!$B$5), DAY(Metrics!$B$5))</f>
        <v>44440</v>
      </c>
      <c r="Y288" s="16">
        <f t="shared" si="4"/>
        <v>2021</v>
      </c>
    </row>
    <row r="289" spans="21:25" ht="16" x14ac:dyDescent="0.2">
      <c r="U289" s="12">
        <v>6871</v>
      </c>
      <c r="V289" s="13" t="s">
        <v>297</v>
      </c>
      <c r="W289" s="16" t="str">
        <f>TEXT(VLOOKUP(U289, News!A:C, 3, FALSE), "M/D/YYYY")</f>
        <v>2/9/2022</v>
      </c>
      <c r="X289" s="18">
        <f>DATE(YEAR(W289),MONTH(Metrics!$B$5), DAY(Metrics!$B$5))</f>
        <v>44805</v>
      </c>
      <c r="Y289" s="16">
        <f t="shared" si="4"/>
        <v>2022</v>
      </c>
    </row>
    <row r="290" spans="21:25" ht="16" x14ac:dyDescent="0.2">
      <c r="U290" s="12">
        <v>7914</v>
      </c>
      <c r="V290" s="13" t="s">
        <v>297</v>
      </c>
      <c r="W290" s="16" t="str">
        <f>TEXT(VLOOKUP(U290, News!A:C, 3, FALSE), "M/D/YYYY")</f>
        <v>1/13/2023</v>
      </c>
      <c r="X290" s="18">
        <f>DATE(YEAR(W290),MONTH(Metrics!$B$5), DAY(Metrics!$B$5))</f>
        <v>45170</v>
      </c>
      <c r="Y290" s="16">
        <f t="shared" si="4"/>
        <v>2023</v>
      </c>
    </row>
    <row r="291" spans="21:25" ht="16" x14ac:dyDescent="0.2">
      <c r="U291" s="12">
        <v>3003</v>
      </c>
      <c r="V291" s="13" t="s">
        <v>297</v>
      </c>
      <c r="W291" s="16" t="str">
        <f>TEXT(VLOOKUP(U291, News!A:C, 3, FALSE), "M/D/YYYY")</f>
        <v>11/1/2016</v>
      </c>
      <c r="X291" s="18">
        <f>DATE(YEAR(W291),MONTH(Metrics!$B$5), DAY(Metrics!$B$5))</f>
        <v>42614</v>
      </c>
      <c r="Y291" s="16">
        <f t="shared" si="4"/>
        <v>2017</v>
      </c>
    </row>
    <row r="292" spans="21:25" ht="16" x14ac:dyDescent="0.2">
      <c r="U292" s="12">
        <v>3537</v>
      </c>
      <c r="V292" s="13" t="s">
        <v>297</v>
      </c>
      <c r="W292" s="16" t="str">
        <f>TEXT(VLOOKUP(U292, News!A:C, 3, FALSE), "M/D/YYYY")</f>
        <v>4/25/2016</v>
      </c>
      <c r="X292" s="18">
        <f>DATE(YEAR(W292),MONTH(Metrics!$B$5), DAY(Metrics!$B$5))</f>
        <v>42614</v>
      </c>
      <c r="Y292" s="16">
        <f t="shared" si="4"/>
        <v>2016</v>
      </c>
    </row>
    <row r="293" spans="21:25" ht="16" x14ac:dyDescent="0.2">
      <c r="U293" s="12">
        <v>4069</v>
      </c>
      <c r="V293" s="13" t="s">
        <v>297</v>
      </c>
      <c r="W293" s="16" t="str">
        <f>TEXT(VLOOKUP(U293, News!A:C, 3, FALSE), "M/D/YYYY")</f>
        <v>10/20/2014</v>
      </c>
      <c r="X293" s="18">
        <f>DATE(YEAR(W293),MONTH(Metrics!$B$5), DAY(Metrics!$B$5))</f>
        <v>41883</v>
      </c>
      <c r="Y293" s="16">
        <f t="shared" si="4"/>
        <v>2015</v>
      </c>
    </row>
    <row r="294" spans="21:25" ht="16" x14ac:dyDescent="0.2">
      <c r="U294" s="12">
        <v>1445</v>
      </c>
      <c r="V294" s="13" t="s">
        <v>297</v>
      </c>
      <c r="W294" s="16" t="str">
        <f>TEXT(VLOOKUP(U294, News!A:C, 3, FALSE), "M/D/YYYY")</f>
        <v>1/31/2018</v>
      </c>
      <c r="X294" s="18">
        <f>DATE(YEAR(W294),MONTH(Metrics!$B$5), DAY(Metrics!$B$5))</f>
        <v>43344</v>
      </c>
      <c r="Y294" s="16">
        <f t="shared" si="4"/>
        <v>2018</v>
      </c>
    </row>
    <row r="295" spans="21:25" ht="16" x14ac:dyDescent="0.2">
      <c r="U295" s="12">
        <v>4048</v>
      </c>
      <c r="V295" s="13" t="s">
        <v>297</v>
      </c>
      <c r="W295" s="16" t="str">
        <f>TEXT(VLOOKUP(U295, News!A:C, 3, FALSE), "M/D/YYYY")</f>
        <v>11/2/2014</v>
      </c>
      <c r="X295" s="18">
        <f>DATE(YEAR(W295),MONTH(Metrics!$B$5), DAY(Metrics!$B$5))</f>
        <v>41883</v>
      </c>
      <c r="Y295" s="16">
        <f t="shared" si="4"/>
        <v>2015</v>
      </c>
    </row>
    <row r="296" spans="21:25" ht="16" x14ac:dyDescent="0.2">
      <c r="U296" s="12">
        <v>2015</v>
      </c>
      <c r="V296" s="13" t="s">
        <v>297</v>
      </c>
      <c r="W296" s="16" t="str">
        <f>TEXT(VLOOKUP(U296, News!A:C, 3, FALSE), "M/D/YYYY")</f>
        <v>8/18/2017</v>
      </c>
      <c r="X296" s="18">
        <f>DATE(YEAR(W296),MONTH(Metrics!$B$5), DAY(Metrics!$B$5))</f>
        <v>42979</v>
      </c>
      <c r="Y296" s="16">
        <f t="shared" si="4"/>
        <v>2017</v>
      </c>
    </row>
    <row r="297" spans="21:25" ht="16" x14ac:dyDescent="0.2">
      <c r="U297" s="12">
        <v>4204</v>
      </c>
      <c r="V297" s="13" t="s">
        <v>297</v>
      </c>
      <c r="W297" s="16" t="str">
        <f>TEXT(VLOOKUP(U297, News!A:C, 3, FALSE), "M/D/YYYY")</f>
        <v>6/3/2014</v>
      </c>
      <c r="X297" s="18">
        <f>DATE(YEAR(W297),MONTH(Metrics!$B$5), DAY(Metrics!$B$5))</f>
        <v>41883</v>
      </c>
      <c r="Y297" s="16">
        <f t="shared" si="4"/>
        <v>2014</v>
      </c>
    </row>
    <row r="298" spans="21:25" ht="16" x14ac:dyDescent="0.2">
      <c r="U298" s="12">
        <v>2525</v>
      </c>
      <c r="V298" s="13" t="s">
        <v>297</v>
      </c>
      <c r="W298" s="16" t="str">
        <f>TEXT(VLOOKUP(U298, News!A:C, 3, FALSE), "M/D/YYYY")</f>
        <v>1/28/2017</v>
      </c>
      <c r="X298" s="18">
        <f>DATE(YEAR(W298),MONTH(Metrics!$B$5), DAY(Metrics!$B$5))</f>
        <v>42979</v>
      </c>
      <c r="Y298" s="16">
        <f t="shared" si="4"/>
        <v>2017</v>
      </c>
    </row>
    <row r="299" spans="21:25" ht="16" x14ac:dyDescent="0.2">
      <c r="U299" s="12">
        <v>3005</v>
      </c>
      <c r="V299" s="13" t="s">
        <v>297</v>
      </c>
      <c r="W299" s="16" t="str">
        <f>TEXT(VLOOKUP(U299, News!A:C, 3, FALSE), "M/D/YYYY")</f>
        <v>10/31/2016</v>
      </c>
      <c r="X299" s="18">
        <f>DATE(YEAR(W299),MONTH(Metrics!$B$5), DAY(Metrics!$B$5))</f>
        <v>42614</v>
      </c>
      <c r="Y299" s="16">
        <f t="shared" si="4"/>
        <v>2017</v>
      </c>
    </row>
    <row r="300" spans="21:25" ht="16" x14ac:dyDescent="0.2">
      <c r="U300" s="12">
        <v>3317</v>
      </c>
      <c r="V300" s="13" t="s">
        <v>297</v>
      </c>
      <c r="W300" s="16" t="str">
        <f>TEXT(VLOOKUP(U300, News!A:C, 3, FALSE), "M/D/YYYY")</f>
        <v>7/14/2016</v>
      </c>
      <c r="X300" s="18">
        <f>DATE(YEAR(W300),MONTH(Metrics!$B$5), DAY(Metrics!$B$5))</f>
        <v>42614</v>
      </c>
      <c r="Y300" s="16">
        <f t="shared" si="4"/>
        <v>2016</v>
      </c>
    </row>
    <row r="301" spans="21:25" ht="16" x14ac:dyDescent="0.2">
      <c r="U301" s="12">
        <v>4132</v>
      </c>
      <c r="V301" s="13" t="s">
        <v>297</v>
      </c>
      <c r="W301" s="16" t="str">
        <f>TEXT(VLOOKUP(U301, News!A:C, 3, FALSE), "M/D/YYYY")</f>
        <v>7/6/2014</v>
      </c>
      <c r="X301" s="18">
        <f>DATE(YEAR(W301),MONTH(Metrics!$B$5), DAY(Metrics!$B$5))</f>
        <v>41883</v>
      </c>
      <c r="Y301" s="16">
        <f t="shared" si="4"/>
        <v>2014</v>
      </c>
    </row>
    <row r="302" spans="21:25" ht="16" x14ac:dyDescent="0.2">
      <c r="U302" s="12">
        <v>3620</v>
      </c>
      <c r="V302" s="13" t="s">
        <v>297</v>
      </c>
      <c r="W302" s="16" t="str">
        <f>TEXT(VLOOKUP(U302, News!A:C, 3, FALSE), "M/D/YYYY")</f>
        <v>1/5/2016</v>
      </c>
      <c r="X302" s="18">
        <f>DATE(YEAR(W302),MONTH(Metrics!$B$5), DAY(Metrics!$B$5))</f>
        <v>42614</v>
      </c>
      <c r="Y302" s="16">
        <f t="shared" si="4"/>
        <v>2016</v>
      </c>
    </row>
    <row r="303" spans="21:25" ht="16" x14ac:dyDescent="0.2">
      <c r="U303" s="12">
        <v>4154</v>
      </c>
      <c r="V303" s="13" t="s">
        <v>297</v>
      </c>
      <c r="W303" s="16" t="str">
        <f>TEXT(VLOOKUP(U303, News!A:C, 3, FALSE), "M/D/YYYY")</f>
        <v>6/1/2014</v>
      </c>
      <c r="X303" s="18">
        <f>DATE(YEAR(W303),MONTH(Metrics!$B$5), DAY(Metrics!$B$5))</f>
        <v>41883</v>
      </c>
      <c r="Y303" s="16">
        <f t="shared" si="4"/>
        <v>2014</v>
      </c>
    </row>
    <row r="304" spans="21:25" ht="16" x14ac:dyDescent="0.2">
      <c r="U304" s="12">
        <v>6999</v>
      </c>
      <c r="V304" s="13" t="s">
        <v>297</v>
      </c>
      <c r="W304" s="16" t="str">
        <f>TEXT(VLOOKUP(U304, News!A:C, 3, FALSE), "M/D/YYYY")</f>
        <v>3/16/2022</v>
      </c>
      <c r="X304" s="18">
        <f>DATE(YEAR(W304),MONTH(Metrics!$B$5), DAY(Metrics!$B$5))</f>
        <v>44805</v>
      </c>
      <c r="Y304" s="16">
        <f t="shared" si="4"/>
        <v>2022</v>
      </c>
    </row>
    <row r="305" spans="21:25" ht="16" x14ac:dyDescent="0.2">
      <c r="U305" s="12">
        <v>3257</v>
      </c>
      <c r="V305" s="13" t="s">
        <v>297</v>
      </c>
      <c r="W305" s="16" t="str">
        <f>TEXT(VLOOKUP(U305, News!A:C, 3, FALSE), "M/D/YYYY")</f>
        <v>12/18/2018</v>
      </c>
      <c r="X305" s="18">
        <f>DATE(YEAR(W305),MONTH(Metrics!$B$5), DAY(Metrics!$B$5))</f>
        <v>43344</v>
      </c>
      <c r="Y305" s="16">
        <f t="shared" si="4"/>
        <v>2019</v>
      </c>
    </row>
    <row r="306" spans="21:25" ht="16" x14ac:dyDescent="0.2">
      <c r="U306" s="12">
        <v>2032</v>
      </c>
      <c r="V306" s="13" t="s">
        <v>297</v>
      </c>
      <c r="W306" s="16" t="str">
        <f>TEXT(VLOOKUP(U306, News!A:C, 3, FALSE), "M/D/YYYY")</f>
        <v>7/31/2017</v>
      </c>
      <c r="X306" s="18">
        <f>DATE(YEAR(W306),MONTH(Metrics!$B$5), DAY(Metrics!$B$5))</f>
        <v>42979</v>
      </c>
      <c r="Y306" s="16">
        <f t="shared" si="4"/>
        <v>2017</v>
      </c>
    </row>
    <row r="307" spans="21:25" ht="16" x14ac:dyDescent="0.2">
      <c r="U307" s="12">
        <v>2515</v>
      </c>
      <c r="V307" s="13" t="s">
        <v>297</v>
      </c>
      <c r="W307" s="16" t="str">
        <f>TEXT(VLOOKUP(U307, News!A:C, 3, FALSE), "M/D/YYYY")</f>
        <v>2/25/2017</v>
      </c>
      <c r="X307" s="18">
        <f>DATE(YEAR(W307),MONTH(Metrics!$B$5), DAY(Metrics!$B$5))</f>
        <v>42979</v>
      </c>
      <c r="Y307" s="16">
        <f t="shared" si="4"/>
        <v>2017</v>
      </c>
    </row>
    <row r="308" spans="21:25" ht="16" x14ac:dyDescent="0.2">
      <c r="U308" s="12">
        <v>3343</v>
      </c>
      <c r="V308" s="13" t="s">
        <v>297</v>
      </c>
      <c r="W308" s="16" t="str">
        <f>TEXT(VLOOKUP(U308, News!A:C, 3, FALSE), "M/D/YYYY")</f>
        <v>6/1/2016</v>
      </c>
      <c r="X308" s="18">
        <f>DATE(YEAR(W308),MONTH(Metrics!$B$5), DAY(Metrics!$B$5))</f>
        <v>42614</v>
      </c>
      <c r="Y308" s="16">
        <f t="shared" si="4"/>
        <v>2016</v>
      </c>
    </row>
    <row r="309" spans="21:25" ht="16" x14ac:dyDescent="0.2">
      <c r="U309" s="12">
        <v>3551</v>
      </c>
      <c r="V309" s="13" t="s">
        <v>297</v>
      </c>
      <c r="W309" s="16" t="str">
        <f>TEXT(VLOOKUP(U309, News!A:C, 3, FALSE), "M/D/YYYY")</f>
        <v>3/29/2016</v>
      </c>
      <c r="X309" s="18">
        <f>DATE(YEAR(W309),MONTH(Metrics!$B$5), DAY(Metrics!$B$5))</f>
        <v>42614</v>
      </c>
      <c r="Y309" s="16">
        <f t="shared" si="4"/>
        <v>2016</v>
      </c>
    </row>
    <row r="310" spans="21:25" ht="16" x14ac:dyDescent="0.2">
      <c r="U310" s="12">
        <v>3642</v>
      </c>
      <c r="V310" s="13" t="s">
        <v>297</v>
      </c>
      <c r="W310" s="16" t="str">
        <f>TEXT(VLOOKUP(U310, News!A:C, 3, FALSE), "M/D/YYYY")</f>
        <v>11/22/2015</v>
      </c>
      <c r="X310" s="18">
        <f>DATE(YEAR(W310),MONTH(Metrics!$B$5), DAY(Metrics!$B$5))</f>
        <v>42248</v>
      </c>
      <c r="Y310" s="16">
        <f t="shared" si="4"/>
        <v>2016</v>
      </c>
    </row>
    <row r="311" spans="21:25" ht="16" x14ac:dyDescent="0.2">
      <c r="U311" s="12">
        <v>3735</v>
      </c>
      <c r="V311" s="13" t="s">
        <v>297</v>
      </c>
      <c r="W311" s="16" t="str">
        <f>TEXT(VLOOKUP(U311, News!A:C, 3, FALSE), "M/D/YYYY")</f>
        <v>10/31/2015</v>
      </c>
      <c r="X311" s="18">
        <f>DATE(YEAR(W311),MONTH(Metrics!$B$5), DAY(Metrics!$B$5))</f>
        <v>42248</v>
      </c>
      <c r="Y311" s="16">
        <f t="shared" si="4"/>
        <v>2016</v>
      </c>
    </row>
    <row r="312" spans="21:25" ht="16" x14ac:dyDescent="0.2">
      <c r="U312" s="12">
        <v>3743</v>
      </c>
      <c r="V312" s="13" t="s">
        <v>297</v>
      </c>
      <c r="W312" s="16" t="str">
        <f>TEXT(VLOOKUP(U312, News!A:C, 3, FALSE), "M/D/YYYY")</f>
        <v>10/5/2015</v>
      </c>
      <c r="X312" s="18">
        <f>DATE(YEAR(W312),MONTH(Metrics!$B$5), DAY(Metrics!$B$5))</f>
        <v>42248</v>
      </c>
      <c r="Y312" s="16">
        <f t="shared" si="4"/>
        <v>2016</v>
      </c>
    </row>
    <row r="313" spans="21:25" ht="16" x14ac:dyDescent="0.2">
      <c r="U313" s="12">
        <v>3760</v>
      </c>
      <c r="V313" s="13" t="s">
        <v>297</v>
      </c>
      <c r="W313" s="16" t="str">
        <f>TEXT(VLOOKUP(U313, News!A:C, 3, FALSE), "M/D/YYYY")</f>
        <v>9/12/2015</v>
      </c>
      <c r="X313" s="18">
        <f>DATE(YEAR(W313),MONTH(Metrics!$B$5), DAY(Metrics!$B$5))</f>
        <v>42248</v>
      </c>
      <c r="Y313" s="16">
        <f t="shared" si="4"/>
        <v>2016</v>
      </c>
    </row>
    <row r="314" spans="21:25" ht="16" x14ac:dyDescent="0.2">
      <c r="U314" s="12">
        <v>3799</v>
      </c>
      <c r="V314" s="13" t="s">
        <v>297</v>
      </c>
      <c r="W314" s="16" t="str">
        <f>TEXT(VLOOKUP(U314, News!A:C, 3, FALSE), "M/D/YYYY")</f>
        <v>7/12/2015</v>
      </c>
      <c r="X314" s="18">
        <f>DATE(YEAR(W314),MONTH(Metrics!$B$5), DAY(Metrics!$B$5))</f>
        <v>42248</v>
      </c>
      <c r="Y314" s="16">
        <f t="shared" si="4"/>
        <v>2015</v>
      </c>
    </row>
    <row r="315" spans="21:25" ht="16" x14ac:dyDescent="0.2">
      <c r="U315" s="12">
        <v>3921</v>
      </c>
      <c r="V315" s="13" t="s">
        <v>297</v>
      </c>
      <c r="W315" s="16" t="str">
        <f>TEXT(VLOOKUP(U315, News!A:C, 3, FALSE), "M/D/YYYY")</f>
        <v>4/30/2015</v>
      </c>
      <c r="X315" s="18">
        <f>DATE(YEAR(W315),MONTH(Metrics!$B$5), DAY(Metrics!$B$5))</f>
        <v>42248</v>
      </c>
      <c r="Y315" s="16">
        <f t="shared" si="4"/>
        <v>2015</v>
      </c>
    </row>
    <row r="316" spans="21:25" ht="16" x14ac:dyDescent="0.2">
      <c r="U316" s="12">
        <v>3951</v>
      </c>
      <c r="V316" s="13" t="s">
        <v>297</v>
      </c>
      <c r="W316" s="16" t="str">
        <f>TEXT(VLOOKUP(U316, News!A:C, 3, FALSE), "M/D/YYYY")</f>
        <v>1/31/2019</v>
      </c>
      <c r="X316" s="18">
        <f>DATE(YEAR(W316),MONTH(Metrics!$B$5), DAY(Metrics!$B$5))</f>
        <v>43709</v>
      </c>
      <c r="Y316" s="16">
        <f t="shared" si="4"/>
        <v>2019</v>
      </c>
    </row>
    <row r="317" spans="21:25" ht="16" x14ac:dyDescent="0.2">
      <c r="U317" s="12">
        <v>4010</v>
      </c>
      <c r="V317" s="13" t="s">
        <v>297</v>
      </c>
      <c r="W317" s="16" t="str">
        <f>TEXT(VLOOKUP(U317, News!A:C, 3, FALSE), "M/D/YYYY")</f>
        <v>2/10/2015</v>
      </c>
      <c r="X317" s="18">
        <f>DATE(YEAR(W317),MONTH(Metrics!$B$5), DAY(Metrics!$B$5))</f>
        <v>42248</v>
      </c>
      <c r="Y317" s="16">
        <f t="shared" si="4"/>
        <v>2015</v>
      </c>
    </row>
    <row r="318" spans="21:25" ht="16" x14ac:dyDescent="0.2">
      <c r="U318" s="12">
        <v>7705</v>
      </c>
      <c r="V318" s="13" t="s">
        <v>297</v>
      </c>
      <c r="W318" s="16" t="str">
        <f>TEXT(VLOOKUP(U318, News!A:C, 3, FALSE), "M/D/YYYY")</f>
        <v>11/14/2022</v>
      </c>
      <c r="X318" s="18">
        <f>DATE(YEAR(W318),MONTH(Metrics!$B$5), DAY(Metrics!$B$5))</f>
        <v>44805</v>
      </c>
      <c r="Y318" s="16">
        <f t="shared" si="4"/>
        <v>2023</v>
      </c>
    </row>
    <row r="319" spans="21:25" ht="16" x14ac:dyDescent="0.2">
      <c r="U319" s="12">
        <v>3280</v>
      </c>
      <c r="V319" s="13" t="s">
        <v>297</v>
      </c>
      <c r="W319" s="16" t="str">
        <f>TEXT(VLOOKUP(U319, News!A:C, 3, FALSE), "M/D/YYYY")</f>
        <v>8/30/2016</v>
      </c>
      <c r="X319" s="18">
        <f>DATE(YEAR(W319),MONTH(Metrics!$B$5), DAY(Metrics!$B$5))</f>
        <v>42614</v>
      </c>
      <c r="Y319" s="16">
        <f t="shared" si="4"/>
        <v>2016</v>
      </c>
    </row>
    <row r="320" spans="21:25" ht="16" x14ac:dyDescent="0.2">
      <c r="U320" s="12">
        <v>3301</v>
      </c>
      <c r="V320" s="13" t="s">
        <v>297</v>
      </c>
      <c r="W320" s="16" t="str">
        <f>TEXT(VLOOKUP(U320, News!A:C, 3, FALSE), "M/D/YYYY")</f>
        <v>8/29/2016</v>
      </c>
      <c r="X320" s="18">
        <f>DATE(YEAR(W320),MONTH(Metrics!$B$5), DAY(Metrics!$B$5))</f>
        <v>42614</v>
      </c>
      <c r="Y320" s="16">
        <f t="shared" si="4"/>
        <v>2016</v>
      </c>
    </row>
    <row r="321" spans="21:25" ht="16" x14ac:dyDescent="0.2">
      <c r="U321" s="12">
        <v>3452</v>
      </c>
      <c r="V321" s="13" t="s">
        <v>297</v>
      </c>
      <c r="W321" s="16" t="str">
        <f>TEXT(VLOOKUP(U321, News!A:C, 3, FALSE), "M/D/YYYY")</f>
        <v>5/10/2016</v>
      </c>
      <c r="X321" s="18">
        <f>DATE(YEAR(W321),MONTH(Metrics!$B$5), DAY(Metrics!$B$5))</f>
        <v>42614</v>
      </c>
      <c r="Y321" s="16">
        <f t="shared" si="4"/>
        <v>2016</v>
      </c>
    </row>
    <row r="322" spans="21:25" ht="16" x14ac:dyDescent="0.2">
      <c r="U322" s="12">
        <v>4816</v>
      </c>
      <c r="V322" s="13" t="s">
        <v>297</v>
      </c>
      <c r="W322" s="16" t="str">
        <f>TEXT(VLOOKUP(U322, News!A:C, 3, FALSE), "M/D/YYYY")</f>
        <v>1/10/2020</v>
      </c>
      <c r="X322" s="18">
        <f>DATE(YEAR(W322),MONTH(Metrics!$B$5), DAY(Metrics!$B$5))</f>
        <v>44075</v>
      </c>
      <c r="Y322" s="16">
        <f t="shared" si="4"/>
        <v>2020</v>
      </c>
    </row>
    <row r="323" spans="21:25" ht="16" x14ac:dyDescent="0.2">
      <c r="U323" s="12">
        <v>7757</v>
      </c>
      <c r="V323" s="13" t="s">
        <v>297</v>
      </c>
      <c r="W323" s="16" t="str">
        <f>TEXT(VLOOKUP(U323, News!A:C, 3, FALSE), "M/D/YYYY")</f>
        <v>12/8/2022</v>
      </c>
      <c r="X323" s="18">
        <f>DATE(YEAR(W323),MONTH(Metrics!$B$5), DAY(Metrics!$B$5))</f>
        <v>44805</v>
      </c>
      <c r="Y323" s="16">
        <f t="shared" ref="Y323:Y386" si="5">IF(MONTH(W323) &gt;= MONTH(X323), YEAR(W323)+1, YEAR(W323))</f>
        <v>2023</v>
      </c>
    </row>
    <row r="324" spans="21:25" ht="16" x14ac:dyDescent="0.2">
      <c r="U324" s="12">
        <v>7954</v>
      </c>
      <c r="V324" s="13" t="s">
        <v>297</v>
      </c>
      <c r="W324" s="16" t="str">
        <f>TEXT(VLOOKUP(U324, News!A:C, 3, FALSE), "M/D/YYYY")</f>
        <v>1/23/2023</v>
      </c>
      <c r="X324" s="18">
        <f>DATE(YEAR(W324),MONTH(Metrics!$B$5), DAY(Metrics!$B$5))</f>
        <v>45170</v>
      </c>
      <c r="Y324" s="16">
        <f t="shared" si="5"/>
        <v>2023</v>
      </c>
    </row>
    <row r="325" spans="21:25" ht="16" x14ac:dyDescent="0.2">
      <c r="U325" s="12">
        <v>3330</v>
      </c>
      <c r="V325" s="13" t="s">
        <v>297</v>
      </c>
      <c r="W325" s="16" t="str">
        <f>TEXT(VLOOKUP(U325, News!A:C, 3, FALSE), "M/D/YYYY")</f>
        <v>7/13/2016</v>
      </c>
      <c r="X325" s="18">
        <f>DATE(YEAR(W325),MONTH(Metrics!$B$5), DAY(Metrics!$B$5))</f>
        <v>42614</v>
      </c>
      <c r="Y325" s="16">
        <f t="shared" si="5"/>
        <v>2016</v>
      </c>
    </row>
    <row r="326" spans="21:25" ht="16" x14ac:dyDescent="0.2">
      <c r="U326" s="12">
        <v>3339</v>
      </c>
      <c r="V326" s="13" t="s">
        <v>297</v>
      </c>
      <c r="W326" s="16" t="str">
        <f>TEXT(VLOOKUP(U326, News!A:C, 3, FALSE), "M/D/YYYY")</f>
        <v>6/24/2016</v>
      </c>
      <c r="X326" s="18">
        <f>DATE(YEAR(W326),MONTH(Metrics!$B$5), DAY(Metrics!$B$5))</f>
        <v>42614</v>
      </c>
      <c r="Y326" s="16">
        <f t="shared" si="5"/>
        <v>2016</v>
      </c>
    </row>
    <row r="327" spans="21:25" ht="16" x14ac:dyDescent="0.2">
      <c r="U327" s="12">
        <v>3428</v>
      </c>
      <c r="V327" s="13" t="s">
        <v>297</v>
      </c>
      <c r="W327" s="16" t="str">
        <f>TEXT(VLOOKUP(U327, News!A:C, 3, FALSE), "M/D/YYYY")</f>
        <v>5/19/2016</v>
      </c>
      <c r="X327" s="18">
        <f>DATE(YEAR(W327),MONTH(Metrics!$B$5), DAY(Metrics!$B$5))</f>
        <v>42614</v>
      </c>
      <c r="Y327" s="16">
        <f t="shared" si="5"/>
        <v>2016</v>
      </c>
    </row>
    <row r="328" spans="21:25" ht="16" x14ac:dyDescent="0.2">
      <c r="U328" s="12">
        <v>3458</v>
      </c>
      <c r="V328" s="13" t="s">
        <v>297</v>
      </c>
      <c r="W328" s="16" t="str">
        <f>TEXT(VLOOKUP(U328, News!A:C, 3, FALSE), "M/D/YYYY")</f>
        <v>5/6/2016</v>
      </c>
      <c r="X328" s="18">
        <f>DATE(YEAR(W328),MONTH(Metrics!$B$5), DAY(Metrics!$B$5))</f>
        <v>42614</v>
      </c>
      <c r="Y328" s="16">
        <f t="shared" si="5"/>
        <v>2016</v>
      </c>
    </row>
    <row r="329" spans="21:25" ht="16" x14ac:dyDescent="0.2">
      <c r="U329" s="12">
        <v>3529</v>
      </c>
      <c r="V329" s="13" t="s">
        <v>297</v>
      </c>
      <c r="W329" s="16" t="str">
        <f>TEXT(VLOOKUP(U329, News!A:C, 3, FALSE), "M/D/YYYY")</f>
        <v>4/30/2016</v>
      </c>
      <c r="X329" s="18">
        <f>DATE(YEAR(W329),MONTH(Metrics!$B$5), DAY(Metrics!$B$5))</f>
        <v>42614</v>
      </c>
      <c r="Y329" s="16">
        <f t="shared" si="5"/>
        <v>2016</v>
      </c>
    </row>
    <row r="330" spans="21:25" ht="16" x14ac:dyDescent="0.2">
      <c r="U330" s="12">
        <v>3563</v>
      </c>
      <c r="V330" s="13" t="s">
        <v>297</v>
      </c>
      <c r="W330" s="16" t="str">
        <f>TEXT(VLOOKUP(U330, News!A:C, 3, FALSE), "M/D/YYYY")</f>
        <v>2/11/2016</v>
      </c>
      <c r="X330" s="18">
        <f>DATE(YEAR(W330),MONTH(Metrics!$B$5), DAY(Metrics!$B$5))</f>
        <v>42614</v>
      </c>
      <c r="Y330" s="16">
        <f t="shared" si="5"/>
        <v>2016</v>
      </c>
    </row>
    <row r="331" spans="21:25" ht="16" x14ac:dyDescent="0.2">
      <c r="U331" s="12">
        <v>3639</v>
      </c>
      <c r="V331" s="13" t="s">
        <v>297</v>
      </c>
      <c r="W331" s="16" t="str">
        <f>TEXT(VLOOKUP(U331, News!A:C, 3, FALSE), "M/D/YYYY")</f>
        <v>11/25/2015</v>
      </c>
      <c r="X331" s="18">
        <f>DATE(YEAR(W331),MONTH(Metrics!$B$5), DAY(Metrics!$B$5))</f>
        <v>42248</v>
      </c>
      <c r="Y331" s="16">
        <f t="shared" si="5"/>
        <v>2016</v>
      </c>
    </row>
    <row r="332" spans="21:25" ht="16" x14ac:dyDescent="0.2">
      <c r="U332" s="12">
        <v>3659</v>
      </c>
      <c r="V332" s="13" t="s">
        <v>297</v>
      </c>
      <c r="W332" s="16" t="str">
        <f>TEXT(VLOOKUP(U332, News!A:C, 3, FALSE), "M/D/YYYY")</f>
        <v>11/11/2015</v>
      </c>
      <c r="X332" s="18">
        <f>DATE(YEAR(W332),MONTH(Metrics!$B$5), DAY(Metrics!$B$5))</f>
        <v>42248</v>
      </c>
      <c r="Y332" s="16">
        <f t="shared" si="5"/>
        <v>2016</v>
      </c>
    </row>
    <row r="333" spans="21:25" ht="16" x14ac:dyDescent="0.2">
      <c r="U333" s="12">
        <v>3663</v>
      </c>
      <c r="V333" s="13" t="s">
        <v>297</v>
      </c>
      <c r="W333" s="16" t="str">
        <f>TEXT(VLOOKUP(U333, News!A:C, 3, FALSE), "M/D/YYYY")</f>
        <v>11/3/2015</v>
      </c>
      <c r="X333" s="18">
        <f>DATE(YEAR(W333),MONTH(Metrics!$B$5), DAY(Metrics!$B$5))</f>
        <v>42248</v>
      </c>
      <c r="Y333" s="16">
        <f t="shared" si="5"/>
        <v>2016</v>
      </c>
    </row>
    <row r="334" spans="21:25" ht="16" x14ac:dyDescent="0.2">
      <c r="U334" s="12">
        <v>3746</v>
      </c>
      <c r="V334" s="13" t="s">
        <v>297</v>
      </c>
      <c r="W334" s="16" t="str">
        <f>TEXT(VLOOKUP(U334, News!A:C, 3, FALSE), "M/D/YYYY")</f>
        <v>9/30/2015</v>
      </c>
      <c r="X334" s="18">
        <f>DATE(YEAR(W334),MONTH(Metrics!$B$5), DAY(Metrics!$B$5))</f>
        <v>42248</v>
      </c>
      <c r="Y334" s="16">
        <f t="shared" si="5"/>
        <v>2016</v>
      </c>
    </row>
    <row r="335" spans="21:25" ht="16" x14ac:dyDescent="0.2">
      <c r="U335" s="12">
        <v>3755</v>
      </c>
      <c r="V335" s="13" t="s">
        <v>297</v>
      </c>
      <c r="W335" s="16" t="str">
        <f>TEXT(VLOOKUP(U335, News!A:C, 3, FALSE), "M/D/YYYY")</f>
        <v>11/25/2015</v>
      </c>
      <c r="X335" s="18">
        <f>DATE(YEAR(W335),MONTH(Metrics!$B$5), DAY(Metrics!$B$5))</f>
        <v>42248</v>
      </c>
      <c r="Y335" s="16">
        <f t="shared" si="5"/>
        <v>2016</v>
      </c>
    </row>
    <row r="336" spans="21:25" ht="16" x14ac:dyDescent="0.2">
      <c r="U336" s="12">
        <v>3758</v>
      </c>
      <c r="V336" s="13" t="s">
        <v>297</v>
      </c>
      <c r="W336" s="16" t="str">
        <f>TEXT(VLOOKUP(U336, News!A:C, 3, FALSE), "M/D/YYYY")</f>
        <v>9/13/2015</v>
      </c>
      <c r="X336" s="18">
        <f>DATE(YEAR(W336),MONTH(Metrics!$B$5), DAY(Metrics!$B$5))</f>
        <v>42248</v>
      </c>
      <c r="Y336" s="16">
        <f t="shared" si="5"/>
        <v>2016</v>
      </c>
    </row>
    <row r="337" spans="21:25" ht="16" x14ac:dyDescent="0.2">
      <c r="U337" s="12">
        <v>3803</v>
      </c>
      <c r="V337" s="13" t="s">
        <v>297</v>
      </c>
      <c r="W337" s="16" t="str">
        <f>TEXT(VLOOKUP(U337, News!A:C, 3, FALSE), "M/D/YYYY")</f>
        <v>6/30/2015</v>
      </c>
      <c r="X337" s="18">
        <f>DATE(YEAR(W337),MONTH(Metrics!$B$5), DAY(Metrics!$B$5))</f>
        <v>42248</v>
      </c>
      <c r="Y337" s="16">
        <f t="shared" si="5"/>
        <v>2015</v>
      </c>
    </row>
    <row r="338" spans="21:25" ht="16" x14ac:dyDescent="0.2">
      <c r="U338" s="12">
        <v>3883</v>
      </c>
      <c r="V338" s="13" t="s">
        <v>297</v>
      </c>
      <c r="W338" s="16" t="str">
        <f>TEXT(VLOOKUP(U338, News!A:C, 3, FALSE), "M/D/YYYY")</f>
        <v>6/15/2015</v>
      </c>
      <c r="X338" s="18">
        <f>DATE(YEAR(W338),MONTH(Metrics!$B$5), DAY(Metrics!$B$5))</f>
        <v>42248</v>
      </c>
      <c r="Y338" s="16">
        <f t="shared" si="5"/>
        <v>2015</v>
      </c>
    </row>
    <row r="339" spans="21:25" ht="16" x14ac:dyDescent="0.2">
      <c r="U339" s="12">
        <v>3899</v>
      </c>
      <c r="V339" s="13" t="s">
        <v>297</v>
      </c>
      <c r="W339" s="16" t="str">
        <f>TEXT(VLOOKUP(U339, News!A:C, 3, FALSE), "M/D/YYYY")</f>
        <v>5/15/2015</v>
      </c>
      <c r="X339" s="18">
        <f>DATE(YEAR(W339),MONTH(Metrics!$B$5), DAY(Metrics!$B$5))</f>
        <v>42248</v>
      </c>
      <c r="Y339" s="16">
        <f t="shared" si="5"/>
        <v>2015</v>
      </c>
    </row>
    <row r="340" spans="21:25" ht="16" x14ac:dyDescent="0.2">
      <c r="U340" s="12">
        <v>3970</v>
      </c>
      <c r="V340" s="13" t="s">
        <v>297</v>
      </c>
      <c r="W340" s="16" t="str">
        <f>TEXT(VLOOKUP(U340, News!A:C, 3, FALSE), "M/D/YYYY")</f>
        <v>3/31/2015</v>
      </c>
      <c r="X340" s="18">
        <f>DATE(YEAR(W340),MONTH(Metrics!$B$5), DAY(Metrics!$B$5))</f>
        <v>42248</v>
      </c>
      <c r="Y340" s="16">
        <f t="shared" si="5"/>
        <v>2015</v>
      </c>
    </row>
    <row r="341" spans="21:25" ht="16" x14ac:dyDescent="0.2">
      <c r="U341" s="12">
        <v>4016</v>
      </c>
      <c r="V341" s="13" t="s">
        <v>297</v>
      </c>
      <c r="W341" s="16" t="str">
        <f>TEXT(VLOOKUP(U341, News!A:C, 3, FALSE), "M/D/YYYY")</f>
        <v>1/25/2015</v>
      </c>
      <c r="X341" s="18">
        <f>DATE(YEAR(W341),MONTH(Metrics!$B$5), DAY(Metrics!$B$5))</f>
        <v>42248</v>
      </c>
      <c r="Y341" s="16">
        <f t="shared" si="5"/>
        <v>2015</v>
      </c>
    </row>
    <row r="342" spans="21:25" ht="16" x14ac:dyDescent="0.2">
      <c r="U342" s="12">
        <v>4075</v>
      </c>
      <c r="V342" s="13" t="s">
        <v>297</v>
      </c>
      <c r="W342" s="16" t="str">
        <f>TEXT(VLOOKUP(U342, News!A:C, 3, FALSE), "M/D/YYYY")</f>
        <v>9/30/2014</v>
      </c>
      <c r="X342" s="18">
        <f>DATE(YEAR(W342),MONTH(Metrics!$B$5), DAY(Metrics!$B$5))</f>
        <v>41883</v>
      </c>
      <c r="Y342" s="16">
        <f t="shared" si="5"/>
        <v>2015</v>
      </c>
    </row>
    <row r="343" spans="21:25" ht="16" x14ac:dyDescent="0.2">
      <c r="U343" s="12">
        <v>4125</v>
      </c>
      <c r="V343" s="13" t="s">
        <v>297</v>
      </c>
      <c r="W343" s="16" t="str">
        <f>TEXT(VLOOKUP(U343, News!A:C, 3, FALSE), "M/D/YYYY")</f>
        <v>7/29/2014</v>
      </c>
      <c r="X343" s="18">
        <f>DATE(YEAR(W343),MONTH(Metrics!$B$5), DAY(Metrics!$B$5))</f>
        <v>41883</v>
      </c>
      <c r="Y343" s="16">
        <f t="shared" si="5"/>
        <v>2014</v>
      </c>
    </row>
    <row r="344" spans="21:25" ht="16" x14ac:dyDescent="0.2">
      <c r="U344" s="12">
        <v>4155</v>
      </c>
      <c r="V344" s="13" t="s">
        <v>297</v>
      </c>
      <c r="W344" s="16" t="str">
        <f>TEXT(VLOOKUP(U344, News!A:C, 3, FALSE), "M/D/YYYY")</f>
        <v>5/31/2014</v>
      </c>
      <c r="X344" s="18">
        <f>DATE(YEAR(W344),MONTH(Metrics!$B$5), DAY(Metrics!$B$5))</f>
        <v>41883</v>
      </c>
      <c r="Y344" s="16">
        <f t="shared" si="5"/>
        <v>2014</v>
      </c>
    </row>
    <row r="345" spans="21:25" ht="16" x14ac:dyDescent="0.2">
      <c r="U345" s="12">
        <v>4357</v>
      </c>
      <c r="V345" s="13" t="s">
        <v>297</v>
      </c>
      <c r="W345" s="16" t="str">
        <f>TEXT(VLOOKUP(U345, News!A:C, 3, FALSE), "M/D/YYYY")</f>
        <v>7/18/2019</v>
      </c>
      <c r="X345" s="18">
        <f>DATE(YEAR(W345),MONTH(Metrics!$B$5), DAY(Metrics!$B$5))</f>
        <v>43709</v>
      </c>
      <c r="Y345" s="16">
        <f t="shared" si="5"/>
        <v>2019</v>
      </c>
    </row>
    <row r="346" spans="21:25" ht="16" x14ac:dyDescent="0.2">
      <c r="U346" s="12">
        <v>4435</v>
      </c>
      <c r="V346" s="13" t="s">
        <v>297</v>
      </c>
      <c r="W346" s="16" t="str">
        <f>TEXT(VLOOKUP(U346, News!A:C, 3, FALSE), "M/D/YYYY")</f>
        <v>8/2/2019</v>
      </c>
      <c r="X346" s="18">
        <f>DATE(YEAR(W346),MONTH(Metrics!$B$5), DAY(Metrics!$B$5))</f>
        <v>43709</v>
      </c>
      <c r="Y346" s="16">
        <f t="shared" si="5"/>
        <v>2019</v>
      </c>
    </row>
    <row r="347" spans="21:25" ht="16" x14ac:dyDescent="0.2">
      <c r="U347" s="12">
        <v>4458</v>
      </c>
      <c r="V347" s="13" t="s">
        <v>297</v>
      </c>
      <c r="W347" s="16" t="str">
        <f>TEXT(VLOOKUP(U347, News!A:C, 3, FALSE), "M/D/YYYY")</f>
        <v>6/3/2014</v>
      </c>
      <c r="X347" s="18">
        <f>DATE(YEAR(W347),MONTH(Metrics!$B$5), DAY(Metrics!$B$5))</f>
        <v>41883</v>
      </c>
      <c r="Y347" s="16">
        <f t="shared" si="5"/>
        <v>2014</v>
      </c>
    </row>
    <row r="348" spans="21:25" ht="16" x14ac:dyDescent="0.2">
      <c r="U348" s="12">
        <v>4592</v>
      </c>
      <c r="V348" s="13" t="s">
        <v>297</v>
      </c>
      <c r="W348" s="16" t="str">
        <f>TEXT(VLOOKUP(U348, News!A:C, 3, FALSE), "M/D/YYYY")</f>
        <v>10/8/2019</v>
      </c>
      <c r="X348" s="18">
        <f>DATE(YEAR(W348),MONTH(Metrics!$B$5), DAY(Metrics!$B$5))</f>
        <v>43709</v>
      </c>
      <c r="Y348" s="16">
        <f t="shared" si="5"/>
        <v>2020</v>
      </c>
    </row>
    <row r="349" spans="21:25" ht="16" x14ac:dyDescent="0.2">
      <c r="U349" s="12">
        <v>1460</v>
      </c>
      <c r="V349" s="13" t="s">
        <v>297</v>
      </c>
      <c r="W349" s="16" t="str">
        <f>TEXT(VLOOKUP(U349, News!A:C, 3, FALSE), "M/D/YYYY")</f>
        <v>12/6/2017</v>
      </c>
      <c r="X349" s="18">
        <f>DATE(YEAR(W349),MONTH(Metrics!$B$5), DAY(Metrics!$B$5))</f>
        <v>42979</v>
      </c>
      <c r="Y349" s="16">
        <f t="shared" si="5"/>
        <v>2018</v>
      </c>
    </row>
    <row r="350" spans="21:25" ht="16" x14ac:dyDescent="0.2">
      <c r="U350" s="12">
        <v>2344</v>
      </c>
      <c r="V350" s="13" t="s">
        <v>297</v>
      </c>
      <c r="W350" s="16" t="str">
        <f>TEXT(VLOOKUP(U350, News!A:C, 3, FALSE), "M/D/YYYY")</f>
        <v>3/17/2017</v>
      </c>
      <c r="X350" s="18">
        <f>DATE(YEAR(W350),MONTH(Metrics!$B$5), DAY(Metrics!$B$5))</f>
        <v>42979</v>
      </c>
      <c r="Y350" s="16">
        <f t="shared" si="5"/>
        <v>2017</v>
      </c>
    </row>
    <row r="351" spans="21:25" ht="16" x14ac:dyDescent="0.2">
      <c r="U351" s="12">
        <v>3212</v>
      </c>
      <c r="V351" s="13" t="s">
        <v>297</v>
      </c>
      <c r="W351" s="16" t="str">
        <f>TEXT(VLOOKUP(U351, News!A:C, 3, FALSE), "M/D/YYYY")</f>
        <v>9/14/2016</v>
      </c>
      <c r="X351" s="18">
        <f>DATE(YEAR(W351),MONTH(Metrics!$B$5), DAY(Metrics!$B$5))</f>
        <v>42614</v>
      </c>
      <c r="Y351" s="16">
        <f t="shared" si="5"/>
        <v>2017</v>
      </c>
    </row>
    <row r="352" spans="21:25" ht="16" x14ac:dyDescent="0.2">
      <c r="U352" s="12">
        <v>4036</v>
      </c>
      <c r="V352" s="13" t="s">
        <v>297</v>
      </c>
      <c r="W352" s="16" t="str">
        <f>TEXT(VLOOKUP(U352, News!A:C, 3, FALSE), "M/D/YYYY")</f>
        <v>11/16/2014</v>
      </c>
      <c r="X352" s="18">
        <f>DATE(YEAR(W352),MONTH(Metrics!$B$5), DAY(Metrics!$B$5))</f>
        <v>41883</v>
      </c>
      <c r="Y352" s="16">
        <f t="shared" si="5"/>
        <v>2015</v>
      </c>
    </row>
    <row r="353" spans="21:25" ht="16" x14ac:dyDescent="0.2">
      <c r="U353" s="12">
        <v>4141</v>
      </c>
      <c r="V353" s="13" t="s">
        <v>297</v>
      </c>
      <c r="W353" s="16" t="str">
        <f>TEXT(VLOOKUP(U353, News!A:C, 3, FALSE), "M/D/YYYY")</f>
        <v>5/28/2019</v>
      </c>
      <c r="X353" s="18">
        <f>DATE(YEAR(W353),MONTH(Metrics!$B$5), DAY(Metrics!$B$5))</f>
        <v>43709</v>
      </c>
      <c r="Y353" s="16">
        <f t="shared" si="5"/>
        <v>2019</v>
      </c>
    </row>
    <row r="354" spans="21:25" ht="16" x14ac:dyDescent="0.2">
      <c r="U354" s="12">
        <v>4093</v>
      </c>
      <c r="V354" s="13" t="s">
        <v>297</v>
      </c>
      <c r="W354" s="16" t="str">
        <f>TEXT(VLOOKUP(U354, News!A:C, 3, FALSE), "M/D/YYYY")</f>
        <v>8/1/2014</v>
      </c>
      <c r="X354" s="18">
        <f>DATE(YEAR(W354),MONTH(Metrics!$B$5), DAY(Metrics!$B$5))</f>
        <v>41883</v>
      </c>
      <c r="Y354" s="16">
        <f t="shared" si="5"/>
        <v>2014</v>
      </c>
    </row>
    <row r="355" spans="21:25" ht="16" x14ac:dyDescent="0.2">
      <c r="U355" s="12">
        <v>4202</v>
      </c>
      <c r="V355" s="13" t="s">
        <v>297</v>
      </c>
      <c r="W355" s="16" t="str">
        <f>TEXT(VLOOKUP(U355, News!A:C, 3, FALSE), "M/D/YYYY")</f>
        <v>5/25/2014</v>
      </c>
      <c r="X355" s="18">
        <f>DATE(YEAR(W355),MONTH(Metrics!$B$5), DAY(Metrics!$B$5))</f>
        <v>41883</v>
      </c>
      <c r="Y355" s="16">
        <f t="shared" si="5"/>
        <v>2014</v>
      </c>
    </row>
    <row r="356" spans="21:25" ht="16" x14ac:dyDescent="0.2">
      <c r="U356" s="12">
        <v>4058</v>
      </c>
      <c r="V356" s="13" t="s">
        <v>297</v>
      </c>
      <c r="W356" s="16" t="str">
        <f>TEXT(VLOOKUP(U356, News!A:C, 3, FALSE), "M/D/YYYY")</f>
        <v>10/27/2014</v>
      </c>
      <c r="X356" s="18">
        <f>DATE(YEAR(W356),MONTH(Metrics!$B$5), DAY(Metrics!$B$5))</f>
        <v>41883</v>
      </c>
      <c r="Y356" s="16">
        <f t="shared" si="5"/>
        <v>2015</v>
      </c>
    </row>
    <row r="357" spans="21:25" ht="16" x14ac:dyDescent="0.2">
      <c r="U357" s="12">
        <v>2034</v>
      </c>
      <c r="V357" s="13" t="s">
        <v>297</v>
      </c>
      <c r="W357" s="16" t="str">
        <f>TEXT(VLOOKUP(U357, News!A:C, 3, FALSE), "M/D/YYYY")</f>
        <v>7/30/2017</v>
      </c>
      <c r="X357" s="18">
        <f>DATE(YEAR(W357),MONTH(Metrics!$B$5), DAY(Metrics!$B$5))</f>
        <v>42979</v>
      </c>
      <c r="Y357" s="16">
        <f t="shared" si="5"/>
        <v>2017</v>
      </c>
    </row>
    <row r="358" spans="21:25" ht="16" x14ac:dyDescent="0.2">
      <c r="U358" s="12">
        <v>4956</v>
      </c>
      <c r="V358" s="13" t="s">
        <v>297</v>
      </c>
      <c r="W358" s="16" t="str">
        <f>TEXT(VLOOKUP(U358, News!A:C, 3, FALSE), "M/D/YYYY")</f>
        <v>6/12/2020</v>
      </c>
      <c r="X358" s="18">
        <f>DATE(YEAR(W358),MONTH(Metrics!$B$5), DAY(Metrics!$B$5))</f>
        <v>44075</v>
      </c>
      <c r="Y358" s="16">
        <f t="shared" si="5"/>
        <v>2020</v>
      </c>
    </row>
    <row r="359" spans="21:25" ht="16" x14ac:dyDescent="0.2">
      <c r="U359" s="12">
        <v>5129</v>
      </c>
      <c r="V359" s="13" t="s">
        <v>297</v>
      </c>
      <c r="W359" s="16" t="str">
        <f>TEXT(VLOOKUP(U359, News!A:C, 3, FALSE), "M/D/YYYY")</f>
        <v>8/31/2020</v>
      </c>
      <c r="X359" s="18">
        <f>DATE(YEAR(W359),MONTH(Metrics!$B$5), DAY(Metrics!$B$5))</f>
        <v>44075</v>
      </c>
      <c r="Y359" s="16">
        <f t="shared" si="5"/>
        <v>2020</v>
      </c>
    </row>
    <row r="360" spans="21:25" ht="16" x14ac:dyDescent="0.2">
      <c r="U360" s="12">
        <v>6435</v>
      </c>
      <c r="V360" s="13" t="s">
        <v>297</v>
      </c>
      <c r="W360" s="16" t="str">
        <f>TEXT(VLOOKUP(U360, News!A:C, 3, FALSE), "M/D/YYYY")</f>
        <v>10/20/2021</v>
      </c>
      <c r="X360" s="18">
        <f>DATE(YEAR(W360),MONTH(Metrics!$B$5), DAY(Metrics!$B$5))</f>
        <v>44440</v>
      </c>
      <c r="Y360" s="16">
        <f t="shared" si="5"/>
        <v>2022</v>
      </c>
    </row>
    <row r="361" spans="21:25" ht="16" x14ac:dyDescent="0.2">
      <c r="U361" s="12">
        <v>7205</v>
      </c>
      <c r="V361" s="13" t="s">
        <v>297</v>
      </c>
      <c r="W361" s="16" t="str">
        <f>TEXT(VLOOKUP(U361, News!A:C, 3, FALSE), "M/D/YYYY")</f>
        <v>6/21/2022</v>
      </c>
      <c r="X361" s="18">
        <f>DATE(YEAR(W361),MONTH(Metrics!$B$5), DAY(Metrics!$B$5))</f>
        <v>44805</v>
      </c>
      <c r="Y361" s="16">
        <f t="shared" si="5"/>
        <v>2022</v>
      </c>
    </row>
    <row r="362" spans="21:25" ht="16" x14ac:dyDescent="0.2">
      <c r="U362" s="12">
        <v>3421</v>
      </c>
      <c r="V362" s="13" t="s">
        <v>297</v>
      </c>
      <c r="W362" s="16" t="str">
        <f>TEXT(VLOOKUP(U362, News!A:C, 3, FALSE), "M/D/YYYY")</f>
        <v>1/22/2019</v>
      </c>
      <c r="X362" s="18">
        <f>DATE(YEAR(W362),MONTH(Metrics!$B$5), DAY(Metrics!$B$5))</f>
        <v>43709</v>
      </c>
      <c r="Y362" s="16">
        <f t="shared" si="5"/>
        <v>2019</v>
      </c>
    </row>
    <row r="363" spans="21:25" ht="16" x14ac:dyDescent="0.2">
      <c r="U363" s="12">
        <v>4091</v>
      </c>
      <c r="V363" s="13" t="s">
        <v>297</v>
      </c>
      <c r="W363" s="16" t="str">
        <f>TEXT(VLOOKUP(U363, News!A:C, 3, FALSE), "M/D/YYYY")</f>
        <v>8/17/2014</v>
      </c>
      <c r="X363" s="18">
        <f>DATE(YEAR(W363),MONTH(Metrics!$B$5), DAY(Metrics!$B$5))</f>
        <v>41883</v>
      </c>
      <c r="Y363" s="16">
        <f t="shared" si="5"/>
        <v>2014</v>
      </c>
    </row>
    <row r="364" spans="21:25" ht="16" x14ac:dyDescent="0.2">
      <c r="U364" s="12">
        <v>4942</v>
      </c>
      <c r="V364" s="13" t="s">
        <v>297</v>
      </c>
      <c r="W364" s="16" t="str">
        <f>TEXT(VLOOKUP(U364, News!A:C, 3, FALSE), "M/D/YYYY")</f>
        <v>5/28/2020</v>
      </c>
      <c r="X364" s="18">
        <f>DATE(YEAR(W364),MONTH(Metrics!$B$5), DAY(Metrics!$B$5))</f>
        <v>44075</v>
      </c>
      <c r="Y364" s="16">
        <f t="shared" si="5"/>
        <v>2020</v>
      </c>
    </row>
    <row r="365" spans="21:25" ht="16" x14ac:dyDescent="0.2">
      <c r="U365" s="12">
        <v>5114</v>
      </c>
      <c r="V365" s="13" t="s">
        <v>297</v>
      </c>
      <c r="W365" s="16" t="str">
        <f>TEXT(VLOOKUP(U365, News!A:C, 3, FALSE), "M/D/YYYY")</f>
        <v>8/14/2020</v>
      </c>
      <c r="X365" s="18">
        <f>DATE(YEAR(W365),MONTH(Metrics!$B$5), DAY(Metrics!$B$5))</f>
        <v>44075</v>
      </c>
      <c r="Y365" s="16">
        <f t="shared" si="5"/>
        <v>2020</v>
      </c>
    </row>
    <row r="366" spans="21:25" ht="16" x14ac:dyDescent="0.2">
      <c r="U366" s="12">
        <v>6436</v>
      </c>
      <c r="V366" s="13" t="s">
        <v>297</v>
      </c>
      <c r="W366" s="16" t="str">
        <f>TEXT(VLOOKUP(U366, News!A:C, 3, FALSE), "M/D/YYYY")</f>
        <v>10/20/2021</v>
      </c>
      <c r="X366" s="18">
        <f>DATE(YEAR(W366),MONTH(Metrics!$B$5), DAY(Metrics!$B$5))</f>
        <v>44440</v>
      </c>
      <c r="Y366" s="16">
        <f t="shared" si="5"/>
        <v>2022</v>
      </c>
    </row>
    <row r="367" spans="21:25" ht="16" x14ac:dyDescent="0.2">
      <c r="U367" s="12">
        <v>7357</v>
      </c>
      <c r="V367" s="13" t="s">
        <v>297</v>
      </c>
      <c r="W367" s="16" t="str">
        <f>TEXT(VLOOKUP(U367, News!A:C, 3, FALSE), "M/D/YYYY")</f>
        <v>9/1/2022</v>
      </c>
      <c r="X367" s="18">
        <f>DATE(YEAR(W367),MONTH(Metrics!$B$5), DAY(Metrics!$B$5))</f>
        <v>44805</v>
      </c>
      <c r="Y367" s="16">
        <f t="shared" si="5"/>
        <v>2023</v>
      </c>
    </row>
    <row r="368" spans="21:25" ht="16" x14ac:dyDescent="0.2">
      <c r="U368" s="12">
        <v>7355</v>
      </c>
      <c r="V368" s="13" t="s">
        <v>297</v>
      </c>
      <c r="W368" s="16" t="str">
        <f>TEXT(VLOOKUP(U368, News!A:C, 3, FALSE), "M/D/YYYY")</f>
        <v>9/16/2022</v>
      </c>
      <c r="X368" s="18">
        <f>DATE(YEAR(W368),MONTH(Metrics!$B$5), DAY(Metrics!$B$5))</f>
        <v>44805</v>
      </c>
      <c r="Y368" s="16">
        <f t="shared" si="5"/>
        <v>2023</v>
      </c>
    </row>
    <row r="369" spans="21:25" ht="16" x14ac:dyDescent="0.2">
      <c r="U369" s="12">
        <v>3817</v>
      </c>
      <c r="V369" s="13" t="s">
        <v>297</v>
      </c>
      <c r="W369" s="16" t="str">
        <f>TEXT(VLOOKUP(U369, News!A:C, 3, FALSE), "M/D/YYYY")</f>
        <v>3/10/2019</v>
      </c>
      <c r="X369" s="18">
        <f>DATE(YEAR(W369),MONTH(Metrics!$B$5), DAY(Metrics!$B$5))</f>
        <v>43709</v>
      </c>
      <c r="Y369" s="16">
        <f t="shared" si="5"/>
        <v>2019</v>
      </c>
    </row>
    <row r="370" spans="21:25" ht="16" x14ac:dyDescent="0.2">
      <c r="U370" s="12">
        <v>6073</v>
      </c>
      <c r="V370" s="13" t="s">
        <v>297</v>
      </c>
      <c r="W370" s="16" t="str">
        <f>TEXT(VLOOKUP(U370, News!A:C, 3, FALSE), "M/D/YYYY")</f>
        <v>5/17/2021</v>
      </c>
      <c r="X370" s="18">
        <f>DATE(YEAR(W370),MONTH(Metrics!$B$5), DAY(Metrics!$B$5))</f>
        <v>44440</v>
      </c>
      <c r="Y370" s="16">
        <f t="shared" si="5"/>
        <v>2021</v>
      </c>
    </row>
    <row r="371" spans="21:25" ht="16" x14ac:dyDescent="0.2">
      <c r="U371" s="12">
        <v>7358</v>
      </c>
      <c r="V371" s="13" t="s">
        <v>297</v>
      </c>
      <c r="W371" s="16" t="str">
        <f>TEXT(VLOOKUP(U371, News!A:C, 3, FALSE), "M/D/YYYY")</f>
        <v>9/12/2022</v>
      </c>
      <c r="X371" s="18">
        <f>DATE(YEAR(W371),MONTH(Metrics!$B$5), DAY(Metrics!$B$5))</f>
        <v>44805</v>
      </c>
      <c r="Y371" s="16">
        <f t="shared" si="5"/>
        <v>2023</v>
      </c>
    </row>
    <row r="372" spans="21:25" ht="16" x14ac:dyDescent="0.2">
      <c r="U372" s="12">
        <v>3617</v>
      </c>
      <c r="V372" s="13" t="s">
        <v>297</v>
      </c>
      <c r="W372" s="16" t="str">
        <f>TEXT(VLOOKUP(U372, News!A:C, 3, FALSE), "M/D/YYYY")</f>
        <v>1/10/2016</v>
      </c>
      <c r="X372" s="18">
        <f>DATE(YEAR(W372),MONTH(Metrics!$B$5), DAY(Metrics!$B$5))</f>
        <v>42614</v>
      </c>
      <c r="Y372" s="16">
        <f t="shared" si="5"/>
        <v>2016</v>
      </c>
    </row>
    <row r="373" spans="21:25" ht="16" x14ac:dyDescent="0.2">
      <c r="U373" s="12">
        <v>7797</v>
      </c>
      <c r="V373" s="13" t="s">
        <v>297</v>
      </c>
      <c r="W373" s="16" t="str">
        <f>TEXT(VLOOKUP(U373, News!A:C, 3, FALSE), "M/D/YYYY")</f>
        <v>1/6/2023</v>
      </c>
      <c r="X373" s="18">
        <f>DATE(YEAR(W373),MONTH(Metrics!$B$5), DAY(Metrics!$B$5))</f>
        <v>45170</v>
      </c>
      <c r="Y373" s="16">
        <f t="shared" si="5"/>
        <v>2023</v>
      </c>
    </row>
    <row r="374" spans="21:25" ht="16" x14ac:dyDescent="0.2">
      <c r="U374" s="12">
        <v>3622</v>
      </c>
      <c r="V374" s="13" t="s">
        <v>297</v>
      </c>
      <c r="W374" s="16" t="str">
        <f>TEXT(VLOOKUP(U374, News!A:C, 3, FALSE), "M/D/YYYY")</f>
        <v>1/1/2016</v>
      </c>
      <c r="X374" s="18">
        <f>DATE(YEAR(W374),MONTH(Metrics!$B$5), DAY(Metrics!$B$5))</f>
        <v>42614</v>
      </c>
      <c r="Y374" s="16">
        <f t="shared" si="5"/>
        <v>2016</v>
      </c>
    </row>
    <row r="375" spans="21:25" ht="16" x14ac:dyDescent="0.2">
      <c r="U375" s="12">
        <v>3329</v>
      </c>
      <c r="V375" s="13" t="s">
        <v>297</v>
      </c>
      <c r="W375" s="16" t="str">
        <f>TEXT(VLOOKUP(U375, News!A:C, 3, FALSE), "M/D/YYYY")</f>
        <v>7/13/2016</v>
      </c>
      <c r="X375" s="18">
        <f>DATE(YEAR(W375),MONTH(Metrics!$B$5), DAY(Metrics!$B$5))</f>
        <v>42614</v>
      </c>
      <c r="Y375" s="16">
        <f t="shared" si="5"/>
        <v>2016</v>
      </c>
    </row>
    <row r="376" spans="21:25" ht="16" x14ac:dyDescent="0.2">
      <c r="U376" s="12">
        <v>3426</v>
      </c>
      <c r="V376" s="13" t="s">
        <v>297</v>
      </c>
      <c r="W376" s="16" t="str">
        <f>TEXT(VLOOKUP(U376, News!A:C, 3, FALSE), "M/D/YYYY")</f>
        <v>5/20/2016</v>
      </c>
      <c r="X376" s="18">
        <f>DATE(YEAR(W376),MONTH(Metrics!$B$5), DAY(Metrics!$B$5))</f>
        <v>42614</v>
      </c>
      <c r="Y376" s="16">
        <f t="shared" si="5"/>
        <v>2016</v>
      </c>
    </row>
    <row r="377" spans="21:25" ht="16" x14ac:dyDescent="0.2">
      <c r="U377" s="12">
        <v>3311</v>
      </c>
      <c r="V377" s="13" t="s">
        <v>297</v>
      </c>
      <c r="W377" s="16" t="str">
        <f>TEXT(VLOOKUP(U377, News!A:C, 3, FALSE), "M/D/YYYY")</f>
        <v>8/27/2016</v>
      </c>
      <c r="X377" s="18">
        <f>DATE(YEAR(W377),MONTH(Metrics!$B$5), DAY(Metrics!$B$5))</f>
        <v>42614</v>
      </c>
      <c r="Y377" s="16">
        <f t="shared" si="5"/>
        <v>2016</v>
      </c>
    </row>
    <row r="378" spans="21:25" ht="16" x14ac:dyDescent="0.2">
      <c r="U378" s="12">
        <v>3838</v>
      </c>
      <c r="V378" s="13" t="s">
        <v>297</v>
      </c>
      <c r="W378" s="16" t="str">
        <f>TEXT(VLOOKUP(U378, News!A:C, 3, FALSE), "M/D/YYYY")</f>
        <v>3/25/2019</v>
      </c>
      <c r="X378" s="18">
        <f>DATE(YEAR(W378),MONTH(Metrics!$B$5), DAY(Metrics!$B$5))</f>
        <v>43709</v>
      </c>
      <c r="Y378" s="16">
        <f t="shared" si="5"/>
        <v>2019</v>
      </c>
    </row>
    <row r="379" spans="21:25" ht="16" x14ac:dyDescent="0.2">
      <c r="U379" s="12">
        <v>7881</v>
      </c>
      <c r="V379" s="13" t="s">
        <v>297</v>
      </c>
      <c r="W379" s="16" t="str">
        <f>TEXT(VLOOKUP(U379, News!A:C, 3, FALSE), "M/D/YYYY")</f>
        <v>1/10/2023</v>
      </c>
      <c r="X379" s="18">
        <f>DATE(YEAR(W379),MONTH(Metrics!$B$5), DAY(Metrics!$B$5))</f>
        <v>45170</v>
      </c>
      <c r="Y379" s="16">
        <f t="shared" si="5"/>
        <v>2023</v>
      </c>
    </row>
    <row r="380" spans="21:25" ht="16" x14ac:dyDescent="0.2">
      <c r="U380" s="12">
        <v>1391</v>
      </c>
      <c r="V380" s="13" t="s">
        <v>297</v>
      </c>
      <c r="W380" s="16" t="str">
        <f>TEXT(VLOOKUP(U380, News!A:C, 3, FALSE), "M/D/YYYY")</f>
        <v>4/10/2018</v>
      </c>
      <c r="X380" s="18">
        <f>DATE(YEAR(W380),MONTH(Metrics!$B$5), DAY(Metrics!$B$5))</f>
        <v>43344</v>
      </c>
      <c r="Y380" s="16">
        <f t="shared" si="5"/>
        <v>2018</v>
      </c>
    </row>
    <row r="381" spans="21:25" ht="16" x14ac:dyDescent="0.2">
      <c r="U381" s="12">
        <v>1626</v>
      </c>
      <c r="V381" s="13" t="s">
        <v>297</v>
      </c>
      <c r="W381" s="16" t="str">
        <f>TEXT(VLOOKUP(U381, News!A:C, 3, FALSE), "M/D/YYYY")</f>
        <v>6/1/2018</v>
      </c>
      <c r="X381" s="18">
        <f>DATE(YEAR(W381),MONTH(Metrics!$B$5), DAY(Metrics!$B$5))</f>
        <v>43344</v>
      </c>
      <c r="Y381" s="16">
        <f t="shared" si="5"/>
        <v>2018</v>
      </c>
    </row>
    <row r="382" spans="21:25" ht="16" x14ac:dyDescent="0.2">
      <c r="U382" s="12">
        <v>3823</v>
      </c>
      <c r="V382" s="13" t="s">
        <v>297</v>
      </c>
      <c r="W382" s="16" t="str">
        <f>TEXT(VLOOKUP(U382, News!A:C, 3, FALSE), "M/D/YYYY")</f>
        <v>3/13/2019</v>
      </c>
      <c r="X382" s="18">
        <f>DATE(YEAR(W382),MONTH(Metrics!$B$5), DAY(Metrics!$B$5))</f>
        <v>43709</v>
      </c>
      <c r="Y382" s="16">
        <f t="shared" si="5"/>
        <v>2019</v>
      </c>
    </row>
    <row r="383" spans="21:25" ht="16" x14ac:dyDescent="0.2">
      <c r="U383" s="12">
        <v>4863</v>
      </c>
      <c r="V383" s="13" t="s">
        <v>297</v>
      </c>
      <c r="W383" s="16" t="str">
        <f>TEXT(VLOOKUP(U383, News!A:C, 3, FALSE), "M/D/YYYY")</f>
        <v>2/6/2020</v>
      </c>
      <c r="X383" s="18">
        <f>DATE(YEAR(W383),MONTH(Metrics!$B$5), DAY(Metrics!$B$5))</f>
        <v>44075</v>
      </c>
      <c r="Y383" s="16">
        <f t="shared" si="5"/>
        <v>2020</v>
      </c>
    </row>
    <row r="384" spans="21:25" ht="16" x14ac:dyDescent="0.2">
      <c r="U384" s="12">
        <v>4493</v>
      </c>
      <c r="V384" s="13" t="s">
        <v>297</v>
      </c>
      <c r="W384" s="16" t="str">
        <f>TEXT(VLOOKUP(U384, News!A:C, 3, FALSE), "M/D/YYYY")</f>
        <v>10/10/2019</v>
      </c>
      <c r="X384" s="18">
        <f>DATE(YEAR(W384),MONTH(Metrics!$B$5), DAY(Metrics!$B$5))</f>
        <v>43709</v>
      </c>
      <c r="Y384" s="16">
        <f t="shared" si="5"/>
        <v>2020</v>
      </c>
    </row>
    <row r="385" spans="21:25" ht="16" x14ac:dyDescent="0.2">
      <c r="U385" s="12">
        <v>4579</v>
      </c>
      <c r="V385" s="13" t="s">
        <v>297</v>
      </c>
      <c r="W385" s="16" t="str">
        <f>TEXT(VLOOKUP(U385, News!A:C, 3, FALSE), "M/D/YYYY")</f>
        <v>9/30/2019</v>
      </c>
      <c r="X385" s="18">
        <f>DATE(YEAR(W385),MONTH(Metrics!$B$5), DAY(Metrics!$B$5))</f>
        <v>43709</v>
      </c>
      <c r="Y385" s="16">
        <f t="shared" si="5"/>
        <v>2020</v>
      </c>
    </row>
    <row r="386" spans="21:25" ht="16" x14ac:dyDescent="0.2">
      <c r="U386" s="12">
        <v>7610</v>
      </c>
      <c r="V386" s="13" t="s">
        <v>297</v>
      </c>
      <c r="W386" s="16" t="str">
        <f>TEXT(VLOOKUP(U386, News!A:C, 3, FALSE), "M/D/YYYY")</f>
        <v>10/12/2022</v>
      </c>
      <c r="X386" s="18">
        <f>DATE(YEAR(W386),MONTH(Metrics!$B$5), DAY(Metrics!$B$5))</f>
        <v>44805</v>
      </c>
      <c r="Y386" s="16">
        <f t="shared" si="5"/>
        <v>2023</v>
      </c>
    </row>
    <row r="387" spans="21:25" ht="16" x14ac:dyDescent="0.2">
      <c r="U387" s="12">
        <v>8223</v>
      </c>
      <c r="V387" s="13" t="s">
        <v>297</v>
      </c>
      <c r="W387" s="16" t="str">
        <f>TEXT(VLOOKUP(U387, News!A:C, 3, FALSE), "M/D/YYYY")</f>
        <v>4/20/2023</v>
      </c>
      <c r="X387" s="18">
        <f>DATE(YEAR(W387),MONTH(Metrics!$B$5), DAY(Metrics!$B$5))</f>
        <v>45170</v>
      </c>
      <c r="Y387" s="16">
        <f t="shared" ref="Y387:Y450" si="6">IF(MONTH(W387) &gt;= MONTH(X387), YEAR(W387)+1, YEAR(W387))</f>
        <v>2023</v>
      </c>
    </row>
    <row r="388" spans="21:25" ht="16" x14ac:dyDescent="0.2">
      <c r="U388" s="12">
        <v>6919</v>
      </c>
      <c r="V388" s="13" t="s">
        <v>297</v>
      </c>
      <c r="W388" s="16" t="str">
        <f>TEXT(VLOOKUP(U388, News!A:C, 3, FALSE), "M/D/YYYY")</f>
        <v>2/23/2022</v>
      </c>
      <c r="X388" s="18">
        <f>DATE(YEAR(W388),MONTH(Metrics!$B$5), DAY(Metrics!$B$5))</f>
        <v>44805</v>
      </c>
      <c r="Y388" s="16">
        <f t="shared" si="6"/>
        <v>2022</v>
      </c>
    </row>
    <row r="389" spans="21:25" ht="16" x14ac:dyDescent="0.2">
      <c r="U389" s="12">
        <v>8125</v>
      </c>
      <c r="V389" s="13" t="s">
        <v>297</v>
      </c>
      <c r="W389" s="16" t="str">
        <f>TEXT(VLOOKUP(U389, News!A:C, 3, FALSE), "M/D/YYYY")</f>
        <v>3/28/2023</v>
      </c>
      <c r="X389" s="18">
        <f>DATE(YEAR(W389),MONTH(Metrics!$B$5), DAY(Metrics!$B$5))</f>
        <v>45170</v>
      </c>
      <c r="Y389" s="16">
        <f t="shared" si="6"/>
        <v>2023</v>
      </c>
    </row>
    <row r="390" spans="21:25" ht="16" x14ac:dyDescent="0.2">
      <c r="U390" s="12">
        <v>1396</v>
      </c>
      <c r="V390" s="13" t="s">
        <v>23</v>
      </c>
      <c r="W390" s="16" t="str">
        <f>TEXT(VLOOKUP(U390, News!A:C, 3, FALSE), "M/D/YYYY")</f>
        <v>3/29/2018</v>
      </c>
      <c r="X390" s="18">
        <f>DATE(YEAR(W390),MONTH(Metrics!$B$5), DAY(Metrics!$B$5))</f>
        <v>43344</v>
      </c>
      <c r="Y390" s="16">
        <f t="shared" si="6"/>
        <v>2018</v>
      </c>
    </row>
    <row r="391" spans="21:25" ht="16" x14ac:dyDescent="0.2">
      <c r="U391" s="12">
        <v>3609</v>
      </c>
      <c r="V391" s="13" t="s">
        <v>23</v>
      </c>
      <c r="W391" s="16" t="str">
        <f>TEXT(VLOOKUP(U391, News!A:C, 3, FALSE), "M/D/YYYY")</f>
        <v>1/30/2016</v>
      </c>
      <c r="X391" s="18">
        <f>DATE(YEAR(W391),MONTH(Metrics!$B$5), DAY(Metrics!$B$5))</f>
        <v>42614</v>
      </c>
      <c r="Y391" s="16">
        <f t="shared" si="6"/>
        <v>2016</v>
      </c>
    </row>
    <row r="392" spans="21:25" ht="16" x14ac:dyDescent="0.2">
      <c r="U392" s="12">
        <v>4013</v>
      </c>
      <c r="V392" s="13" t="s">
        <v>23</v>
      </c>
      <c r="W392" s="16" t="str">
        <f>TEXT(VLOOKUP(U392, News!A:C, 3, FALSE), "M/D/YYYY")</f>
        <v>2/5/2015</v>
      </c>
      <c r="X392" s="18">
        <f>DATE(YEAR(W392),MONTH(Metrics!$B$5), DAY(Metrics!$B$5))</f>
        <v>42248</v>
      </c>
      <c r="Y392" s="16">
        <f t="shared" si="6"/>
        <v>2015</v>
      </c>
    </row>
    <row r="393" spans="21:25" ht="16" x14ac:dyDescent="0.2">
      <c r="U393" s="12">
        <v>4474</v>
      </c>
      <c r="V393" s="13" t="s">
        <v>23</v>
      </c>
      <c r="W393" s="16" t="str">
        <f>TEXT(VLOOKUP(U393, News!A:C, 3, FALSE), "M/D/YYYY")</f>
        <v>4/27/2014</v>
      </c>
      <c r="X393" s="18">
        <f>DATE(YEAR(W393),MONTH(Metrics!$B$5), DAY(Metrics!$B$5))</f>
        <v>41883</v>
      </c>
      <c r="Y393" s="16">
        <f t="shared" si="6"/>
        <v>2014</v>
      </c>
    </row>
    <row r="394" spans="21:25" ht="16" x14ac:dyDescent="0.2">
      <c r="U394" s="12">
        <v>7060</v>
      </c>
      <c r="V394" s="13" t="s">
        <v>23</v>
      </c>
      <c r="W394" s="16" t="str">
        <f>TEXT(VLOOKUP(U394, News!A:C, 3, FALSE), "M/D/YYYY")</f>
        <v>4/18/2022</v>
      </c>
      <c r="X394" s="18">
        <f>DATE(YEAR(W394),MONTH(Metrics!$B$5), DAY(Metrics!$B$5))</f>
        <v>44805</v>
      </c>
      <c r="Y394" s="16">
        <f t="shared" si="6"/>
        <v>2022</v>
      </c>
    </row>
    <row r="395" spans="21:25" ht="16" x14ac:dyDescent="0.2">
      <c r="U395" s="12">
        <v>1935</v>
      </c>
      <c r="V395" s="13" t="s">
        <v>23</v>
      </c>
      <c r="W395" s="16" t="str">
        <f>TEXT(VLOOKUP(U395, News!A:C, 3, FALSE), "M/D/YYYY")</f>
        <v>10/26/2018</v>
      </c>
      <c r="X395" s="18">
        <f>DATE(YEAR(W395),MONTH(Metrics!$B$5), DAY(Metrics!$B$5))</f>
        <v>43344</v>
      </c>
      <c r="Y395" s="16">
        <f t="shared" si="6"/>
        <v>2019</v>
      </c>
    </row>
    <row r="396" spans="21:25" ht="16" x14ac:dyDescent="0.2">
      <c r="U396" s="12">
        <v>3972</v>
      </c>
      <c r="V396" s="13" t="s">
        <v>23</v>
      </c>
      <c r="W396" s="16" t="str">
        <f>TEXT(VLOOKUP(U396, News!A:C, 3, FALSE), "M/D/YYYY")</f>
        <v>3/29/2015</v>
      </c>
      <c r="X396" s="18">
        <f>DATE(YEAR(W396),MONTH(Metrics!$B$5), DAY(Metrics!$B$5))</f>
        <v>42248</v>
      </c>
      <c r="Y396" s="16">
        <f t="shared" si="6"/>
        <v>2015</v>
      </c>
    </row>
    <row r="397" spans="21:25" ht="16" x14ac:dyDescent="0.2">
      <c r="U397" s="12">
        <v>4160</v>
      </c>
      <c r="V397" s="13" t="s">
        <v>23</v>
      </c>
      <c r="W397" s="16" t="str">
        <f>TEXT(VLOOKUP(U397, News!A:C, 3, FALSE), "M/D/YYYY")</f>
        <v>5/29/2014</v>
      </c>
      <c r="X397" s="18">
        <f>DATE(YEAR(W397),MONTH(Metrics!$B$5), DAY(Metrics!$B$5))</f>
        <v>41883</v>
      </c>
      <c r="Y397" s="16">
        <f t="shared" si="6"/>
        <v>2014</v>
      </c>
    </row>
    <row r="398" spans="21:25" ht="16" x14ac:dyDescent="0.2">
      <c r="U398" s="12">
        <v>7706</v>
      </c>
      <c r="V398" s="13" t="s">
        <v>23</v>
      </c>
      <c r="W398" s="16" t="str">
        <f>TEXT(VLOOKUP(U398, News!A:C, 3, FALSE), "M/D/YYYY")</f>
        <v>11/11/2022</v>
      </c>
      <c r="X398" s="18">
        <f>DATE(YEAR(W398),MONTH(Metrics!$B$5), DAY(Metrics!$B$5))</f>
        <v>44805</v>
      </c>
      <c r="Y398" s="16">
        <f t="shared" si="6"/>
        <v>2023</v>
      </c>
    </row>
    <row r="399" spans="21:25" ht="16" x14ac:dyDescent="0.2">
      <c r="U399" s="12">
        <v>1615</v>
      </c>
      <c r="V399" s="13" t="s">
        <v>23</v>
      </c>
      <c r="W399" s="16" t="str">
        <f>TEXT(VLOOKUP(U399, News!A:C, 3, FALSE), "M/D/YYYY")</f>
        <v>8/24/2018</v>
      </c>
      <c r="X399" s="18">
        <f>DATE(YEAR(W399),MONTH(Metrics!$B$5), DAY(Metrics!$B$5))</f>
        <v>43344</v>
      </c>
      <c r="Y399" s="16">
        <f t="shared" si="6"/>
        <v>2018</v>
      </c>
    </row>
    <row r="400" spans="21:25" ht="16" x14ac:dyDescent="0.2">
      <c r="U400" s="12">
        <v>4018</v>
      </c>
      <c r="V400" s="13" t="s">
        <v>23</v>
      </c>
      <c r="W400" s="16" t="str">
        <f>TEXT(VLOOKUP(U400, News!A:C, 3, FALSE), "M/D/YYYY")</f>
        <v>1/11/2015</v>
      </c>
      <c r="X400" s="18">
        <f>DATE(YEAR(W400),MONTH(Metrics!$B$5), DAY(Metrics!$B$5))</f>
        <v>42248</v>
      </c>
      <c r="Y400" s="16">
        <f t="shared" si="6"/>
        <v>2015</v>
      </c>
    </row>
    <row r="401" spans="21:25" ht="16" x14ac:dyDescent="0.2">
      <c r="U401" s="12">
        <v>4130</v>
      </c>
      <c r="V401" s="13" t="s">
        <v>23</v>
      </c>
      <c r="W401" s="16" t="str">
        <f>TEXT(VLOOKUP(U401, News!A:C, 3, FALSE), "M/D/YYYY")</f>
        <v>7/10/2014</v>
      </c>
      <c r="X401" s="18">
        <f>DATE(YEAR(W401),MONTH(Metrics!$B$5), DAY(Metrics!$B$5))</f>
        <v>41883</v>
      </c>
      <c r="Y401" s="16">
        <f t="shared" si="6"/>
        <v>2014</v>
      </c>
    </row>
    <row r="402" spans="21:25" ht="16" x14ac:dyDescent="0.2">
      <c r="U402" s="12">
        <v>3003</v>
      </c>
      <c r="V402" s="13" t="s">
        <v>23</v>
      </c>
      <c r="W402" s="16" t="str">
        <f>TEXT(VLOOKUP(U402, News!A:C, 3, FALSE), "M/D/YYYY")</f>
        <v>11/1/2016</v>
      </c>
      <c r="X402" s="18">
        <f>DATE(YEAR(W402),MONTH(Metrics!$B$5), DAY(Metrics!$B$5))</f>
        <v>42614</v>
      </c>
      <c r="Y402" s="16">
        <f t="shared" si="6"/>
        <v>2017</v>
      </c>
    </row>
    <row r="403" spans="21:25" ht="16" x14ac:dyDescent="0.2">
      <c r="U403" s="12">
        <v>3537</v>
      </c>
      <c r="V403" s="13" t="s">
        <v>23</v>
      </c>
      <c r="W403" s="16" t="str">
        <f>TEXT(VLOOKUP(U403, News!A:C, 3, FALSE), "M/D/YYYY")</f>
        <v>4/25/2016</v>
      </c>
      <c r="X403" s="18">
        <f>DATE(YEAR(W403),MONTH(Metrics!$B$5), DAY(Metrics!$B$5))</f>
        <v>42614</v>
      </c>
      <c r="Y403" s="16">
        <f t="shared" si="6"/>
        <v>2016</v>
      </c>
    </row>
    <row r="404" spans="21:25" ht="16" x14ac:dyDescent="0.2">
      <c r="U404" s="12">
        <v>4069</v>
      </c>
      <c r="V404" s="13" t="s">
        <v>23</v>
      </c>
      <c r="W404" s="16" t="str">
        <f>TEXT(VLOOKUP(U404, News!A:C, 3, FALSE), "M/D/YYYY")</f>
        <v>10/20/2014</v>
      </c>
      <c r="X404" s="18">
        <f>DATE(YEAR(W404),MONTH(Metrics!$B$5), DAY(Metrics!$B$5))</f>
        <v>41883</v>
      </c>
      <c r="Y404" s="16">
        <f t="shared" si="6"/>
        <v>2015</v>
      </c>
    </row>
    <row r="405" spans="21:25" ht="16" x14ac:dyDescent="0.2">
      <c r="U405" s="12">
        <v>1445</v>
      </c>
      <c r="V405" s="13" t="s">
        <v>23</v>
      </c>
      <c r="W405" s="16" t="str">
        <f>TEXT(VLOOKUP(U405, News!A:C, 3, FALSE), "M/D/YYYY")</f>
        <v>1/31/2018</v>
      </c>
      <c r="X405" s="18">
        <f>DATE(YEAR(W405),MONTH(Metrics!$B$5), DAY(Metrics!$B$5))</f>
        <v>43344</v>
      </c>
      <c r="Y405" s="16">
        <f t="shared" si="6"/>
        <v>2018</v>
      </c>
    </row>
    <row r="406" spans="21:25" ht="16" x14ac:dyDescent="0.2">
      <c r="U406" s="12">
        <v>4048</v>
      </c>
      <c r="V406" s="13" t="s">
        <v>23</v>
      </c>
      <c r="W406" s="16" t="str">
        <f>TEXT(VLOOKUP(U406, News!A:C, 3, FALSE), "M/D/YYYY")</f>
        <v>11/2/2014</v>
      </c>
      <c r="X406" s="18">
        <f>DATE(YEAR(W406),MONTH(Metrics!$B$5), DAY(Metrics!$B$5))</f>
        <v>41883</v>
      </c>
      <c r="Y406" s="16">
        <f t="shared" si="6"/>
        <v>2015</v>
      </c>
    </row>
    <row r="407" spans="21:25" ht="16" x14ac:dyDescent="0.2">
      <c r="U407" s="12">
        <v>2015</v>
      </c>
      <c r="V407" s="13" t="s">
        <v>23</v>
      </c>
      <c r="W407" s="16" t="str">
        <f>TEXT(VLOOKUP(U407, News!A:C, 3, FALSE), "M/D/YYYY")</f>
        <v>8/18/2017</v>
      </c>
      <c r="X407" s="18">
        <f>DATE(YEAR(W407),MONTH(Metrics!$B$5), DAY(Metrics!$B$5))</f>
        <v>42979</v>
      </c>
      <c r="Y407" s="16">
        <f t="shared" si="6"/>
        <v>2017</v>
      </c>
    </row>
    <row r="408" spans="21:25" ht="16" x14ac:dyDescent="0.2">
      <c r="U408" s="12">
        <v>4204</v>
      </c>
      <c r="V408" s="13" t="s">
        <v>23</v>
      </c>
      <c r="W408" s="16" t="str">
        <f>TEXT(VLOOKUP(U408, News!A:C, 3, FALSE), "M/D/YYYY")</f>
        <v>6/3/2014</v>
      </c>
      <c r="X408" s="18">
        <f>DATE(YEAR(W408),MONTH(Metrics!$B$5), DAY(Metrics!$B$5))</f>
        <v>41883</v>
      </c>
      <c r="Y408" s="16">
        <f t="shared" si="6"/>
        <v>2014</v>
      </c>
    </row>
    <row r="409" spans="21:25" ht="16" x14ac:dyDescent="0.2">
      <c r="U409" s="12">
        <v>2032</v>
      </c>
      <c r="V409" s="13" t="s">
        <v>23</v>
      </c>
      <c r="W409" s="16" t="str">
        <f>TEXT(VLOOKUP(U409, News!A:C, 3, FALSE), "M/D/YYYY")</f>
        <v>7/31/2017</v>
      </c>
      <c r="X409" s="18">
        <f>DATE(YEAR(W409),MONTH(Metrics!$B$5), DAY(Metrics!$B$5))</f>
        <v>42979</v>
      </c>
      <c r="Y409" s="16">
        <f t="shared" si="6"/>
        <v>2017</v>
      </c>
    </row>
    <row r="410" spans="21:25" ht="16" x14ac:dyDescent="0.2">
      <c r="U410" s="12">
        <v>2515</v>
      </c>
      <c r="V410" s="13" t="s">
        <v>23</v>
      </c>
      <c r="W410" s="16" t="str">
        <f>TEXT(VLOOKUP(U410, News!A:C, 3, FALSE), "M/D/YYYY")</f>
        <v>2/25/2017</v>
      </c>
      <c r="X410" s="18">
        <f>DATE(YEAR(W410),MONTH(Metrics!$B$5), DAY(Metrics!$B$5))</f>
        <v>42979</v>
      </c>
      <c r="Y410" s="16">
        <f t="shared" si="6"/>
        <v>2017</v>
      </c>
    </row>
    <row r="411" spans="21:25" ht="16" x14ac:dyDescent="0.2">
      <c r="U411" s="12">
        <v>3343</v>
      </c>
      <c r="V411" s="13" t="s">
        <v>23</v>
      </c>
      <c r="W411" s="16" t="str">
        <f>TEXT(VLOOKUP(U411, News!A:C, 3, FALSE), "M/D/YYYY")</f>
        <v>6/1/2016</v>
      </c>
      <c r="X411" s="18">
        <f>DATE(YEAR(W411),MONTH(Metrics!$B$5), DAY(Metrics!$B$5))</f>
        <v>42614</v>
      </c>
      <c r="Y411" s="16">
        <f t="shared" si="6"/>
        <v>2016</v>
      </c>
    </row>
    <row r="412" spans="21:25" ht="16" x14ac:dyDescent="0.2">
      <c r="U412" s="12">
        <v>3551</v>
      </c>
      <c r="V412" s="13" t="s">
        <v>23</v>
      </c>
      <c r="W412" s="16" t="str">
        <f>TEXT(VLOOKUP(U412, News!A:C, 3, FALSE), "M/D/YYYY")</f>
        <v>3/29/2016</v>
      </c>
      <c r="X412" s="18">
        <f>DATE(YEAR(W412),MONTH(Metrics!$B$5), DAY(Metrics!$B$5))</f>
        <v>42614</v>
      </c>
      <c r="Y412" s="16">
        <f t="shared" si="6"/>
        <v>2016</v>
      </c>
    </row>
    <row r="413" spans="21:25" ht="16" x14ac:dyDescent="0.2">
      <c r="U413" s="12">
        <v>3642</v>
      </c>
      <c r="V413" s="13" t="s">
        <v>23</v>
      </c>
      <c r="W413" s="16" t="str">
        <f>TEXT(VLOOKUP(U413, News!A:C, 3, FALSE), "M/D/YYYY")</f>
        <v>11/22/2015</v>
      </c>
      <c r="X413" s="18">
        <f>DATE(YEAR(W413),MONTH(Metrics!$B$5), DAY(Metrics!$B$5))</f>
        <v>42248</v>
      </c>
      <c r="Y413" s="16">
        <f t="shared" si="6"/>
        <v>2016</v>
      </c>
    </row>
    <row r="414" spans="21:25" ht="16" x14ac:dyDescent="0.2">
      <c r="U414" s="12">
        <v>3735</v>
      </c>
      <c r="V414" s="13" t="s">
        <v>23</v>
      </c>
      <c r="W414" s="16" t="str">
        <f>TEXT(VLOOKUP(U414, News!A:C, 3, FALSE), "M/D/YYYY")</f>
        <v>10/31/2015</v>
      </c>
      <c r="X414" s="18">
        <f>DATE(YEAR(W414),MONTH(Metrics!$B$5), DAY(Metrics!$B$5))</f>
        <v>42248</v>
      </c>
      <c r="Y414" s="16">
        <f t="shared" si="6"/>
        <v>2016</v>
      </c>
    </row>
    <row r="415" spans="21:25" ht="16" x14ac:dyDescent="0.2">
      <c r="U415" s="12">
        <v>3743</v>
      </c>
      <c r="V415" s="13" t="s">
        <v>23</v>
      </c>
      <c r="W415" s="16" t="str">
        <f>TEXT(VLOOKUP(U415, News!A:C, 3, FALSE), "M/D/YYYY")</f>
        <v>10/5/2015</v>
      </c>
      <c r="X415" s="18">
        <f>DATE(YEAR(W415),MONTH(Metrics!$B$5), DAY(Metrics!$B$5))</f>
        <v>42248</v>
      </c>
      <c r="Y415" s="16">
        <f t="shared" si="6"/>
        <v>2016</v>
      </c>
    </row>
    <row r="416" spans="21:25" ht="16" x14ac:dyDescent="0.2">
      <c r="U416" s="12">
        <v>3760</v>
      </c>
      <c r="V416" s="13" t="s">
        <v>23</v>
      </c>
      <c r="W416" s="16" t="str">
        <f>TEXT(VLOOKUP(U416, News!A:C, 3, FALSE), "M/D/YYYY")</f>
        <v>9/12/2015</v>
      </c>
      <c r="X416" s="18">
        <f>DATE(YEAR(W416),MONTH(Metrics!$B$5), DAY(Metrics!$B$5))</f>
        <v>42248</v>
      </c>
      <c r="Y416" s="16">
        <f t="shared" si="6"/>
        <v>2016</v>
      </c>
    </row>
    <row r="417" spans="21:25" ht="16" x14ac:dyDescent="0.2">
      <c r="U417" s="12">
        <v>3799</v>
      </c>
      <c r="V417" s="13" t="s">
        <v>23</v>
      </c>
      <c r="W417" s="16" t="str">
        <f>TEXT(VLOOKUP(U417, News!A:C, 3, FALSE), "M/D/YYYY")</f>
        <v>7/12/2015</v>
      </c>
      <c r="X417" s="18">
        <f>DATE(YEAR(W417),MONTH(Metrics!$B$5), DAY(Metrics!$B$5))</f>
        <v>42248</v>
      </c>
      <c r="Y417" s="16">
        <f t="shared" si="6"/>
        <v>2015</v>
      </c>
    </row>
    <row r="418" spans="21:25" ht="16" x14ac:dyDescent="0.2">
      <c r="U418" s="12">
        <v>3921</v>
      </c>
      <c r="V418" s="13" t="s">
        <v>23</v>
      </c>
      <c r="W418" s="16" t="str">
        <f>TEXT(VLOOKUP(U418, News!A:C, 3, FALSE), "M/D/YYYY")</f>
        <v>4/30/2015</v>
      </c>
      <c r="X418" s="18">
        <f>DATE(YEAR(W418),MONTH(Metrics!$B$5), DAY(Metrics!$B$5))</f>
        <v>42248</v>
      </c>
      <c r="Y418" s="16">
        <f t="shared" si="6"/>
        <v>2015</v>
      </c>
    </row>
    <row r="419" spans="21:25" ht="16" x14ac:dyDescent="0.2">
      <c r="U419" s="12">
        <v>3951</v>
      </c>
      <c r="V419" s="13" t="s">
        <v>23</v>
      </c>
      <c r="W419" s="16" t="str">
        <f>TEXT(VLOOKUP(U419, News!A:C, 3, FALSE), "M/D/YYYY")</f>
        <v>1/31/2019</v>
      </c>
      <c r="X419" s="18">
        <f>DATE(YEAR(W419),MONTH(Metrics!$B$5), DAY(Metrics!$B$5))</f>
        <v>43709</v>
      </c>
      <c r="Y419" s="16">
        <f t="shared" si="6"/>
        <v>2019</v>
      </c>
    </row>
    <row r="420" spans="21:25" ht="16" x14ac:dyDescent="0.2">
      <c r="U420" s="12">
        <v>4010</v>
      </c>
      <c r="V420" s="13" t="s">
        <v>23</v>
      </c>
      <c r="W420" s="16" t="str">
        <f>TEXT(VLOOKUP(U420, News!A:C, 3, FALSE), "M/D/YYYY")</f>
        <v>2/10/2015</v>
      </c>
      <c r="X420" s="18">
        <f>DATE(YEAR(W420),MONTH(Metrics!$B$5), DAY(Metrics!$B$5))</f>
        <v>42248</v>
      </c>
      <c r="Y420" s="16">
        <f t="shared" si="6"/>
        <v>2015</v>
      </c>
    </row>
    <row r="421" spans="21:25" ht="16" x14ac:dyDescent="0.2">
      <c r="U421" s="12">
        <v>7705</v>
      </c>
      <c r="V421" s="13" t="s">
        <v>23</v>
      </c>
      <c r="W421" s="16" t="str">
        <f>TEXT(VLOOKUP(U421, News!A:C, 3, FALSE), "M/D/YYYY")</f>
        <v>11/14/2022</v>
      </c>
      <c r="X421" s="18">
        <f>DATE(YEAR(W421),MONTH(Metrics!$B$5), DAY(Metrics!$B$5))</f>
        <v>44805</v>
      </c>
      <c r="Y421" s="16">
        <f t="shared" si="6"/>
        <v>2023</v>
      </c>
    </row>
    <row r="422" spans="21:25" ht="16" x14ac:dyDescent="0.2">
      <c r="U422" s="12">
        <v>3280</v>
      </c>
      <c r="V422" s="13" t="s">
        <v>23</v>
      </c>
      <c r="W422" s="16" t="str">
        <f>TEXT(VLOOKUP(U422, News!A:C, 3, FALSE), "M/D/YYYY")</f>
        <v>8/30/2016</v>
      </c>
      <c r="X422" s="18">
        <f>DATE(YEAR(W422),MONTH(Metrics!$B$5), DAY(Metrics!$B$5))</f>
        <v>42614</v>
      </c>
      <c r="Y422" s="16">
        <f t="shared" si="6"/>
        <v>2016</v>
      </c>
    </row>
    <row r="423" spans="21:25" ht="16" x14ac:dyDescent="0.2">
      <c r="U423" s="12">
        <v>3301</v>
      </c>
      <c r="V423" s="13" t="s">
        <v>23</v>
      </c>
      <c r="W423" s="16" t="str">
        <f>TEXT(VLOOKUP(U423, News!A:C, 3, FALSE), "M/D/YYYY")</f>
        <v>8/29/2016</v>
      </c>
      <c r="X423" s="18">
        <f>DATE(YEAR(W423),MONTH(Metrics!$B$5), DAY(Metrics!$B$5))</f>
        <v>42614</v>
      </c>
      <c r="Y423" s="16">
        <f t="shared" si="6"/>
        <v>2016</v>
      </c>
    </row>
    <row r="424" spans="21:25" ht="16" x14ac:dyDescent="0.2">
      <c r="U424" s="12">
        <v>3452</v>
      </c>
      <c r="V424" s="13" t="s">
        <v>23</v>
      </c>
      <c r="W424" s="16" t="str">
        <f>TEXT(VLOOKUP(U424, News!A:C, 3, FALSE), "M/D/YYYY")</f>
        <v>5/10/2016</v>
      </c>
      <c r="X424" s="18">
        <f>DATE(YEAR(W424),MONTH(Metrics!$B$5), DAY(Metrics!$B$5))</f>
        <v>42614</v>
      </c>
      <c r="Y424" s="16">
        <f t="shared" si="6"/>
        <v>2016</v>
      </c>
    </row>
    <row r="425" spans="21:25" ht="16" x14ac:dyDescent="0.2">
      <c r="U425" s="12">
        <v>4816</v>
      </c>
      <c r="V425" s="13" t="s">
        <v>23</v>
      </c>
      <c r="W425" s="16" t="str">
        <f>TEXT(VLOOKUP(U425, News!A:C, 3, FALSE), "M/D/YYYY")</f>
        <v>1/10/2020</v>
      </c>
      <c r="X425" s="18">
        <f>DATE(YEAR(W425),MONTH(Metrics!$B$5), DAY(Metrics!$B$5))</f>
        <v>44075</v>
      </c>
      <c r="Y425" s="16">
        <f t="shared" si="6"/>
        <v>2020</v>
      </c>
    </row>
    <row r="426" spans="21:25" ht="16" x14ac:dyDescent="0.2">
      <c r="U426" s="12">
        <v>7757</v>
      </c>
      <c r="V426" s="13" t="s">
        <v>23</v>
      </c>
      <c r="W426" s="16" t="str">
        <f>TEXT(VLOOKUP(U426, News!A:C, 3, FALSE), "M/D/YYYY")</f>
        <v>12/8/2022</v>
      </c>
      <c r="X426" s="18">
        <f>DATE(YEAR(W426),MONTH(Metrics!$B$5), DAY(Metrics!$B$5))</f>
        <v>44805</v>
      </c>
      <c r="Y426" s="16">
        <f t="shared" si="6"/>
        <v>2023</v>
      </c>
    </row>
    <row r="427" spans="21:25" ht="16" x14ac:dyDescent="0.2">
      <c r="U427" s="12">
        <v>7954</v>
      </c>
      <c r="V427" s="13" t="s">
        <v>23</v>
      </c>
      <c r="W427" s="16" t="str">
        <f>TEXT(VLOOKUP(U427, News!A:C, 3, FALSE), "M/D/YYYY")</f>
        <v>1/23/2023</v>
      </c>
      <c r="X427" s="18">
        <f>DATE(YEAR(W427),MONTH(Metrics!$B$5), DAY(Metrics!$B$5))</f>
        <v>45170</v>
      </c>
      <c r="Y427" s="16">
        <f t="shared" si="6"/>
        <v>2023</v>
      </c>
    </row>
    <row r="428" spans="21:25" ht="16" x14ac:dyDescent="0.2">
      <c r="U428" s="12">
        <v>3330</v>
      </c>
      <c r="V428" s="13" t="s">
        <v>23</v>
      </c>
      <c r="W428" s="16" t="str">
        <f>TEXT(VLOOKUP(U428, News!A:C, 3, FALSE), "M/D/YYYY")</f>
        <v>7/13/2016</v>
      </c>
      <c r="X428" s="18">
        <f>DATE(YEAR(W428),MONTH(Metrics!$B$5), DAY(Metrics!$B$5))</f>
        <v>42614</v>
      </c>
      <c r="Y428" s="16">
        <f t="shared" si="6"/>
        <v>2016</v>
      </c>
    </row>
    <row r="429" spans="21:25" ht="16" x14ac:dyDescent="0.2">
      <c r="U429" s="12">
        <v>3339</v>
      </c>
      <c r="V429" s="13" t="s">
        <v>23</v>
      </c>
      <c r="W429" s="16" t="str">
        <f>TEXT(VLOOKUP(U429, News!A:C, 3, FALSE), "M/D/YYYY")</f>
        <v>6/24/2016</v>
      </c>
      <c r="X429" s="18">
        <f>DATE(YEAR(W429),MONTH(Metrics!$B$5), DAY(Metrics!$B$5))</f>
        <v>42614</v>
      </c>
      <c r="Y429" s="16">
        <f t="shared" si="6"/>
        <v>2016</v>
      </c>
    </row>
    <row r="430" spans="21:25" ht="16" x14ac:dyDescent="0.2">
      <c r="U430" s="12">
        <v>3428</v>
      </c>
      <c r="V430" s="13" t="s">
        <v>23</v>
      </c>
      <c r="W430" s="16" t="str">
        <f>TEXT(VLOOKUP(U430, News!A:C, 3, FALSE), "M/D/YYYY")</f>
        <v>5/19/2016</v>
      </c>
      <c r="X430" s="18">
        <f>DATE(YEAR(W430),MONTH(Metrics!$B$5), DAY(Metrics!$B$5))</f>
        <v>42614</v>
      </c>
      <c r="Y430" s="16">
        <f t="shared" si="6"/>
        <v>2016</v>
      </c>
    </row>
    <row r="431" spans="21:25" ht="16" x14ac:dyDescent="0.2">
      <c r="U431" s="12">
        <v>3458</v>
      </c>
      <c r="V431" s="13" t="s">
        <v>23</v>
      </c>
      <c r="W431" s="16" t="str">
        <f>TEXT(VLOOKUP(U431, News!A:C, 3, FALSE), "M/D/YYYY")</f>
        <v>5/6/2016</v>
      </c>
      <c r="X431" s="18">
        <f>DATE(YEAR(W431),MONTH(Metrics!$B$5), DAY(Metrics!$B$5))</f>
        <v>42614</v>
      </c>
      <c r="Y431" s="16">
        <f t="shared" si="6"/>
        <v>2016</v>
      </c>
    </row>
    <row r="432" spans="21:25" ht="16" x14ac:dyDescent="0.2">
      <c r="U432" s="12">
        <v>3529</v>
      </c>
      <c r="V432" s="13" t="s">
        <v>23</v>
      </c>
      <c r="W432" s="16" t="str">
        <f>TEXT(VLOOKUP(U432, News!A:C, 3, FALSE), "M/D/YYYY")</f>
        <v>4/30/2016</v>
      </c>
      <c r="X432" s="18">
        <f>DATE(YEAR(W432),MONTH(Metrics!$B$5), DAY(Metrics!$B$5))</f>
        <v>42614</v>
      </c>
      <c r="Y432" s="16">
        <f t="shared" si="6"/>
        <v>2016</v>
      </c>
    </row>
    <row r="433" spans="21:25" ht="16" x14ac:dyDescent="0.2">
      <c r="U433" s="12">
        <v>3563</v>
      </c>
      <c r="V433" s="13" t="s">
        <v>23</v>
      </c>
      <c r="W433" s="16" t="str">
        <f>TEXT(VLOOKUP(U433, News!A:C, 3, FALSE), "M/D/YYYY")</f>
        <v>2/11/2016</v>
      </c>
      <c r="X433" s="18">
        <f>DATE(YEAR(W433),MONTH(Metrics!$B$5), DAY(Metrics!$B$5))</f>
        <v>42614</v>
      </c>
      <c r="Y433" s="16">
        <f t="shared" si="6"/>
        <v>2016</v>
      </c>
    </row>
    <row r="434" spans="21:25" ht="16" x14ac:dyDescent="0.2">
      <c r="U434" s="12">
        <v>3639</v>
      </c>
      <c r="V434" s="13" t="s">
        <v>23</v>
      </c>
      <c r="W434" s="16" t="str">
        <f>TEXT(VLOOKUP(U434, News!A:C, 3, FALSE), "M/D/YYYY")</f>
        <v>11/25/2015</v>
      </c>
      <c r="X434" s="18">
        <f>DATE(YEAR(W434),MONTH(Metrics!$B$5), DAY(Metrics!$B$5))</f>
        <v>42248</v>
      </c>
      <c r="Y434" s="16">
        <f t="shared" si="6"/>
        <v>2016</v>
      </c>
    </row>
    <row r="435" spans="21:25" ht="16" x14ac:dyDescent="0.2">
      <c r="U435" s="12">
        <v>3659</v>
      </c>
      <c r="V435" s="13" t="s">
        <v>23</v>
      </c>
      <c r="W435" s="16" t="str">
        <f>TEXT(VLOOKUP(U435, News!A:C, 3, FALSE), "M/D/YYYY")</f>
        <v>11/11/2015</v>
      </c>
      <c r="X435" s="18">
        <f>DATE(YEAR(W435),MONTH(Metrics!$B$5), DAY(Metrics!$B$5))</f>
        <v>42248</v>
      </c>
      <c r="Y435" s="16">
        <f t="shared" si="6"/>
        <v>2016</v>
      </c>
    </row>
    <row r="436" spans="21:25" ht="16" x14ac:dyDescent="0.2">
      <c r="U436" s="12">
        <v>3663</v>
      </c>
      <c r="V436" s="13" t="s">
        <v>23</v>
      </c>
      <c r="W436" s="16" t="str">
        <f>TEXT(VLOOKUP(U436, News!A:C, 3, FALSE), "M/D/YYYY")</f>
        <v>11/3/2015</v>
      </c>
      <c r="X436" s="18">
        <f>DATE(YEAR(W436),MONTH(Metrics!$B$5), DAY(Metrics!$B$5))</f>
        <v>42248</v>
      </c>
      <c r="Y436" s="16">
        <f t="shared" si="6"/>
        <v>2016</v>
      </c>
    </row>
    <row r="437" spans="21:25" ht="16" x14ac:dyDescent="0.2">
      <c r="U437" s="12">
        <v>3746</v>
      </c>
      <c r="V437" s="13" t="s">
        <v>23</v>
      </c>
      <c r="W437" s="16" t="str">
        <f>TEXT(VLOOKUP(U437, News!A:C, 3, FALSE), "M/D/YYYY")</f>
        <v>9/30/2015</v>
      </c>
      <c r="X437" s="18">
        <f>DATE(YEAR(W437),MONTH(Metrics!$B$5), DAY(Metrics!$B$5))</f>
        <v>42248</v>
      </c>
      <c r="Y437" s="16">
        <f t="shared" si="6"/>
        <v>2016</v>
      </c>
    </row>
    <row r="438" spans="21:25" ht="16" x14ac:dyDescent="0.2">
      <c r="U438" s="12">
        <v>3755</v>
      </c>
      <c r="V438" s="13" t="s">
        <v>23</v>
      </c>
      <c r="W438" s="16" t="str">
        <f>TEXT(VLOOKUP(U438, News!A:C, 3, FALSE), "M/D/YYYY")</f>
        <v>11/25/2015</v>
      </c>
      <c r="X438" s="18">
        <f>DATE(YEAR(W438),MONTH(Metrics!$B$5), DAY(Metrics!$B$5))</f>
        <v>42248</v>
      </c>
      <c r="Y438" s="16">
        <f t="shared" si="6"/>
        <v>2016</v>
      </c>
    </row>
    <row r="439" spans="21:25" ht="16" x14ac:dyDescent="0.2">
      <c r="U439" s="12">
        <v>3758</v>
      </c>
      <c r="V439" s="13" t="s">
        <v>23</v>
      </c>
      <c r="W439" s="16" t="str">
        <f>TEXT(VLOOKUP(U439, News!A:C, 3, FALSE), "M/D/YYYY")</f>
        <v>9/13/2015</v>
      </c>
      <c r="X439" s="18">
        <f>DATE(YEAR(W439),MONTH(Metrics!$B$5), DAY(Metrics!$B$5))</f>
        <v>42248</v>
      </c>
      <c r="Y439" s="16">
        <f t="shared" si="6"/>
        <v>2016</v>
      </c>
    </row>
    <row r="440" spans="21:25" ht="16" x14ac:dyDescent="0.2">
      <c r="U440" s="12">
        <v>3803</v>
      </c>
      <c r="V440" s="13" t="s">
        <v>23</v>
      </c>
      <c r="W440" s="16" t="str">
        <f>TEXT(VLOOKUP(U440, News!A:C, 3, FALSE), "M/D/YYYY")</f>
        <v>6/30/2015</v>
      </c>
      <c r="X440" s="18">
        <f>DATE(YEAR(W440),MONTH(Metrics!$B$5), DAY(Metrics!$B$5))</f>
        <v>42248</v>
      </c>
      <c r="Y440" s="16">
        <f t="shared" si="6"/>
        <v>2015</v>
      </c>
    </row>
    <row r="441" spans="21:25" ht="16" x14ac:dyDescent="0.2">
      <c r="U441" s="12">
        <v>3883</v>
      </c>
      <c r="V441" s="13" t="s">
        <v>23</v>
      </c>
      <c r="W441" s="16" t="str">
        <f>TEXT(VLOOKUP(U441, News!A:C, 3, FALSE), "M/D/YYYY")</f>
        <v>6/15/2015</v>
      </c>
      <c r="X441" s="18">
        <f>DATE(YEAR(W441),MONTH(Metrics!$B$5), DAY(Metrics!$B$5))</f>
        <v>42248</v>
      </c>
      <c r="Y441" s="16">
        <f t="shared" si="6"/>
        <v>2015</v>
      </c>
    </row>
    <row r="442" spans="21:25" ht="16" x14ac:dyDescent="0.2">
      <c r="U442" s="12">
        <v>3899</v>
      </c>
      <c r="V442" s="13" t="s">
        <v>23</v>
      </c>
      <c r="W442" s="16" t="str">
        <f>TEXT(VLOOKUP(U442, News!A:C, 3, FALSE), "M/D/YYYY")</f>
        <v>5/15/2015</v>
      </c>
      <c r="X442" s="18">
        <f>DATE(YEAR(W442),MONTH(Metrics!$B$5), DAY(Metrics!$B$5))</f>
        <v>42248</v>
      </c>
      <c r="Y442" s="16">
        <f t="shared" si="6"/>
        <v>2015</v>
      </c>
    </row>
    <row r="443" spans="21:25" ht="16" x14ac:dyDescent="0.2">
      <c r="U443" s="12">
        <v>3970</v>
      </c>
      <c r="V443" s="13" t="s">
        <v>23</v>
      </c>
      <c r="W443" s="16" t="str">
        <f>TEXT(VLOOKUP(U443, News!A:C, 3, FALSE), "M/D/YYYY")</f>
        <v>3/31/2015</v>
      </c>
      <c r="X443" s="18">
        <f>DATE(YEAR(W443),MONTH(Metrics!$B$5), DAY(Metrics!$B$5))</f>
        <v>42248</v>
      </c>
      <c r="Y443" s="16">
        <f t="shared" si="6"/>
        <v>2015</v>
      </c>
    </row>
    <row r="444" spans="21:25" ht="16" x14ac:dyDescent="0.2">
      <c r="U444" s="12">
        <v>4016</v>
      </c>
      <c r="V444" s="13" t="s">
        <v>23</v>
      </c>
      <c r="W444" s="16" t="str">
        <f>TEXT(VLOOKUP(U444, News!A:C, 3, FALSE), "M/D/YYYY")</f>
        <v>1/25/2015</v>
      </c>
      <c r="X444" s="18">
        <f>DATE(YEAR(W444),MONTH(Metrics!$B$5), DAY(Metrics!$B$5))</f>
        <v>42248</v>
      </c>
      <c r="Y444" s="16">
        <f t="shared" si="6"/>
        <v>2015</v>
      </c>
    </row>
    <row r="445" spans="21:25" ht="16" x14ac:dyDescent="0.2">
      <c r="U445" s="12">
        <v>4075</v>
      </c>
      <c r="V445" s="13" t="s">
        <v>23</v>
      </c>
      <c r="W445" s="16" t="str">
        <f>TEXT(VLOOKUP(U445, News!A:C, 3, FALSE), "M/D/YYYY")</f>
        <v>9/30/2014</v>
      </c>
      <c r="X445" s="18">
        <f>DATE(YEAR(W445),MONTH(Metrics!$B$5), DAY(Metrics!$B$5))</f>
        <v>41883</v>
      </c>
      <c r="Y445" s="16">
        <f t="shared" si="6"/>
        <v>2015</v>
      </c>
    </row>
    <row r="446" spans="21:25" ht="16" x14ac:dyDescent="0.2">
      <c r="U446" s="12">
        <v>4125</v>
      </c>
      <c r="V446" s="13" t="s">
        <v>23</v>
      </c>
      <c r="W446" s="16" t="str">
        <f>TEXT(VLOOKUP(U446, News!A:C, 3, FALSE), "M/D/YYYY")</f>
        <v>7/29/2014</v>
      </c>
      <c r="X446" s="18">
        <f>DATE(YEAR(W446),MONTH(Metrics!$B$5), DAY(Metrics!$B$5))</f>
        <v>41883</v>
      </c>
      <c r="Y446" s="16">
        <f t="shared" si="6"/>
        <v>2014</v>
      </c>
    </row>
    <row r="447" spans="21:25" ht="16" x14ac:dyDescent="0.2">
      <c r="U447" s="12">
        <v>4155</v>
      </c>
      <c r="V447" s="13" t="s">
        <v>23</v>
      </c>
      <c r="W447" s="16" t="str">
        <f>TEXT(VLOOKUP(U447, News!A:C, 3, FALSE), "M/D/YYYY")</f>
        <v>5/31/2014</v>
      </c>
      <c r="X447" s="18">
        <f>DATE(YEAR(W447),MONTH(Metrics!$B$5), DAY(Metrics!$B$5))</f>
        <v>41883</v>
      </c>
      <c r="Y447" s="16">
        <f t="shared" si="6"/>
        <v>2014</v>
      </c>
    </row>
    <row r="448" spans="21:25" ht="16" x14ac:dyDescent="0.2">
      <c r="U448" s="12">
        <v>4357</v>
      </c>
      <c r="V448" s="13" t="s">
        <v>23</v>
      </c>
      <c r="W448" s="16" t="str">
        <f>TEXT(VLOOKUP(U448, News!A:C, 3, FALSE), "M/D/YYYY")</f>
        <v>7/18/2019</v>
      </c>
      <c r="X448" s="18">
        <f>DATE(YEAR(W448),MONTH(Metrics!$B$5), DAY(Metrics!$B$5))</f>
        <v>43709</v>
      </c>
      <c r="Y448" s="16">
        <f t="shared" si="6"/>
        <v>2019</v>
      </c>
    </row>
    <row r="449" spans="21:25" ht="16" x14ac:dyDescent="0.2">
      <c r="U449" s="12">
        <v>4435</v>
      </c>
      <c r="V449" s="13" t="s">
        <v>23</v>
      </c>
      <c r="W449" s="16" t="str">
        <f>TEXT(VLOOKUP(U449, News!A:C, 3, FALSE), "M/D/YYYY")</f>
        <v>8/2/2019</v>
      </c>
      <c r="X449" s="18">
        <f>DATE(YEAR(W449),MONTH(Metrics!$B$5), DAY(Metrics!$B$5))</f>
        <v>43709</v>
      </c>
      <c r="Y449" s="16">
        <f t="shared" si="6"/>
        <v>2019</v>
      </c>
    </row>
    <row r="450" spans="21:25" ht="16" x14ac:dyDescent="0.2">
      <c r="U450" s="12">
        <v>4458</v>
      </c>
      <c r="V450" s="13" t="s">
        <v>23</v>
      </c>
      <c r="W450" s="16" t="str">
        <f>TEXT(VLOOKUP(U450, News!A:C, 3, FALSE), "M/D/YYYY")</f>
        <v>6/3/2014</v>
      </c>
      <c r="X450" s="18">
        <f>DATE(YEAR(W450),MONTH(Metrics!$B$5), DAY(Metrics!$B$5))</f>
        <v>41883</v>
      </c>
      <c r="Y450" s="16">
        <f t="shared" si="6"/>
        <v>2014</v>
      </c>
    </row>
    <row r="451" spans="21:25" ht="16" x14ac:dyDescent="0.2">
      <c r="U451" s="12">
        <v>4592</v>
      </c>
      <c r="V451" s="13" t="s">
        <v>23</v>
      </c>
      <c r="W451" s="16" t="str">
        <f>TEXT(VLOOKUP(U451, News!A:C, 3, FALSE), "M/D/YYYY")</f>
        <v>10/8/2019</v>
      </c>
      <c r="X451" s="18">
        <f>DATE(YEAR(W451),MONTH(Metrics!$B$5), DAY(Metrics!$B$5))</f>
        <v>43709</v>
      </c>
      <c r="Y451" s="16">
        <f t="shared" ref="Y451:Y514" si="7">IF(MONTH(W451) &gt;= MONTH(X451), YEAR(W451)+1, YEAR(W451))</f>
        <v>2020</v>
      </c>
    </row>
    <row r="452" spans="21:25" ht="16" x14ac:dyDescent="0.2">
      <c r="U452" s="12">
        <v>1460</v>
      </c>
      <c r="V452" s="13" t="s">
        <v>23</v>
      </c>
      <c r="W452" s="16" t="str">
        <f>TEXT(VLOOKUP(U452, News!A:C, 3, FALSE), "M/D/YYYY")</f>
        <v>12/6/2017</v>
      </c>
      <c r="X452" s="18">
        <f>DATE(YEAR(W452),MONTH(Metrics!$B$5), DAY(Metrics!$B$5))</f>
        <v>42979</v>
      </c>
      <c r="Y452" s="16">
        <f t="shared" si="7"/>
        <v>2018</v>
      </c>
    </row>
    <row r="453" spans="21:25" ht="16" x14ac:dyDescent="0.2">
      <c r="U453" s="12">
        <v>2344</v>
      </c>
      <c r="V453" s="13" t="s">
        <v>23</v>
      </c>
      <c r="W453" s="16" t="str">
        <f>TEXT(VLOOKUP(U453, News!A:C, 3, FALSE), "M/D/YYYY")</f>
        <v>3/17/2017</v>
      </c>
      <c r="X453" s="18">
        <f>DATE(YEAR(W453),MONTH(Metrics!$B$5), DAY(Metrics!$B$5))</f>
        <v>42979</v>
      </c>
      <c r="Y453" s="16">
        <f t="shared" si="7"/>
        <v>2017</v>
      </c>
    </row>
    <row r="454" spans="21:25" ht="16" x14ac:dyDescent="0.2">
      <c r="U454" s="12">
        <v>3212</v>
      </c>
      <c r="V454" s="13" t="s">
        <v>23</v>
      </c>
      <c r="W454" s="16" t="str">
        <f>TEXT(VLOOKUP(U454, News!A:C, 3, FALSE), "M/D/YYYY")</f>
        <v>9/14/2016</v>
      </c>
      <c r="X454" s="18">
        <f>DATE(YEAR(W454),MONTH(Metrics!$B$5), DAY(Metrics!$B$5))</f>
        <v>42614</v>
      </c>
      <c r="Y454" s="16">
        <f t="shared" si="7"/>
        <v>2017</v>
      </c>
    </row>
    <row r="455" spans="21:25" ht="16" x14ac:dyDescent="0.2">
      <c r="U455" s="12">
        <v>4036</v>
      </c>
      <c r="V455" s="13" t="s">
        <v>23</v>
      </c>
      <c r="W455" s="16" t="str">
        <f>TEXT(VLOOKUP(U455, News!A:C, 3, FALSE), "M/D/YYYY")</f>
        <v>11/16/2014</v>
      </c>
      <c r="X455" s="18">
        <f>DATE(YEAR(W455),MONTH(Metrics!$B$5), DAY(Metrics!$B$5))</f>
        <v>41883</v>
      </c>
      <c r="Y455" s="16">
        <f t="shared" si="7"/>
        <v>2015</v>
      </c>
    </row>
    <row r="456" spans="21:25" ht="16" x14ac:dyDescent="0.2">
      <c r="U456" s="12">
        <v>4141</v>
      </c>
      <c r="V456" s="13" t="s">
        <v>23</v>
      </c>
      <c r="W456" s="16" t="str">
        <f>TEXT(VLOOKUP(U456, News!A:C, 3, FALSE), "M/D/YYYY")</f>
        <v>5/28/2019</v>
      </c>
      <c r="X456" s="18">
        <f>DATE(YEAR(W456),MONTH(Metrics!$B$5), DAY(Metrics!$B$5))</f>
        <v>43709</v>
      </c>
      <c r="Y456" s="16">
        <f t="shared" si="7"/>
        <v>2019</v>
      </c>
    </row>
    <row r="457" spans="21:25" ht="16" x14ac:dyDescent="0.2">
      <c r="U457" s="12">
        <v>4093</v>
      </c>
      <c r="V457" s="13" t="s">
        <v>23</v>
      </c>
      <c r="W457" s="16" t="str">
        <f>TEXT(VLOOKUP(U457, News!A:C, 3, FALSE), "M/D/YYYY")</f>
        <v>8/1/2014</v>
      </c>
      <c r="X457" s="18">
        <f>DATE(YEAR(W457),MONTH(Metrics!$B$5), DAY(Metrics!$B$5))</f>
        <v>41883</v>
      </c>
      <c r="Y457" s="16">
        <f t="shared" si="7"/>
        <v>2014</v>
      </c>
    </row>
    <row r="458" spans="21:25" ht="16" x14ac:dyDescent="0.2">
      <c r="U458" s="12">
        <v>4202</v>
      </c>
      <c r="V458" s="13" t="s">
        <v>23</v>
      </c>
      <c r="W458" s="16" t="str">
        <f>TEXT(VLOOKUP(U458, News!A:C, 3, FALSE), "M/D/YYYY")</f>
        <v>5/25/2014</v>
      </c>
      <c r="X458" s="18">
        <f>DATE(YEAR(W458),MONTH(Metrics!$B$5), DAY(Metrics!$B$5))</f>
        <v>41883</v>
      </c>
      <c r="Y458" s="16">
        <f t="shared" si="7"/>
        <v>2014</v>
      </c>
    </row>
    <row r="459" spans="21:25" ht="16" x14ac:dyDescent="0.2">
      <c r="U459" s="12">
        <v>4058</v>
      </c>
      <c r="V459" s="13" t="s">
        <v>23</v>
      </c>
      <c r="W459" s="16" t="str">
        <f>TEXT(VLOOKUP(U459, News!A:C, 3, FALSE), "M/D/YYYY")</f>
        <v>10/27/2014</v>
      </c>
      <c r="X459" s="18">
        <f>DATE(YEAR(W459),MONTH(Metrics!$B$5), DAY(Metrics!$B$5))</f>
        <v>41883</v>
      </c>
      <c r="Y459" s="16">
        <f t="shared" si="7"/>
        <v>2015</v>
      </c>
    </row>
    <row r="460" spans="21:25" ht="16" x14ac:dyDescent="0.2">
      <c r="U460" s="12">
        <v>437</v>
      </c>
      <c r="V460" s="13" t="s">
        <v>23</v>
      </c>
      <c r="W460" s="16" t="str">
        <f>TEXT(VLOOKUP(U460, News!A:C, 3, FALSE), "M/D/YYYY")</f>
        <v>7/13/2018</v>
      </c>
      <c r="X460" s="18">
        <f>DATE(YEAR(W460),MONTH(Metrics!$B$5), DAY(Metrics!$B$5))</f>
        <v>43344</v>
      </c>
      <c r="Y460" s="16">
        <f t="shared" si="7"/>
        <v>2018</v>
      </c>
    </row>
    <row r="461" spans="21:25" ht="16" x14ac:dyDescent="0.2">
      <c r="U461" s="12">
        <v>1286</v>
      </c>
      <c r="V461" s="13" t="s">
        <v>23</v>
      </c>
      <c r="W461" s="16" t="str">
        <f>TEXT(VLOOKUP(U461, News!A:C, 3, FALSE), "M/D/YYYY")</f>
        <v>7/8/2018</v>
      </c>
      <c r="X461" s="18">
        <f>DATE(YEAR(W461),MONTH(Metrics!$B$5), DAY(Metrics!$B$5))</f>
        <v>43344</v>
      </c>
      <c r="Y461" s="16">
        <f t="shared" si="7"/>
        <v>2018</v>
      </c>
    </row>
    <row r="462" spans="21:25" ht="16" x14ac:dyDescent="0.2">
      <c r="U462" s="12">
        <v>1288</v>
      </c>
      <c r="V462" s="13" t="s">
        <v>23</v>
      </c>
      <c r="W462" s="16" t="str">
        <f>TEXT(VLOOKUP(U462, News!A:C, 3, FALSE), "M/D/YYYY")</f>
        <v>6/29/2018</v>
      </c>
      <c r="X462" s="18">
        <f>DATE(YEAR(W462),MONTH(Metrics!$B$5), DAY(Metrics!$B$5))</f>
        <v>43344</v>
      </c>
      <c r="Y462" s="16">
        <f t="shared" si="7"/>
        <v>2018</v>
      </c>
    </row>
    <row r="463" spans="21:25" ht="16" x14ac:dyDescent="0.2">
      <c r="U463" s="12">
        <v>1289</v>
      </c>
      <c r="V463" s="13" t="s">
        <v>23</v>
      </c>
      <c r="W463" s="16" t="str">
        <f>TEXT(VLOOKUP(U463, News!A:C, 3, FALSE), "M/D/YYYY")</f>
        <v>8/4/2018</v>
      </c>
      <c r="X463" s="18">
        <f>DATE(YEAR(W463),MONTH(Metrics!$B$5), DAY(Metrics!$B$5))</f>
        <v>43344</v>
      </c>
      <c r="Y463" s="16">
        <f t="shared" si="7"/>
        <v>2018</v>
      </c>
    </row>
    <row r="464" spans="21:25" ht="16" x14ac:dyDescent="0.2">
      <c r="U464" s="12">
        <v>2829</v>
      </c>
      <c r="V464" s="13" t="s">
        <v>23</v>
      </c>
      <c r="W464" s="16" t="str">
        <f>TEXT(VLOOKUP(U464, News!A:C, 3, FALSE), "M/D/YYYY")</f>
        <v>12/15/2016</v>
      </c>
      <c r="X464" s="18">
        <f>DATE(YEAR(W464),MONTH(Metrics!$B$5), DAY(Metrics!$B$5))</f>
        <v>42614</v>
      </c>
      <c r="Y464" s="16">
        <f t="shared" si="7"/>
        <v>2017</v>
      </c>
    </row>
    <row r="465" spans="21:25" ht="16" x14ac:dyDescent="0.2">
      <c r="U465" s="12">
        <v>3007</v>
      </c>
      <c r="V465" s="13" t="s">
        <v>23</v>
      </c>
      <c r="W465" s="16" t="str">
        <f>TEXT(VLOOKUP(U465, News!A:C, 3, FALSE), "M/D/YYYY")</f>
        <v>10/30/2016</v>
      </c>
      <c r="X465" s="18">
        <f>DATE(YEAR(W465),MONTH(Metrics!$B$5), DAY(Metrics!$B$5))</f>
        <v>42614</v>
      </c>
      <c r="Y465" s="16">
        <f t="shared" si="7"/>
        <v>2017</v>
      </c>
    </row>
    <row r="466" spans="21:25" ht="16" x14ac:dyDescent="0.2">
      <c r="U466" s="12">
        <v>3224</v>
      </c>
      <c r="V466" s="13" t="s">
        <v>23</v>
      </c>
      <c r="W466" s="16" t="str">
        <f>TEXT(VLOOKUP(U466, News!A:C, 3, FALSE), "M/D/YYYY")</f>
        <v>9/2/2016</v>
      </c>
      <c r="X466" s="18">
        <f>DATE(YEAR(W466),MONTH(Metrics!$B$5), DAY(Metrics!$B$5))</f>
        <v>42614</v>
      </c>
      <c r="Y466" s="16">
        <f t="shared" si="7"/>
        <v>2017</v>
      </c>
    </row>
    <row r="467" spans="21:25" ht="16" x14ac:dyDescent="0.2">
      <c r="U467" s="12">
        <v>3532</v>
      </c>
      <c r="V467" s="13" t="s">
        <v>23</v>
      </c>
      <c r="W467" s="16" t="str">
        <f>TEXT(VLOOKUP(U467, News!A:C, 3, FALSE), "M/D/YYYY")</f>
        <v>4/29/2016</v>
      </c>
      <c r="X467" s="18">
        <f>DATE(YEAR(W467),MONTH(Metrics!$B$5), DAY(Metrics!$B$5))</f>
        <v>42614</v>
      </c>
      <c r="Y467" s="16">
        <f t="shared" si="7"/>
        <v>2016</v>
      </c>
    </row>
    <row r="468" spans="21:25" ht="16" x14ac:dyDescent="0.2">
      <c r="U468" s="12">
        <v>3556</v>
      </c>
      <c r="V468" s="13" t="s">
        <v>23</v>
      </c>
      <c r="W468" s="16" t="str">
        <f>TEXT(VLOOKUP(U468, News!A:C, 3, FALSE), "M/D/YYYY")</f>
        <v>2/28/2016</v>
      </c>
      <c r="X468" s="18">
        <f>DATE(YEAR(W468),MONTH(Metrics!$B$5), DAY(Metrics!$B$5))</f>
        <v>42614</v>
      </c>
      <c r="Y468" s="16">
        <f t="shared" si="7"/>
        <v>2016</v>
      </c>
    </row>
    <row r="469" spans="21:25" ht="16" x14ac:dyDescent="0.2">
      <c r="U469" s="12">
        <v>3614</v>
      </c>
      <c r="V469" s="13" t="s">
        <v>23</v>
      </c>
      <c r="W469" s="16" t="str">
        <f>TEXT(VLOOKUP(U469, News!A:C, 3, FALSE), "M/D/YYYY")</f>
        <v>1/27/2016</v>
      </c>
      <c r="X469" s="18">
        <f>DATE(YEAR(W469),MONTH(Metrics!$B$5), DAY(Metrics!$B$5))</f>
        <v>42614</v>
      </c>
      <c r="Y469" s="16">
        <f t="shared" si="7"/>
        <v>2016</v>
      </c>
    </row>
    <row r="470" spans="21:25" ht="16" x14ac:dyDescent="0.2">
      <c r="U470" s="12">
        <v>3624</v>
      </c>
      <c r="V470" s="13" t="s">
        <v>23</v>
      </c>
      <c r="W470" s="16" t="str">
        <f>TEXT(VLOOKUP(U470, News!A:C, 3, FALSE), "M/D/YYYY")</f>
        <v>12/6/2015</v>
      </c>
      <c r="X470" s="18">
        <f>DATE(YEAR(W470),MONTH(Metrics!$B$5), DAY(Metrics!$B$5))</f>
        <v>42248</v>
      </c>
      <c r="Y470" s="16">
        <f t="shared" si="7"/>
        <v>2016</v>
      </c>
    </row>
    <row r="471" spans="21:25" ht="16" x14ac:dyDescent="0.2">
      <c r="U471" s="12">
        <v>3661</v>
      </c>
      <c r="V471" s="13" t="s">
        <v>23</v>
      </c>
      <c r="W471" s="16" t="str">
        <f>TEXT(VLOOKUP(U471, News!A:C, 3, FALSE), "M/D/YYYY")</f>
        <v>11/10/2015</v>
      </c>
      <c r="X471" s="18">
        <f>DATE(YEAR(W471),MONTH(Metrics!$B$5), DAY(Metrics!$B$5))</f>
        <v>42248</v>
      </c>
      <c r="Y471" s="16">
        <f t="shared" si="7"/>
        <v>2016</v>
      </c>
    </row>
    <row r="472" spans="21:25" ht="16" x14ac:dyDescent="0.2">
      <c r="U472" s="12">
        <v>3737</v>
      </c>
      <c r="V472" s="13" t="s">
        <v>23</v>
      </c>
      <c r="W472" s="16" t="str">
        <f>TEXT(VLOOKUP(U472, News!A:C, 3, FALSE), "M/D/YYYY")</f>
        <v>10/25/2015</v>
      </c>
      <c r="X472" s="18">
        <f>DATE(YEAR(W472),MONTH(Metrics!$B$5), DAY(Metrics!$B$5))</f>
        <v>42248</v>
      </c>
      <c r="Y472" s="16">
        <f t="shared" si="7"/>
        <v>2016</v>
      </c>
    </row>
    <row r="473" spans="21:25" ht="16" x14ac:dyDescent="0.2">
      <c r="U473" s="12">
        <v>3787</v>
      </c>
      <c r="V473" s="13" t="s">
        <v>23</v>
      </c>
      <c r="W473" s="16" t="str">
        <f>TEXT(VLOOKUP(U473, News!A:C, 3, FALSE), "M/D/YYYY")</f>
        <v>8/30/2015</v>
      </c>
      <c r="X473" s="18">
        <f>DATE(YEAR(W473),MONTH(Metrics!$B$5), DAY(Metrics!$B$5))</f>
        <v>42248</v>
      </c>
      <c r="Y473" s="16">
        <f t="shared" si="7"/>
        <v>2015</v>
      </c>
    </row>
    <row r="474" spans="21:25" ht="16" x14ac:dyDescent="0.2">
      <c r="U474" s="12">
        <v>4028</v>
      </c>
      <c r="V474" s="13" t="s">
        <v>23</v>
      </c>
      <c r="W474" s="16" t="str">
        <f>TEXT(VLOOKUP(U474, News!A:C, 3, FALSE), "M/D/YYYY")</f>
        <v>12/15/2014</v>
      </c>
      <c r="X474" s="18">
        <f>DATE(YEAR(W474),MONTH(Metrics!$B$5), DAY(Metrics!$B$5))</f>
        <v>41883</v>
      </c>
      <c r="Y474" s="16">
        <f t="shared" si="7"/>
        <v>2015</v>
      </c>
    </row>
    <row r="475" spans="21:25" ht="16" x14ac:dyDescent="0.2">
      <c r="U475" s="12">
        <v>5920</v>
      </c>
      <c r="V475" s="13" t="s">
        <v>23</v>
      </c>
      <c r="W475" s="16" t="str">
        <f>TEXT(VLOOKUP(U475, News!A:C, 3, FALSE), "M/D/YYYY")</f>
        <v>4/2/2021</v>
      </c>
      <c r="X475" s="18">
        <f>DATE(YEAR(W475),MONTH(Metrics!$B$5), DAY(Metrics!$B$5))</f>
        <v>44440</v>
      </c>
      <c r="Y475" s="16">
        <f t="shared" si="7"/>
        <v>2021</v>
      </c>
    </row>
    <row r="476" spans="21:25" ht="16" x14ac:dyDescent="0.2">
      <c r="U476" s="12">
        <v>7698</v>
      </c>
      <c r="V476" s="13" t="s">
        <v>23</v>
      </c>
      <c r="W476" s="16" t="str">
        <f>TEXT(VLOOKUP(U476, News!A:C, 3, FALSE), "M/D/YYYY")</f>
        <v>11/4/2022</v>
      </c>
      <c r="X476" s="18">
        <f>DATE(YEAR(W476),MONTH(Metrics!$B$5), DAY(Metrics!$B$5))</f>
        <v>44805</v>
      </c>
      <c r="Y476" s="16">
        <f t="shared" si="7"/>
        <v>2023</v>
      </c>
    </row>
    <row r="477" spans="21:25" ht="16" x14ac:dyDescent="0.2">
      <c r="U477" s="12">
        <v>8131</v>
      </c>
      <c r="V477" s="13" t="s">
        <v>23</v>
      </c>
      <c r="W477" s="16" t="str">
        <f>TEXT(VLOOKUP(U477, News!A:C, 3, FALSE), "M/D/YYYY")</f>
        <v>3/8/2023</v>
      </c>
      <c r="X477" s="18">
        <f>DATE(YEAR(W477),MONTH(Metrics!$B$5), DAY(Metrics!$B$5))</f>
        <v>45170</v>
      </c>
      <c r="Y477" s="16">
        <f t="shared" si="7"/>
        <v>2023</v>
      </c>
    </row>
    <row r="478" spans="21:25" ht="16" x14ac:dyDescent="0.2">
      <c r="U478" s="12">
        <v>8166</v>
      </c>
      <c r="V478" s="13" t="s">
        <v>23</v>
      </c>
      <c r="W478" s="16" t="str">
        <f>TEXT(VLOOKUP(U478, News!A:C, 3, FALSE), "M/D/YYYY")</f>
        <v>4/14/2023</v>
      </c>
      <c r="X478" s="18">
        <f>DATE(YEAR(W478),MONTH(Metrics!$B$5), DAY(Metrics!$B$5))</f>
        <v>45170</v>
      </c>
      <c r="Y478" s="16">
        <f t="shared" si="7"/>
        <v>2023</v>
      </c>
    </row>
    <row r="479" spans="21:25" ht="16" x14ac:dyDescent="0.2">
      <c r="U479" s="12">
        <v>1382</v>
      </c>
      <c r="V479" s="13" t="s">
        <v>23</v>
      </c>
      <c r="W479" s="16" t="str">
        <f>TEXT(VLOOKUP(U479, News!A:C, 3, FALSE), "M/D/YYYY")</f>
        <v>12/1/2017</v>
      </c>
      <c r="X479" s="18">
        <f>DATE(YEAR(W479),MONTH(Metrics!$B$5), DAY(Metrics!$B$5))</f>
        <v>42979</v>
      </c>
      <c r="Y479" s="16">
        <f t="shared" si="7"/>
        <v>2018</v>
      </c>
    </row>
    <row r="480" spans="21:25" ht="16" x14ac:dyDescent="0.2">
      <c r="U480" s="12">
        <v>1400</v>
      </c>
      <c r="V480" s="13" t="s">
        <v>23</v>
      </c>
      <c r="W480" s="16" t="str">
        <f>TEXT(VLOOKUP(U480, News!A:C, 3, FALSE), "M/D/YYYY")</f>
        <v>3/22/2018</v>
      </c>
      <c r="X480" s="18">
        <f>DATE(YEAR(W480),MONTH(Metrics!$B$5), DAY(Metrics!$B$5))</f>
        <v>43344</v>
      </c>
      <c r="Y480" s="16">
        <f t="shared" si="7"/>
        <v>2018</v>
      </c>
    </row>
    <row r="481" spans="21:25" ht="16" x14ac:dyDescent="0.2">
      <c r="U481" s="12">
        <v>1701</v>
      </c>
      <c r="V481" s="13" t="s">
        <v>23</v>
      </c>
      <c r="W481" s="16" t="str">
        <f>TEXT(VLOOKUP(U481, News!A:C, 3, FALSE), "M/D/YYYY")</f>
        <v>9/27/2018</v>
      </c>
      <c r="X481" s="18">
        <f>DATE(YEAR(W481),MONTH(Metrics!$B$5), DAY(Metrics!$B$5))</f>
        <v>43344</v>
      </c>
      <c r="Y481" s="16">
        <f t="shared" si="7"/>
        <v>2019</v>
      </c>
    </row>
    <row r="482" spans="21:25" ht="16" x14ac:dyDescent="0.2">
      <c r="U482" s="12">
        <v>2444</v>
      </c>
      <c r="V482" s="13" t="s">
        <v>23</v>
      </c>
      <c r="W482" s="16" t="str">
        <f>TEXT(VLOOKUP(U482, News!A:C, 3, FALSE), "M/D/YYYY")</f>
        <v>3/2/2017</v>
      </c>
      <c r="X482" s="18">
        <f>DATE(YEAR(W482),MONTH(Metrics!$B$5), DAY(Metrics!$B$5))</f>
        <v>42979</v>
      </c>
      <c r="Y482" s="16">
        <f t="shared" si="7"/>
        <v>2017</v>
      </c>
    </row>
    <row r="483" spans="21:25" ht="16" x14ac:dyDescent="0.2">
      <c r="U483" s="12">
        <v>2989</v>
      </c>
      <c r="V483" s="13" t="s">
        <v>23</v>
      </c>
      <c r="W483" s="16" t="str">
        <f>TEXT(VLOOKUP(U483, News!A:C, 3, FALSE), "M/D/YYYY")</f>
        <v>12/1/2016</v>
      </c>
      <c r="X483" s="18">
        <f>DATE(YEAR(W483),MONTH(Metrics!$B$5), DAY(Metrics!$B$5))</f>
        <v>42614</v>
      </c>
      <c r="Y483" s="16">
        <f t="shared" si="7"/>
        <v>2017</v>
      </c>
    </row>
    <row r="484" spans="21:25" ht="16" x14ac:dyDescent="0.2">
      <c r="U484" s="12">
        <v>3410</v>
      </c>
      <c r="V484" s="13" t="s">
        <v>23</v>
      </c>
      <c r="W484" s="16" t="str">
        <f>TEXT(VLOOKUP(U484, News!A:C, 3, FALSE), "M/D/YYYY")</f>
        <v>1/15/2019</v>
      </c>
      <c r="X484" s="18">
        <f>DATE(YEAR(W484),MONTH(Metrics!$B$5), DAY(Metrics!$B$5))</f>
        <v>43709</v>
      </c>
      <c r="Y484" s="16">
        <f t="shared" si="7"/>
        <v>2019</v>
      </c>
    </row>
    <row r="485" spans="21:25" ht="16" x14ac:dyDescent="0.2">
      <c r="U485" s="12">
        <v>3442</v>
      </c>
      <c r="V485" s="13" t="s">
        <v>23</v>
      </c>
      <c r="W485" s="16" t="str">
        <f>TEXT(VLOOKUP(U485, News!A:C, 3, FALSE), "M/D/YYYY")</f>
        <v>1/21/2019</v>
      </c>
      <c r="X485" s="18">
        <f>DATE(YEAR(W485),MONTH(Metrics!$B$5), DAY(Metrics!$B$5))</f>
        <v>43709</v>
      </c>
      <c r="Y485" s="16">
        <f t="shared" si="7"/>
        <v>2019</v>
      </c>
    </row>
    <row r="486" spans="21:25" ht="16" x14ac:dyDescent="0.2">
      <c r="U486" s="12">
        <v>3542</v>
      </c>
      <c r="V486" s="13" t="s">
        <v>23</v>
      </c>
      <c r="W486" s="16" t="str">
        <f>TEXT(VLOOKUP(U486, News!A:C, 3, FALSE), "M/D/YYYY")</f>
        <v>4/3/2016</v>
      </c>
      <c r="X486" s="18">
        <f>DATE(YEAR(W486),MONTH(Metrics!$B$5), DAY(Metrics!$B$5))</f>
        <v>42614</v>
      </c>
      <c r="Y486" s="16">
        <f t="shared" si="7"/>
        <v>2016</v>
      </c>
    </row>
    <row r="487" spans="21:25" ht="16" x14ac:dyDescent="0.2">
      <c r="U487" s="12">
        <v>3604</v>
      </c>
      <c r="V487" s="13" t="s">
        <v>23</v>
      </c>
      <c r="W487" s="16" t="str">
        <f>TEXT(VLOOKUP(U487, News!A:C, 3, FALSE), "M/D/YYYY")</f>
        <v>2/4/2016</v>
      </c>
      <c r="X487" s="18">
        <f>DATE(YEAR(W487),MONTH(Metrics!$B$5), DAY(Metrics!$B$5))</f>
        <v>42614</v>
      </c>
      <c r="Y487" s="16">
        <f t="shared" si="7"/>
        <v>2016</v>
      </c>
    </row>
    <row r="488" spans="21:25" ht="16" x14ac:dyDescent="0.2">
      <c r="U488" s="12">
        <v>3654</v>
      </c>
      <c r="V488" s="13" t="s">
        <v>23</v>
      </c>
      <c r="W488" s="16" t="str">
        <f>TEXT(VLOOKUP(U488, News!A:C, 3, FALSE), "M/D/YYYY")</f>
        <v>11/13/2015</v>
      </c>
      <c r="X488" s="18">
        <f>DATE(YEAR(W488),MONTH(Metrics!$B$5), DAY(Metrics!$B$5))</f>
        <v>42248</v>
      </c>
      <c r="Y488" s="16">
        <f t="shared" si="7"/>
        <v>2016</v>
      </c>
    </row>
    <row r="489" spans="21:25" ht="16" x14ac:dyDescent="0.2">
      <c r="U489" s="12">
        <v>3980</v>
      </c>
      <c r="V489" s="13" t="s">
        <v>23</v>
      </c>
      <c r="W489" s="16" t="str">
        <f>TEXT(VLOOKUP(U489, News!A:C, 3, FALSE), "M/D/YYYY")</f>
        <v>2/26/2015</v>
      </c>
      <c r="X489" s="18">
        <f>DATE(YEAR(W489),MONTH(Metrics!$B$5), DAY(Metrics!$B$5))</f>
        <v>42248</v>
      </c>
      <c r="Y489" s="16">
        <f t="shared" si="7"/>
        <v>2015</v>
      </c>
    </row>
    <row r="490" spans="21:25" ht="16" x14ac:dyDescent="0.2">
      <c r="U490" s="12">
        <v>4174</v>
      </c>
      <c r="V490" s="13" t="s">
        <v>23</v>
      </c>
      <c r="W490" s="16" t="str">
        <f>TEXT(VLOOKUP(U490, News!A:C, 3, FALSE), "M/D/YYYY")</f>
        <v>3/15/2019</v>
      </c>
      <c r="X490" s="18">
        <f>DATE(YEAR(W490),MONTH(Metrics!$B$5), DAY(Metrics!$B$5))</f>
        <v>43709</v>
      </c>
      <c r="Y490" s="16">
        <f t="shared" si="7"/>
        <v>2019</v>
      </c>
    </row>
    <row r="491" spans="21:25" ht="16" x14ac:dyDescent="0.2">
      <c r="U491" s="12">
        <v>4177</v>
      </c>
      <c r="V491" s="13" t="s">
        <v>23</v>
      </c>
      <c r="W491" s="16" t="str">
        <f>TEXT(VLOOKUP(U491, News!A:C, 3, FALSE), "M/D/YYYY")</f>
        <v>4/1/2019</v>
      </c>
      <c r="X491" s="18">
        <f>DATE(YEAR(W491),MONTH(Metrics!$B$5), DAY(Metrics!$B$5))</f>
        <v>43709</v>
      </c>
      <c r="Y491" s="16">
        <f t="shared" si="7"/>
        <v>2019</v>
      </c>
    </row>
    <row r="492" spans="21:25" ht="16" x14ac:dyDescent="0.2">
      <c r="U492" s="12">
        <v>4209</v>
      </c>
      <c r="V492" s="13" t="s">
        <v>23</v>
      </c>
      <c r="W492" s="16" t="str">
        <f>TEXT(VLOOKUP(U492, News!A:C, 3, FALSE), "M/D/YYYY")</f>
        <v>5/9/2019</v>
      </c>
      <c r="X492" s="18">
        <f>DATE(YEAR(W492),MONTH(Metrics!$B$5), DAY(Metrics!$B$5))</f>
        <v>43709</v>
      </c>
      <c r="Y492" s="16">
        <f t="shared" si="7"/>
        <v>2019</v>
      </c>
    </row>
    <row r="493" spans="21:25" ht="16" x14ac:dyDescent="0.2">
      <c r="U493" s="12">
        <v>4244</v>
      </c>
      <c r="V493" s="13" t="s">
        <v>23</v>
      </c>
      <c r="W493" s="16" t="str">
        <f>TEXT(VLOOKUP(U493, News!A:C, 3, FALSE), "M/D/YYYY")</f>
        <v>5/13/2019</v>
      </c>
      <c r="X493" s="18">
        <f>DATE(YEAR(W493),MONTH(Metrics!$B$5), DAY(Metrics!$B$5))</f>
        <v>43709</v>
      </c>
      <c r="Y493" s="16">
        <f t="shared" si="7"/>
        <v>2019</v>
      </c>
    </row>
    <row r="494" spans="21:25" ht="16" x14ac:dyDescent="0.2">
      <c r="U494" s="12">
        <v>4247</v>
      </c>
      <c r="V494" s="13" t="s">
        <v>23</v>
      </c>
      <c r="W494" s="16" t="str">
        <f>TEXT(VLOOKUP(U494, News!A:C, 3, FALSE), "M/D/YYYY")</f>
        <v>5/29/2019</v>
      </c>
      <c r="X494" s="18">
        <f>DATE(YEAR(W494),MONTH(Metrics!$B$5), DAY(Metrics!$B$5))</f>
        <v>43709</v>
      </c>
      <c r="Y494" s="16">
        <f t="shared" si="7"/>
        <v>2019</v>
      </c>
    </row>
    <row r="495" spans="21:25" ht="16" x14ac:dyDescent="0.2">
      <c r="U495" s="12">
        <v>4472</v>
      </c>
      <c r="V495" s="13" t="s">
        <v>23</v>
      </c>
      <c r="W495" s="16" t="str">
        <f>TEXT(VLOOKUP(U495, News!A:C, 3, FALSE), "M/D/YYYY")</f>
        <v>4/30/2014</v>
      </c>
      <c r="X495" s="18">
        <f>DATE(YEAR(W495),MONTH(Metrics!$B$5), DAY(Metrics!$B$5))</f>
        <v>41883</v>
      </c>
      <c r="Y495" s="16">
        <f t="shared" si="7"/>
        <v>2014</v>
      </c>
    </row>
    <row r="496" spans="21:25" ht="16" x14ac:dyDescent="0.2">
      <c r="U496" s="12">
        <v>4765</v>
      </c>
      <c r="V496" s="13" t="s">
        <v>23</v>
      </c>
      <c r="W496" s="16" t="str">
        <f>TEXT(VLOOKUP(U496, News!A:C, 3, FALSE), "M/D/YYYY")</f>
        <v>12/10/2019</v>
      </c>
      <c r="X496" s="18">
        <f>DATE(YEAR(W496),MONTH(Metrics!$B$5), DAY(Metrics!$B$5))</f>
        <v>43709</v>
      </c>
      <c r="Y496" s="16">
        <f t="shared" si="7"/>
        <v>2020</v>
      </c>
    </row>
    <row r="497" spans="21:25" ht="16" x14ac:dyDescent="0.2">
      <c r="U497" s="12">
        <v>6028</v>
      </c>
      <c r="V497" s="13" t="s">
        <v>23</v>
      </c>
      <c r="W497" s="16" t="str">
        <f>TEXT(VLOOKUP(U497, News!A:C, 3, FALSE), "M/D/YYYY")</f>
        <v>5/3/2021</v>
      </c>
      <c r="X497" s="18">
        <f>DATE(YEAR(W497),MONTH(Metrics!$B$5), DAY(Metrics!$B$5))</f>
        <v>44440</v>
      </c>
      <c r="Y497" s="16">
        <f t="shared" si="7"/>
        <v>2021</v>
      </c>
    </row>
    <row r="498" spans="21:25" ht="16" x14ac:dyDescent="0.2">
      <c r="U498" s="12">
        <v>7765</v>
      </c>
      <c r="V498" s="13" t="s">
        <v>23</v>
      </c>
      <c r="W498" s="16" t="str">
        <f>TEXT(VLOOKUP(U498, News!A:C, 3, FALSE), "M/D/YYYY")</f>
        <v>12/16/2022</v>
      </c>
      <c r="X498" s="18">
        <f>DATE(YEAR(W498),MONTH(Metrics!$B$5), DAY(Metrics!$B$5))</f>
        <v>44805</v>
      </c>
      <c r="Y498" s="16">
        <f t="shared" si="7"/>
        <v>2023</v>
      </c>
    </row>
    <row r="499" spans="21:25" ht="16" x14ac:dyDescent="0.2">
      <c r="U499" s="12">
        <v>8153</v>
      </c>
      <c r="V499" s="13" t="s">
        <v>23</v>
      </c>
      <c r="W499" s="16" t="str">
        <f>TEXT(VLOOKUP(U499, News!A:C, 3, FALSE), "M/D/YYYY")</f>
        <v>4/4/2023</v>
      </c>
      <c r="X499" s="18">
        <f>DATE(YEAR(W499),MONTH(Metrics!$B$5), DAY(Metrics!$B$5))</f>
        <v>45170</v>
      </c>
      <c r="Y499" s="16">
        <f t="shared" si="7"/>
        <v>2023</v>
      </c>
    </row>
    <row r="500" spans="21:25" ht="16" x14ac:dyDescent="0.2">
      <c r="U500" s="12">
        <v>8085</v>
      </c>
      <c r="V500" s="13" t="s">
        <v>23</v>
      </c>
      <c r="W500" s="16" t="str">
        <f>TEXT(VLOOKUP(U500, News!A:C, 3, FALSE), "M/D/YYYY")</f>
        <v>3/28/2023</v>
      </c>
      <c r="X500" s="18">
        <f>DATE(YEAR(W500),MONTH(Metrics!$B$5), DAY(Metrics!$B$5))</f>
        <v>45170</v>
      </c>
      <c r="Y500" s="16">
        <f t="shared" si="7"/>
        <v>2023</v>
      </c>
    </row>
    <row r="501" spans="21:25" ht="16" x14ac:dyDescent="0.2">
      <c r="U501" s="12">
        <v>1312</v>
      </c>
      <c r="V501" s="13" t="s">
        <v>23</v>
      </c>
      <c r="W501" s="16" t="str">
        <f>TEXT(VLOOKUP(U501, News!A:C, 3, FALSE), "M/D/YYYY")</f>
        <v>5/30/2018</v>
      </c>
      <c r="X501" s="18">
        <f>DATE(YEAR(W501),MONTH(Metrics!$B$5), DAY(Metrics!$B$5))</f>
        <v>43344</v>
      </c>
      <c r="Y501" s="16">
        <f t="shared" si="7"/>
        <v>2018</v>
      </c>
    </row>
    <row r="502" spans="21:25" ht="16" x14ac:dyDescent="0.2">
      <c r="U502" s="12">
        <v>1318</v>
      </c>
      <c r="V502" s="13" t="s">
        <v>23</v>
      </c>
      <c r="W502" s="16" t="str">
        <f>TEXT(VLOOKUP(U502, News!A:C, 3, FALSE), "M/D/YYYY")</f>
        <v>5/17/2018</v>
      </c>
      <c r="X502" s="18">
        <f>DATE(YEAR(W502),MONTH(Metrics!$B$5), DAY(Metrics!$B$5))</f>
        <v>43344</v>
      </c>
      <c r="Y502" s="16">
        <f t="shared" si="7"/>
        <v>2018</v>
      </c>
    </row>
    <row r="503" spans="21:25" ht="16" x14ac:dyDescent="0.2">
      <c r="U503" s="12">
        <v>1372</v>
      </c>
      <c r="V503" s="13" t="s">
        <v>23</v>
      </c>
      <c r="W503" s="16" t="str">
        <f>TEXT(VLOOKUP(U503, News!A:C, 3, FALSE), "M/D/YYYY")</f>
        <v>10/5/2017</v>
      </c>
      <c r="X503" s="18">
        <f>DATE(YEAR(W503),MONTH(Metrics!$B$5), DAY(Metrics!$B$5))</f>
        <v>42979</v>
      </c>
      <c r="Y503" s="16">
        <f t="shared" si="7"/>
        <v>2018</v>
      </c>
    </row>
    <row r="504" spans="21:25" ht="16" x14ac:dyDescent="0.2">
      <c r="U504" s="12">
        <v>1431</v>
      </c>
      <c r="V504" s="13" t="s">
        <v>23</v>
      </c>
      <c r="W504" s="16" t="str">
        <f>TEXT(VLOOKUP(U504, News!A:C, 3, FALSE), "M/D/YYYY")</f>
        <v>2/3/2018</v>
      </c>
      <c r="X504" s="18">
        <f>DATE(YEAR(W504),MONTH(Metrics!$B$5), DAY(Metrics!$B$5))</f>
        <v>43344</v>
      </c>
      <c r="Y504" s="16">
        <f t="shared" si="7"/>
        <v>2018</v>
      </c>
    </row>
    <row r="505" spans="21:25" ht="16" x14ac:dyDescent="0.2">
      <c r="U505" s="12">
        <v>1468</v>
      </c>
      <c r="V505" s="13" t="s">
        <v>23</v>
      </c>
      <c r="W505" s="16" t="str">
        <f>TEXT(VLOOKUP(U505, News!A:C, 3, FALSE), "M/D/YYYY")</f>
        <v>11/28/2017</v>
      </c>
      <c r="X505" s="18">
        <f>DATE(YEAR(W505),MONTH(Metrics!$B$5), DAY(Metrics!$B$5))</f>
        <v>42979</v>
      </c>
      <c r="Y505" s="16">
        <f t="shared" si="7"/>
        <v>2018</v>
      </c>
    </row>
    <row r="506" spans="21:25" ht="16" x14ac:dyDescent="0.2">
      <c r="U506" s="12">
        <v>1544</v>
      </c>
      <c r="V506" s="13" t="s">
        <v>23</v>
      </c>
      <c r="W506" s="16" t="str">
        <f>TEXT(VLOOKUP(U506, News!A:C, 3, FALSE), "M/D/YYYY")</f>
        <v>9/13/2018</v>
      </c>
      <c r="X506" s="18">
        <f>DATE(YEAR(W506),MONTH(Metrics!$B$5), DAY(Metrics!$B$5))</f>
        <v>43344</v>
      </c>
      <c r="Y506" s="16">
        <f t="shared" si="7"/>
        <v>2019</v>
      </c>
    </row>
    <row r="507" spans="21:25" ht="16" x14ac:dyDescent="0.2">
      <c r="U507" s="12">
        <v>1914</v>
      </c>
      <c r="V507" s="13" t="s">
        <v>23</v>
      </c>
      <c r="W507" s="16" t="str">
        <f>TEXT(VLOOKUP(U507, News!A:C, 3, FALSE), "M/D/YYYY")</f>
        <v>10/25/2018</v>
      </c>
      <c r="X507" s="18">
        <f>DATE(YEAR(W507),MONTH(Metrics!$B$5), DAY(Metrics!$B$5))</f>
        <v>43344</v>
      </c>
      <c r="Y507" s="16">
        <f t="shared" si="7"/>
        <v>2019</v>
      </c>
    </row>
    <row r="508" spans="21:25" ht="16" x14ac:dyDescent="0.2">
      <c r="U508" s="12">
        <v>1947</v>
      </c>
      <c r="V508" s="13" t="s">
        <v>23</v>
      </c>
      <c r="W508" s="16" t="str">
        <f>TEXT(VLOOKUP(U508, News!A:C, 3, FALSE), "M/D/YYYY")</f>
        <v>10/26/2018</v>
      </c>
      <c r="X508" s="18">
        <f>DATE(YEAR(W508),MONTH(Metrics!$B$5), DAY(Metrics!$B$5))</f>
        <v>43344</v>
      </c>
      <c r="Y508" s="16">
        <f t="shared" si="7"/>
        <v>2019</v>
      </c>
    </row>
    <row r="509" spans="21:25" ht="16" x14ac:dyDescent="0.2">
      <c r="U509" s="12">
        <v>2007</v>
      </c>
      <c r="V509" s="13" t="s">
        <v>23</v>
      </c>
      <c r="W509" s="16" t="str">
        <f>TEXT(VLOOKUP(U509, News!A:C, 3, FALSE), "M/D/YYYY")</f>
        <v>8/22/2017</v>
      </c>
      <c r="X509" s="18">
        <f>DATE(YEAR(W509),MONTH(Metrics!$B$5), DAY(Metrics!$B$5))</f>
        <v>42979</v>
      </c>
      <c r="Y509" s="16">
        <f t="shared" si="7"/>
        <v>2017</v>
      </c>
    </row>
    <row r="510" spans="21:25" ht="16" x14ac:dyDescent="0.2">
      <c r="U510" s="12">
        <v>2012</v>
      </c>
      <c r="V510" s="13" t="s">
        <v>23</v>
      </c>
      <c r="W510" s="16" t="str">
        <f>TEXT(VLOOKUP(U510, News!A:C, 3, FALSE), "M/D/YYYY")</f>
        <v>8/15/2017</v>
      </c>
      <c r="X510" s="18">
        <f>DATE(YEAR(W510),MONTH(Metrics!$B$5), DAY(Metrics!$B$5))</f>
        <v>42979</v>
      </c>
      <c r="Y510" s="16">
        <f t="shared" si="7"/>
        <v>2017</v>
      </c>
    </row>
    <row r="511" spans="21:25" ht="16" x14ac:dyDescent="0.2">
      <c r="U511" s="12">
        <v>2089</v>
      </c>
      <c r="V511" s="13" t="s">
        <v>23</v>
      </c>
      <c r="W511" s="16" t="str">
        <f>TEXT(VLOOKUP(U511, News!A:C, 3, FALSE), "M/D/YYYY")</f>
        <v>7/1/2017</v>
      </c>
      <c r="X511" s="18">
        <f>DATE(YEAR(W511),MONTH(Metrics!$B$5), DAY(Metrics!$B$5))</f>
        <v>42979</v>
      </c>
      <c r="Y511" s="16">
        <f t="shared" si="7"/>
        <v>2017</v>
      </c>
    </row>
    <row r="512" spans="21:25" ht="16" x14ac:dyDescent="0.2">
      <c r="U512" s="12">
        <v>2323</v>
      </c>
      <c r="V512" s="13" t="s">
        <v>23</v>
      </c>
      <c r="W512" s="16" t="str">
        <f>TEXT(VLOOKUP(U512, News!A:C, 3, FALSE), "M/D/YYYY")</f>
        <v>5/3/2017</v>
      </c>
      <c r="X512" s="18">
        <f>DATE(YEAR(W512),MONTH(Metrics!$B$5), DAY(Metrics!$B$5))</f>
        <v>42979</v>
      </c>
      <c r="Y512" s="16">
        <f t="shared" si="7"/>
        <v>2017</v>
      </c>
    </row>
    <row r="513" spans="21:25" ht="16" x14ac:dyDescent="0.2">
      <c r="U513" s="12">
        <v>2825</v>
      </c>
      <c r="V513" s="13" t="s">
        <v>23</v>
      </c>
      <c r="W513" s="16" t="str">
        <f>TEXT(VLOOKUP(U513, News!A:C, 3, FALSE), "M/D/YYYY")</f>
        <v>12/29/2016</v>
      </c>
      <c r="X513" s="18">
        <f>DATE(YEAR(W513),MONTH(Metrics!$B$5), DAY(Metrics!$B$5))</f>
        <v>42614</v>
      </c>
      <c r="Y513" s="16">
        <f t="shared" si="7"/>
        <v>2017</v>
      </c>
    </row>
    <row r="514" spans="21:25" ht="16" x14ac:dyDescent="0.2">
      <c r="U514" s="12">
        <v>3053</v>
      </c>
      <c r="V514" s="13" t="s">
        <v>23</v>
      </c>
      <c r="W514" s="16" t="str">
        <f>TEXT(VLOOKUP(U514, News!A:C, 3, FALSE), "M/D/YYYY")</f>
        <v>10/17/2016</v>
      </c>
      <c r="X514" s="18">
        <f>DATE(YEAR(W514),MONTH(Metrics!$B$5), DAY(Metrics!$B$5))</f>
        <v>42614</v>
      </c>
      <c r="Y514" s="16">
        <f t="shared" si="7"/>
        <v>2017</v>
      </c>
    </row>
    <row r="515" spans="21:25" ht="16" x14ac:dyDescent="0.2">
      <c r="U515" s="12">
        <v>3218</v>
      </c>
      <c r="V515" s="13" t="s">
        <v>23</v>
      </c>
      <c r="W515" s="16" t="str">
        <f>TEXT(VLOOKUP(U515, News!A:C, 3, FALSE), "M/D/YYYY")</f>
        <v>9/13/2016</v>
      </c>
      <c r="X515" s="18">
        <f>DATE(YEAR(W515),MONTH(Metrics!$B$5), DAY(Metrics!$B$5))</f>
        <v>42614</v>
      </c>
      <c r="Y515" s="16">
        <f t="shared" ref="Y515:Y578" si="8">IF(MONTH(W515) &gt;= MONTH(X515), YEAR(W515)+1, YEAR(W515))</f>
        <v>2017</v>
      </c>
    </row>
    <row r="516" spans="21:25" ht="16" x14ac:dyDescent="0.2">
      <c r="U516" s="12">
        <v>3398</v>
      </c>
      <c r="V516" s="13" t="s">
        <v>23</v>
      </c>
      <c r="W516" s="16" t="str">
        <f>TEXT(VLOOKUP(U516, News!A:C, 3, FALSE), "M/D/YYYY")</f>
        <v>5/20/2016</v>
      </c>
      <c r="X516" s="18">
        <f>DATE(YEAR(W516),MONTH(Metrics!$B$5), DAY(Metrics!$B$5))</f>
        <v>42614</v>
      </c>
      <c r="Y516" s="16">
        <f t="shared" si="8"/>
        <v>2016</v>
      </c>
    </row>
    <row r="517" spans="21:25" ht="16" x14ac:dyDescent="0.2">
      <c r="U517" s="12">
        <v>3415</v>
      </c>
      <c r="V517" s="13" t="s">
        <v>23</v>
      </c>
      <c r="W517" s="16" t="str">
        <f>TEXT(VLOOKUP(U517, News!A:C, 3, FALSE), "M/D/YYYY")</f>
        <v>1/20/2019</v>
      </c>
      <c r="X517" s="18">
        <f>DATE(YEAR(W517),MONTH(Metrics!$B$5), DAY(Metrics!$B$5))</f>
        <v>43709</v>
      </c>
      <c r="Y517" s="16">
        <f t="shared" si="8"/>
        <v>2019</v>
      </c>
    </row>
    <row r="518" spans="21:25" ht="16" x14ac:dyDescent="0.2">
      <c r="U518" s="12">
        <v>3554</v>
      </c>
      <c r="V518" s="13" t="s">
        <v>23</v>
      </c>
      <c r="W518" s="16" t="str">
        <f>TEXT(VLOOKUP(U518, News!A:C, 3, FALSE), "M/D/YYYY")</f>
        <v>3/1/2016</v>
      </c>
      <c r="X518" s="18">
        <f>DATE(YEAR(W518),MONTH(Metrics!$B$5), DAY(Metrics!$B$5))</f>
        <v>42614</v>
      </c>
      <c r="Y518" s="16">
        <f t="shared" si="8"/>
        <v>2016</v>
      </c>
    </row>
    <row r="519" spans="21:25" ht="16" x14ac:dyDescent="0.2">
      <c r="U519" s="12">
        <v>3558</v>
      </c>
      <c r="V519" s="13" t="s">
        <v>23</v>
      </c>
      <c r="W519" s="16" t="str">
        <f>TEXT(VLOOKUP(U519, News!A:C, 3, FALSE), "M/D/YYYY")</f>
        <v>2/20/2016</v>
      </c>
      <c r="X519" s="18">
        <f>DATE(YEAR(W519),MONTH(Metrics!$B$5), DAY(Metrics!$B$5))</f>
        <v>42614</v>
      </c>
      <c r="Y519" s="16">
        <f t="shared" si="8"/>
        <v>2016</v>
      </c>
    </row>
    <row r="520" spans="21:25" ht="16" x14ac:dyDescent="0.2">
      <c r="U520" s="12">
        <v>3871</v>
      </c>
      <c r="V520" s="13" t="s">
        <v>23</v>
      </c>
      <c r="W520" s="16" t="str">
        <f>TEXT(VLOOKUP(U520, News!A:C, 3, FALSE), "M/D/YYYY")</f>
        <v>4/2/2019</v>
      </c>
      <c r="X520" s="18">
        <f>DATE(YEAR(W520),MONTH(Metrics!$B$5), DAY(Metrics!$B$5))</f>
        <v>43709</v>
      </c>
      <c r="Y520" s="16">
        <f t="shared" si="8"/>
        <v>2019</v>
      </c>
    </row>
    <row r="521" spans="21:25" ht="16" x14ac:dyDescent="0.2">
      <c r="U521" s="12">
        <v>4354</v>
      </c>
      <c r="V521" s="13" t="s">
        <v>23</v>
      </c>
      <c r="W521" s="16" t="str">
        <f>TEXT(VLOOKUP(U521, News!A:C, 3, FALSE), "M/D/YYYY")</f>
        <v>7/26/2019</v>
      </c>
      <c r="X521" s="18">
        <f>DATE(YEAR(W521),MONTH(Metrics!$B$5), DAY(Metrics!$B$5))</f>
        <v>43709</v>
      </c>
      <c r="Y521" s="16">
        <f t="shared" si="8"/>
        <v>2019</v>
      </c>
    </row>
    <row r="522" spans="21:25" ht="16" x14ac:dyDescent="0.2">
      <c r="U522" s="12">
        <v>4594</v>
      </c>
      <c r="V522" s="13" t="s">
        <v>23</v>
      </c>
      <c r="W522" s="16" t="str">
        <f>TEXT(VLOOKUP(U522, News!A:C, 3, FALSE), "M/D/YYYY")</f>
        <v>10/21/2019</v>
      </c>
      <c r="X522" s="18">
        <f>DATE(YEAR(W522),MONTH(Metrics!$B$5), DAY(Metrics!$B$5))</f>
        <v>43709</v>
      </c>
      <c r="Y522" s="16">
        <f t="shared" si="8"/>
        <v>2020</v>
      </c>
    </row>
    <row r="523" spans="21:25" ht="16" x14ac:dyDescent="0.2">
      <c r="U523" s="12">
        <v>4608</v>
      </c>
      <c r="V523" s="13" t="s">
        <v>23</v>
      </c>
      <c r="W523" s="16" t="str">
        <f>TEXT(VLOOKUP(U523, News!A:C, 3, FALSE), "M/D/YYYY")</f>
        <v>10/25/2019</v>
      </c>
      <c r="X523" s="18">
        <f>DATE(YEAR(W523),MONTH(Metrics!$B$5), DAY(Metrics!$B$5))</f>
        <v>43709</v>
      </c>
      <c r="Y523" s="16">
        <f t="shared" si="8"/>
        <v>2020</v>
      </c>
    </row>
    <row r="524" spans="21:25" ht="16" x14ac:dyDescent="0.2">
      <c r="U524" s="12">
        <v>4619</v>
      </c>
      <c r="V524" s="13" t="s">
        <v>23</v>
      </c>
      <c r="W524" s="16" t="str">
        <f>TEXT(VLOOKUP(U524, News!A:C, 3, FALSE), "M/D/YYYY")</f>
        <v>4/4/2014</v>
      </c>
      <c r="X524" s="18">
        <f>DATE(YEAR(W524),MONTH(Metrics!$B$5), DAY(Metrics!$B$5))</f>
        <v>41883</v>
      </c>
      <c r="Y524" s="16">
        <f t="shared" si="8"/>
        <v>2014</v>
      </c>
    </row>
    <row r="525" spans="21:25" ht="16" x14ac:dyDescent="0.2">
      <c r="U525" s="12">
        <v>5537</v>
      </c>
      <c r="V525" s="13" t="s">
        <v>23</v>
      </c>
      <c r="W525" s="16" t="str">
        <f>TEXT(VLOOKUP(U525, News!A:C, 3, FALSE), "M/D/YYYY")</f>
        <v>11/3/2020</v>
      </c>
      <c r="X525" s="18">
        <f>DATE(YEAR(W525),MONTH(Metrics!$B$5), DAY(Metrics!$B$5))</f>
        <v>44075</v>
      </c>
      <c r="Y525" s="16">
        <f t="shared" si="8"/>
        <v>2021</v>
      </c>
    </row>
    <row r="526" spans="21:25" ht="16" x14ac:dyDescent="0.2">
      <c r="U526" s="12">
        <v>5806</v>
      </c>
      <c r="V526" s="13" t="s">
        <v>23</v>
      </c>
      <c r="W526" s="16" t="str">
        <f>TEXT(VLOOKUP(U526, News!A:C, 3, FALSE), "M/D/YYYY")</f>
        <v>2/1/2021</v>
      </c>
      <c r="X526" s="18">
        <f>DATE(YEAR(W526),MONTH(Metrics!$B$5), DAY(Metrics!$B$5))</f>
        <v>44440</v>
      </c>
      <c r="Y526" s="16">
        <f t="shared" si="8"/>
        <v>2021</v>
      </c>
    </row>
    <row r="527" spans="21:25" ht="16" x14ac:dyDescent="0.2">
      <c r="U527" s="12">
        <v>6664</v>
      </c>
      <c r="V527" s="13" t="s">
        <v>23</v>
      </c>
      <c r="W527" s="16" t="str">
        <f>TEXT(VLOOKUP(U527, News!A:C, 3, FALSE), "M/D/YYYY")</f>
        <v>10/21/2021</v>
      </c>
      <c r="X527" s="18">
        <f>DATE(YEAR(W527),MONTH(Metrics!$B$5), DAY(Metrics!$B$5))</f>
        <v>44440</v>
      </c>
      <c r="Y527" s="16">
        <f t="shared" si="8"/>
        <v>2022</v>
      </c>
    </row>
    <row r="528" spans="21:25" ht="16" x14ac:dyDescent="0.2">
      <c r="U528" s="12">
        <v>7146</v>
      </c>
      <c r="V528" s="13" t="s">
        <v>23</v>
      </c>
      <c r="W528" s="16" t="str">
        <f>TEXT(VLOOKUP(U528, News!A:C, 3, FALSE), "M/D/YYYY")</f>
        <v>5/20/2022</v>
      </c>
      <c r="X528" s="18">
        <f>DATE(YEAR(W528),MONTH(Metrics!$B$5), DAY(Metrics!$B$5))</f>
        <v>44805</v>
      </c>
      <c r="Y528" s="16">
        <f t="shared" si="8"/>
        <v>2022</v>
      </c>
    </row>
    <row r="529" spans="21:25" ht="16" x14ac:dyDescent="0.2">
      <c r="U529" s="12">
        <v>7157</v>
      </c>
      <c r="V529" s="13" t="s">
        <v>23</v>
      </c>
      <c r="W529" s="16" t="str">
        <f>TEXT(VLOOKUP(U529, News!A:C, 3, FALSE), "M/D/YYYY")</f>
        <v>6/8/2022</v>
      </c>
      <c r="X529" s="18">
        <f>DATE(YEAR(W529),MONTH(Metrics!$B$5), DAY(Metrics!$B$5))</f>
        <v>44805</v>
      </c>
      <c r="Y529" s="16">
        <f t="shared" si="8"/>
        <v>2022</v>
      </c>
    </row>
    <row r="530" spans="21:25" ht="16" x14ac:dyDescent="0.2">
      <c r="U530" s="12">
        <v>7634</v>
      </c>
      <c r="V530" s="13" t="s">
        <v>23</v>
      </c>
      <c r="W530" s="16" t="str">
        <f>TEXT(VLOOKUP(U530, News!A:C, 3, FALSE), "M/D/YYYY")</f>
        <v>11/7/2022</v>
      </c>
      <c r="X530" s="18">
        <f>DATE(YEAR(W530),MONTH(Metrics!$B$5), DAY(Metrics!$B$5))</f>
        <v>44805</v>
      </c>
      <c r="Y530" s="16">
        <f t="shared" si="8"/>
        <v>2023</v>
      </c>
    </row>
    <row r="531" spans="21:25" ht="16" x14ac:dyDescent="0.2">
      <c r="U531" s="12">
        <v>774</v>
      </c>
      <c r="V531" s="13" t="s">
        <v>23</v>
      </c>
      <c r="W531" s="16" t="str">
        <f>TEXT(VLOOKUP(U531, News!A:C, 3, FALSE), "M/D/YYYY")</f>
        <v>5/18/2016</v>
      </c>
      <c r="X531" s="18">
        <f>DATE(YEAR(W531),MONTH(Metrics!$B$5), DAY(Metrics!$B$5))</f>
        <v>42614</v>
      </c>
      <c r="Y531" s="16">
        <f t="shared" si="8"/>
        <v>2016</v>
      </c>
    </row>
    <row r="532" spans="21:25" ht="16" x14ac:dyDescent="0.2">
      <c r="U532" s="12">
        <v>776</v>
      </c>
      <c r="V532" s="13" t="s">
        <v>23</v>
      </c>
      <c r="W532" s="16" t="str">
        <f>TEXT(VLOOKUP(U532, News!A:C, 3, FALSE), "M/D/YYYY")</f>
        <v>5/23/2016</v>
      </c>
      <c r="X532" s="18">
        <f>DATE(YEAR(W532),MONTH(Metrics!$B$5), DAY(Metrics!$B$5))</f>
        <v>42614</v>
      </c>
      <c r="Y532" s="16">
        <f t="shared" si="8"/>
        <v>2016</v>
      </c>
    </row>
    <row r="533" spans="21:25" ht="16" x14ac:dyDescent="0.2">
      <c r="U533" s="12">
        <v>1306</v>
      </c>
      <c r="V533" s="13" t="s">
        <v>23</v>
      </c>
      <c r="W533" s="16" t="str">
        <f>TEXT(VLOOKUP(U533, News!A:C, 3, FALSE), "M/D/YYYY")</f>
        <v>6/16/2018</v>
      </c>
      <c r="X533" s="18">
        <f>DATE(YEAR(W533),MONTH(Metrics!$B$5), DAY(Metrics!$B$5))</f>
        <v>43344</v>
      </c>
      <c r="Y533" s="16">
        <f t="shared" si="8"/>
        <v>2018</v>
      </c>
    </row>
    <row r="534" spans="21:25" ht="16" x14ac:dyDescent="0.2">
      <c r="U534" s="12">
        <v>1415</v>
      </c>
      <c r="V534" s="13" t="s">
        <v>23</v>
      </c>
      <c r="W534" s="16" t="str">
        <f>TEXT(VLOOKUP(U534, News!A:C, 3, FALSE), "M/D/YYYY")</f>
        <v>11/18/2017</v>
      </c>
      <c r="X534" s="18">
        <f>DATE(YEAR(W534),MONTH(Metrics!$B$5), DAY(Metrics!$B$5))</f>
        <v>42979</v>
      </c>
      <c r="Y534" s="16">
        <f t="shared" si="8"/>
        <v>2018</v>
      </c>
    </row>
    <row r="535" spans="21:25" ht="16" x14ac:dyDescent="0.2">
      <c r="U535" s="12">
        <v>1930</v>
      </c>
      <c r="V535" s="13" t="s">
        <v>23</v>
      </c>
      <c r="W535" s="16" t="str">
        <f>TEXT(VLOOKUP(U535, News!A:C, 3, FALSE), "M/D/YYYY")</f>
        <v>10/25/2018</v>
      </c>
      <c r="X535" s="18">
        <f>DATE(YEAR(W535),MONTH(Metrics!$B$5), DAY(Metrics!$B$5))</f>
        <v>43344</v>
      </c>
      <c r="Y535" s="16">
        <f t="shared" si="8"/>
        <v>2019</v>
      </c>
    </row>
    <row r="536" spans="21:25" ht="16" x14ac:dyDescent="0.2">
      <c r="U536" s="12">
        <v>2213</v>
      </c>
      <c r="V536" s="13" t="s">
        <v>23</v>
      </c>
      <c r="W536" s="16" t="str">
        <f>TEXT(VLOOKUP(U536, News!A:C, 3, FALSE), "M/D/YYYY")</f>
        <v>5/23/2017</v>
      </c>
      <c r="X536" s="18">
        <f>DATE(YEAR(W536),MONTH(Metrics!$B$5), DAY(Metrics!$B$5))</f>
        <v>42979</v>
      </c>
      <c r="Y536" s="16">
        <f t="shared" si="8"/>
        <v>2017</v>
      </c>
    </row>
    <row r="537" spans="21:25" ht="16" x14ac:dyDescent="0.2">
      <c r="U537" s="12">
        <v>2311</v>
      </c>
      <c r="V537" s="13" t="s">
        <v>23</v>
      </c>
      <c r="W537" s="16" t="str">
        <f>TEXT(VLOOKUP(U537, News!A:C, 3, FALSE), "M/D/YYYY")</f>
        <v>5/16/2017</v>
      </c>
      <c r="X537" s="18">
        <f>DATE(YEAR(W537),MONTH(Metrics!$B$5), DAY(Metrics!$B$5))</f>
        <v>42979</v>
      </c>
      <c r="Y537" s="16">
        <f t="shared" si="8"/>
        <v>2017</v>
      </c>
    </row>
    <row r="538" spans="21:25" ht="16" x14ac:dyDescent="0.2">
      <c r="U538" s="12">
        <v>3400</v>
      </c>
      <c r="V538" s="13" t="s">
        <v>23</v>
      </c>
      <c r="W538" s="16" t="str">
        <f>TEXT(VLOOKUP(U538, News!A:C, 3, FALSE), "M/D/YYYY")</f>
        <v>5/25/2016</v>
      </c>
      <c r="X538" s="18">
        <f>DATE(YEAR(W538),MONTH(Metrics!$B$5), DAY(Metrics!$B$5))</f>
        <v>42614</v>
      </c>
      <c r="Y538" s="16">
        <f t="shared" si="8"/>
        <v>2016</v>
      </c>
    </row>
    <row r="539" spans="21:25" ht="16" x14ac:dyDescent="0.2">
      <c r="U539" s="12">
        <v>8173</v>
      </c>
      <c r="V539" s="13" t="s">
        <v>23</v>
      </c>
      <c r="W539" s="16" t="str">
        <f>TEXT(VLOOKUP(U539, News!A:C, 3, FALSE), "M/D/YYYY")</f>
        <v>4/17/2023</v>
      </c>
      <c r="X539" s="18">
        <f>DATE(YEAR(W539),MONTH(Metrics!$B$5), DAY(Metrics!$B$5))</f>
        <v>45170</v>
      </c>
      <c r="Y539" s="16">
        <f t="shared" si="8"/>
        <v>2023</v>
      </c>
    </row>
    <row r="540" spans="21:25" ht="16" x14ac:dyDescent="0.2">
      <c r="U540" s="12">
        <v>3334</v>
      </c>
      <c r="V540" s="13" t="s">
        <v>23</v>
      </c>
      <c r="W540" s="16" t="str">
        <f>TEXT(VLOOKUP(U540, News!A:C, 3, FALSE), "M/D/YYYY")</f>
        <v>6/30/2016</v>
      </c>
      <c r="X540" s="18">
        <f>DATE(YEAR(W540),MONTH(Metrics!$B$5), DAY(Metrics!$B$5))</f>
        <v>42614</v>
      </c>
      <c r="Y540" s="16">
        <f t="shared" si="8"/>
        <v>2016</v>
      </c>
    </row>
    <row r="541" spans="21:25" ht="16" x14ac:dyDescent="0.2">
      <c r="U541" s="12">
        <v>4087</v>
      </c>
      <c r="V541" s="13" t="s">
        <v>23</v>
      </c>
      <c r="W541" s="16" t="str">
        <f>TEXT(VLOOKUP(U541, News!A:C, 3, FALSE), "M/D/YYYY")</f>
        <v>8/27/2014</v>
      </c>
      <c r="X541" s="18">
        <f>DATE(YEAR(W541),MONTH(Metrics!$B$5), DAY(Metrics!$B$5))</f>
        <v>41883</v>
      </c>
      <c r="Y541" s="16">
        <f t="shared" si="8"/>
        <v>2014</v>
      </c>
    </row>
    <row r="542" spans="21:25" ht="16" x14ac:dyDescent="0.2">
      <c r="U542" s="12">
        <v>4239</v>
      </c>
      <c r="V542" s="13" t="s">
        <v>23</v>
      </c>
      <c r="W542" s="16" t="str">
        <f>TEXT(VLOOKUP(U542, News!A:C, 3, FALSE), "M/D/YYYY")</f>
        <v>6/14/2019</v>
      </c>
      <c r="X542" s="18">
        <f>DATE(YEAR(W542),MONTH(Metrics!$B$5), DAY(Metrics!$B$5))</f>
        <v>43709</v>
      </c>
      <c r="Y542" s="16">
        <f t="shared" si="8"/>
        <v>2019</v>
      </c>
    </row>
    <row r="543" spans="21:25" ht="16" x14ac:dyDescent="0.2">
      <c r="U543" s="12">
        <v>6926</v>
      </c>
      <c r="V543" s="13" t="s">
        <v>23</v>
      </c>
      <c r="W543" s="16" t="str">
        <f>TEXT(VLOOKUP(U543, News!A:C, 3, FALSE), "M/D/YYYY")</f>
        <v>2/24/2022</v>
      </c>
      <c r="X543" s="18">
        <f>DATE(YEAR(W543),MONTH(Metrics!$B$5), DAY(Metrics!$B$5))</f>
        <v>44805</v>
      </c>
      <c r="Y543" s="16">
        <f t="shared" si="8"/>
        <v>2022</v>
      </c>
    </row>
    <row r="544" spans="21:25" ht="16" x14ac:dyDescent="0.2">
      <c r="U544" s="12">
        <v>7196</v>
      </c>
      <c r="V544" s="13" t="s">
        <v>23</v>
      </c>
      <c r="W544" s="16" t="str">
        <f>TEXT(VLOOKUP(U544, News!A:C, 3, FALSE), "M/D/YYYY")</f>
        <v>6/21/2022</v>
      </c>
      <c r="X544" s="18">
        <f>DATE(YEAR(W544),MONTH(Metrics!$B$5), DAY(Metrics!$B$5))</f>
        <v>44805</v>
      </c>
      <c r="Y544" s="16">
        <f t="shared" si="8"/>
        <v>2022</v>
      </c>
    </row>
    <row r="545" spans="21:25" ht="16" x14ac:dyDescent="0.2">
      <c r="U545" s="12">
        <v>7325</v>
      </c>
      <c r="V545" s="13" t="s">
        <v>23</v>
      </c>
      <c r="W545" s="16" t="str">
        <f>TEXT(VLOOKUP(U545, News!A:C, 3, FALSE), "M/D/YYYY")</f>
        <v>8/11/2022</v>
      </c>
      <c r="X545" s="18">
        <f>DATE(YEAR(W545),MONTH(Metrics!$B$5), DAY(Metrics!$B$5))</f>
        <v>44805</v>
      </c>
      <c r="Y545" s="16">
        <f t="shared" si="8"/>
        <v>2022</v>
      </c>
    </row>
    <row r="546" spans="21:25" ht="16" x14ac:dyDescent="0.2">
      <c r="U546" s="12">
        <v>3941</v>
      </c>
      <c r="V546" s="13" t="s">
        <v>23</v>
      </c>
      <c r="W546" s="16" t="str">
        <f>TEXT(VLOOKUP(U546, News!A:C, 3, FALSE), "M/D/YYYY")</f>
        <v>4/25/2015</v>
      </c>
      <c r="X546" s="18">
        <f>DATE(YEAR(W546),MONTH(Metrics!$B$5), DAY(Metrics!$B$5))</f>
        <v>42248</v>
      </c>
      <c r="Y546" s="16">
        <f t="shared" si="8"/>
        <v>2015</v>
      </c>
    </row>
    <row r="547" spans="21:25" ht="16" x14ac:dyDescent="0.2">
      <c r="U547" s="12">
        <v>4052</v>
      </c>
      <c r="V547" s="13" t="s">
        <v>23</v>
      </c>
      <c r="W547" s="16" t="str">
        <f>TEXT(VLOOKUP(U547, News!A:C, 3, FALSE), "M/D/YYYY")</f>
        <v>10/31/2014</v>
      </c>
      <c r="X547" s="18">
        <f>DATE(YEAR(W547),MONTH(Metrics!$B$5), DAY(Metrics!$B$5))</f>
        <v>41883</v>
      </c>
      <c r="Y547" s="16">
        <f t="shared" si="8"/>
        <v>2015</v>
      </c>
    </row>
    <row r="548" spans="21:25" ht="16" x14ac:dyDescent="0.2">
      <c r="U548" s="12">
        <v>1310</v>
      </c>
      <c r="V548" s="13" t="s">
        <v>23</v>
      </c>
      <c r="W548" s="16" t="str">
        <f>TEXT(VLOOKUP(U548, News!A:C, 3, FALSE), "M/D/YYYY")</f>
        <v>6/4/2018</v>
      </c>
      <c r="X548" s="18">
        <f>DATE(YEAR(W548),MONTH(Metrics!$B$5), DAY(Metrics!$B$5))</f>
        <v>43344</v>
      </c>
      <c r="Y548" s="16">
        <f t="shared" si="8"/>
        <v>2018</v>
      </c>
    </row>
    <row r="549" spans="21:25" ht="16" x14ac:dyDescent="0.2">
      <c r="U549" s="12">
        <v>2203</v>
      </c>
      <c r="V549" s="13" t="s">
        <v>23</v>
      </c>
      <c r="W549" s="16" t="str">
        <f>TEXT(VLOOKUP(U549, News!A:C, 3, FALSE), "M/D/YYYY")</f>
        <v>6/3/2017</v>
      </c>
      <c r="X549" s="18">
        <f>DATE(YEAR(W549),MONTH(Metrics!$B$5), DAY(Metrics!$B$5))</f>
        <v>42979</v>
      </c>
      <c r="Y549" s="16">
        <f t="shared" si="8"/>
        <v>2017</v>
      </c>
    </row>
    <row r="550" spans="21:25" ht="16" x14ac:dyDescent="0.2">
      <c r="U550" s="12">
        <v>2306</v>
      </c>
      <c r="V550" s="13" t="s">
        <v>23</v>
      </c>
      <c r="W550" s="16" t="str">
        <f>TEXT(VLOOKUP(U550, News!A:C, 3, FALSE), "M/D/YYYY")</f>
        <v>5/18/2017</v>
      </c>
      <c r="X550" s="18">
        <f>DATE(YEAR(W550),MONTH(Metrics!$B$5), DAY(Metrics!$B$5))</f>
        <v>42979</v>
      </c>
      <c r="Y550" s="16">
        <f t="shared" si="8"/>
        <v>2017</v>
      </c>
    </row>
    <row r="551" spans="21:25" ht="16" x14ac:dyDescent="0.2">
      <c r="U551" s="12">
        <v>2408</v>
      </c>
      <c r="V551" s="13" t="s">
        <v>23</v>
      </c>
      <c r="W551" s="16" t="str">
        <f>TEXT(VLOOKUP(U551, News!A:C, 3, FALSE), "M/D/YYYY")</f>
        <v>11/12/2018</v>
      </c>
      <c r="X551" s="18">
        <f>DATE(YEAR(W551),MONTH(Metrics!$B$5), DAY(Metrics!$B$5))</f>
        <v>43344</v>
      </c>
      <c r="Y551" s="16">
        <f t="shared" si="8"/>
        <v>2019</v>
      </c>
    </row>
    <row r="552" spans="21:25" ht="16" x14ac:dyDescent="0.2">
      <c r="U552" s="12">
        <v>3534</v>
      </c>
      <c r="V552" s="13" t="s">
        <v>23</v>
      </c>
      <c r="W552" s="16" t="str">
        <f>TEXT(VLOOKUP(U552, News!A:C, 3, FALSE), "M/D/YYYY")</f>
        <v>4/28/2016</v>
      </c>
      <c r="X552" s="18">
        <f>DATE(YEAR(W552),MONTH(Metrics!$B$5), DAY(Metrics!$B$5))</f>
        <v>42614</v>
      </c>
      <c r="Y552" s="16">
        <f t="shared" si="8"/>
        <v>2016</v>
      </c>
    </row>
    <row r="553" spans="21:25" ht="16" x14ac:dyDescent="0.2">
      <c r="U553" s="12">
        <v>4359</v>
      </c>
      <c r="V553" s="13" t="s">
        <v>23</v>
      </c>
      <c r="W553" s="16" t="str">
        <f>TEXT(VLOOKUP(U553, News!A:C, 3, FALSE), "M/D/YYYY")</f>
        <v>8/23/2019</v>
      </c>
      <c r="X553" s="18">
        <f>DATE(YEAR(W553),MONTH(Metrics!$B$5), DAY(Metrics!$B$5))</f>
        <v>43709</v>
      </c>
      <c r="Y553" s="16">
        <f t="shared" si="8"/>
        <v>2019</v>
      </c>
    </row>
    <row r="554" spans="21:25" ht="16" x14ac:dyDescent="0.2">
      <c r="U554" s="12">
        <v>4460</v>
      </c>
      <c r="V554" s="13" t="s">
        <v>23</v>
      </c>
      <c r="W554" s="16" t="str">
        <f>TEXT(VLOOKUP(U554, News!A:C, 3, FALSE), "M/D/YYYY")</f>
        <v>5/8/2014</v>
      </c>
      <c r="X554" s="18">
        <f>DATE(YEAR(W554),MONTH(Metrics!$B$5), DAY(Metrics!$B$5))</f>
        <v>41883</v>
      </c>
      <c r="Y554" s="16">
        <f t="shared" si="8"/>
        <v>2014</v>
      </c>
    </row>
    <row r="555" spans="21:25" ht="16" x14ac:dyDescent="0.2">
      <c r="U555" s="12">
        <v>8226</v>
      </c>
      <c r="V555" s="13" t="s">
        <v>23</v>
      </c>
      <c r="W555" s="16" t="str">
        <f>TEXT(VLOOKUP(U555, News!A:C, 3, FALSE), "M/D/YYYY")</f>
        <v>4/20/2023</v>
      </c>
      <c r="X555" s="18">
        <f>DATE(YEAR(W555),MONTH(Metrics!$B$5), DAY(Metrics!$B$5))</f>
        <v>45170</v>
      </c>
      <c r="Y555" s="16">
        <f t="shared" si="8"/>
        <v>2023</v>
      </c>
    </row>
    <row r="556" spans="21:25" ht="16" x14ac:dyDescent="0.2">
      <c r="U556" s="12">
        <v>3329</v>
      </c>
      <c r="V556" s="13" t="s">
        <v>23</v>
      </c>
      <c r="W556" s="16" t="str">
        <f>TEXT(VLOOKUP(U556, News!A:C, 3, FALSE), "M/D/YYYY")</f>
        <v>7/13/2016</v>
      </c>
      <c r="X556" s="18">
        <f>DATE(YEAR(W556),MONTH(Metrics!$B$5), DAY(Metrics!$B$5))</f>
        <v>42614</v>
      </c>
      <c r="Y556" s="16">
        <f t="shared" si="8"/>
        <v>2016</v>
      </c>
    </row>
    <row r="557" spans="21:25" ht="16" x14ac:dyDescent="0.2">
      <c r="U557" s="12">
        <v>3426</v>
      </c>
      <c r="V557" s="13" t="s">
        <v>23</v>
      </c>
      <c r="W557" s="16" t="str">
        <f>TEXT(VLOOKUP(U557, News!A:C, 3, FALSE), "M/D/YYYY")</f>
        <v>5/20/2016</v>
      </c>
      <c r="X557" s="18">
        <f>DATE(YEAR(W557),MONTH(Metrics!$B$5), DAY(Metrics!$B$5))</f>
        <v>42614</v>
      </c>
      <c r="Y557" s="16">
        <f t="shared" si="8"/>
        <v>2016</v>
      </c>
    </row>
    <row r="558" spans="21:25" ht="16" x14ac:dyDescent="0.2">
      <c r="U558" s="12">
        <v>3278</v>
      </c>
      <c r="V558" s="13" t="s">
        <v>23</v>
      </c>
      <c r="W558" s="16" t="str">
        <f>TEXT(VLOOKUP(U558, News!A:C, 3, FALSE), "M/D/YYYY")</f>
        <v>8/31/2016</v>
      </c>
      <c r="X558" s="18">
        <f>DATE(YEAR(W558),MONTH(Metrics!$B$5), DAY(Metrics!$B$5))</f>
        <v>42614</v>
      </c>
      <c r="Y558" s="16">
        <f t="shared" si="8"/>
        <v>2016</v>
      </c>
    </row>
    <row r="559" spans="21:25" ht="16" x14ac:dyDescent="0.2">
      <c r="U559" s="12">
        <v>2338</v>
      </c>
      <c r="V559" s="13" t="s">
        <v>23</v>
      </c>
      <c r="W559" s="16" t="str">
        <f>TEXT(VLOOKUP(U559, News!A:C, 3, FALSE), "M/D/YYYY")</f>
        <v>4/30/2017</v>
      </c>
      <c r="X559" s="18">
        <f>DATE(YEAR(W559),MONTH(Metrics!$B$5), DAY(Metrics!$B$5))</f>
        <v>42979</v>
      </c>
      <c r="Y559" s="16">
        <f t="shared" si="8"/>
        <v>2017</v>
      </c>
    </row>
    <row r="560" spans="21:25" ht="16" x14ac:dyDescent="0.2">
      <c r="U560" s="12">
        <v>1391</v>
      </c>
      <c r="V560" s="13" t="s">
        <v>23</v>
      </c>
      <c r="W560" s="16" t="str">
        <f>TEXT(VLOOKUP(U560, News!A:C, 3, FALSE), "M/D/YYYY")</f>
        <v>4/10/2018</v>
      </c>
      <c r="X560" s="18">
        <f>DATE(YEAR(W560),MONTH(Metrics!$B$5), DAY(Metrics!$B$5))</f>
        <v>43344</v>
      </c>
      <c r="Y560" s="16">
        <f t="shared" si="8"/>
        <v>2018</v>
      </c>
    </row>
    <row r="561" spans="21:25" ht="16" x14ac:dyDescent="0.2">
      <c r="U561" s="12">
        <v>4769</v>
      </c>
      <c r="V561" s="13" t="s">
        <v>23</v>
      </c>
      <c r="W561" s="16" t="str">
        <f>TEXT(VLOOKUP(U561, News!A:C, 3, FALSE), "M/D/YYYY")</f>
        <v>1/22/2020</v>
      </c>
      <c r="X561" s="18">
        <f>DATE(YEAR(W561),MONTH(Metrics!$B$5), DAY(Metrics!$B$5))</f>
        <v>44075</v>
      </c>
      <c r="Y561" s="16">
        <f t="shared" si="8"/>
        <v>2020</v>
      </c>
    </row>
    <row r="562" spans="21:25" ht="16" x14ac:dyDescent="0.2">
      <c r="U562" s="12">
        <v>4863</v>
      </c>
      <c r="V562" s="13" t="s">
        <v>23</v>
      </c>
      <c r="W562" s="16" t="str">
        <f>TEXT(VLOOKUP(U562, News!A:C, 3, FALSE), "M/D/YYYY")</f>
        <v>2/6/2020</v>
      </c>
      <c r="X562" s="18">
        <f>DATE(YEAR(W562),MONTH(Metrics!$B$5), DAY(Metrics!$B$5))</f>
        <v>44075</v>
      </c>
      <c r="Y562" s="16">
        <f t="shared" si="8"/>
        <v>2020</v>
      </c>
    </row>
    <row r="563" spans="21:25" ht="16" x14ac:dyDescent="0.2">
      <c r="U563" s="12">
        <v>4829</v>
      </c>
      <c r="V563" s="13" t="s">
        <v>23</v>
      </c>
      <c r="W563" s="16" t="str">
        <f>TEXT(VLOOKUP(U563, News!A:C, 3, FALSE), "M/D/YYYY")</f>
        <v>2/18/2020</v>
      </c>
      <c r="X563" s="18">
        <f>DATE(YEAR(W563),MONTH(Metrics!$B$5), DAY(Metrics!$B$5))</f>
        <v>44075</v>
      </c>
      <c r="Y563" s="16">
        <f t="shared" si="8"/>
        <v>2020</v>
      </c>
    </row>
    <row r="564" spans="21:25" ht="16" x14ac:dyDescent="0.2">
      <c r="U564" s="12">
        <v>4493</v>
      </c>
      <c r="V564" s="13" t="s">
        <v>23</v>
      </c>
      <c r="W564" s="16" t="str">
        <f>TEXT(VLOOKUP(U564, News!A:C, 3, FALSE), "M/D/YYYY")</f>
        <v>10/10/2019</v>
      </c>
      <c r="X564" s="18">
        <f>DATE(YEAR(W564),MONTH(Metrics!$B$5), DAY(Metrics!$B$5))</f>
        <v>43709</v>
      </c>
      <c r="Y564" s="16">
        <f t="shared" si="8"/>
        <v>2020</v>
      </c>
    </row>
    <row r="565" spans="21:25" ht="16" x14ac:dyDescent="0.2">
      <c r="U565" s="12">
        <v>4579</v>
      </c>
      <c r="V565" s="13" t="s">
        <v>23</v>
      </c>
      <c r="W565" s="16" t="str">
        <f>TEXT(VLOOKUP(U565, News!A:C, 3, FALSE), "M/D/YYYY")</f>
        <v>9/30/2019</v>
      </c>
      <c r="X565" s="18">
        <f>DATE(YEAR(W565),MONTH(Metrics!$B$5), DAY(Metrics!$B$5))</f>
        <v>43709</v>
      </c>
      <c r="Y565" s="16">
        <f t="shared" si="8"/>
        <v>2020</v>
      </c>
    </row>
    <row r="566" spans="21:25" ht="16" x14ac:dyDescent="0.2">
      <c r="U566" s="12">
        <v>7610</v>
      </c>
      <c r="V566" s="13" t="s">
        <v>23</v>
      </c>
      <c r="W566" s="16" t="str">
        <f>TEXT(VLOOKUP(U566, News!A:C, 3, FALSE), "M/D/YYYY")</f>
        <v>10/12/2022</v>
      </c>
      <c r="X566" s="18">
        <f>DATE(YEAR(W566),MONTH(Metrics!$B$5), DAY(Metrics!$B$5))</f>
        <v>44805</v>
      </c>
      <c r="Y566" s="16">
        <f t="shared" si="8"/>
        <v>2023</v>
      </c>
    </row>
    <row r="567" spans="21:25" ht="16" x14ac:dyDescent="0.2">
      <c r="U567" s="12">
        <v>8223</v>
      </c>
      <c r="V567" s="13" t="s">
        <v>23</v>
      </c>
      <c r="W567" s="16" t="str">
        <f>TEXT(VLOOKUP(U567, News!A:C, 3, FALSE), "M/D/YYYY")</f>
        <v>4/20/2023</v>
      </c>
      <c r="X567" s="18">
        <f>DATE(YEAR(W567),MONTH(Metrics!$B$5), DAY(Metrics!$B$5))</f>
        <v>45170</v>
      </c>
      <c r="Y567" s="16">
        <f t="shared" si="8"/>
        <v>2023</v>
      </c>
    </row>
    <row r="568" spans="21:25" ht="16" x14ac:dyDescent="0.2">
      <c r="U568" s="12">
        <v>8054</v>
      </c>
      <c r="V568" s="13" t="s">
        <v>23</v>
      </c>
      <c r="W568" s="16" t="str">
        <f>TEXT(VLOOKUP(U568, News!A:C, 3, FALSE), "M/D/YYYY")</f>
        <v>2/16/2023</v>
      </c>
      <c r="X568" s="18">
        <f>DATE(YEAR(W568),MONTH(Metrics!$B$5), DAY(Metrics!$B$5))</f>
        <v>45170</v>
      </c>
      <c r="Y568" s="16">
        <f t="shared" si="8"/>
        <v>2023</v>
      </c>
    </row>
    <row r="569" spans="21:25" ht="16" x14ac:dyDescent="0.2">
      <c r="U569" s="12">
        <v>1615</v>
      </c>
      <c r="V569" s="13" t="s">
        <v>1176</v>
      </c>
      <c r="W569" s="16" t="str">
        <f>TEXT(VLOOKUP(U569, News!A:C, 3, FALSE), "M/D/YYYY")</f>
        <v>8/24/2018</v>
      </c>
      <c r="X569" s="18">
        <f>DATE(YEAR(W569),MONTH(Metrics!$B$5), DAY(Metrics!$B$5))</f>
        <v>43344</v>
      </c>
      <c r="Y569" s="16">
        <f t="shared" si="8"/>
        <v>2018</v>
      </c>
    </row>
    <row r="570" spans="21:25" ht="16" x14ac:dyDescent="0.2">
      <c r="U570" s="12">
        <v>1355</v>
      </c>
      <c r="V570" s="13" t="s">
        <v>1176</v>
      </c>
      <c r="W570" s="16" t="str">
        <f>TEXT(VLOOKUP(U570, News!A:C, 3, FALSE), "M/D/YYYY")</f>
        <v>10/3/2017</v>
      </c>
      <c r="X570" s="18">
        <f>DATE(YEAR(W570),MONTH(Metrics!$B$5), DAY(Metrics!$B$5))</f>
        <v>42979</v>
      </c>
      <c r="Y570" s="16">
        <f t="shared" si="8"/>
        <v>2018</v>
      </c>
    </row>
    <row r="571" spans="21:25" ht="16" x14ac:dyDescent="0.2">
      <c r="U571" s="12">
        <v>1379</v>
      </c>
      <c r="V571" s="13" t="s">
        <v>1176</v>
      </c>
      <c r="W571" s="16" t="str">
        <f>TEXT(VLOOKUP(U571, News!A:C, 3, FALSE), "M/D/YYYY")</f>
        <v>10/26/2017</v>
      </c>
      <c r="X571" s="18">
        <f>DATE(YEAR(W571),MONTH(Metrics!$B$5), DAY(Metrics!$B$5))</f>
        <v>42979</v>
      </c>
      <c r="Y571" s="16">
        <f t="shared" si="8"/>
        <v>2018</v>
      </c>
    </row>
    <row r="572" spans="21:25" ht="16" x14ac:dyDescent="0.2">
      <c r="U572" s="12">
        <v>2305</v>
      </c>
      <c r="V572" s="13" t="s">
        <v>1176</v>
      </c>
      <c r="W572" s="16" t="str">
        <f>TEXT(VLOOKUP(U572, News!A:C, 3, FALSE), "M/D/YYYY")</f>
        <v>5/19/2017</v>
      </c>
      <c r="X572" s="18">
        <f>DATE(YEAR(W572),MONTH(Metrics!$B$5), DAY(Metrics!$B$5))</f>
        <v>42979</v>
      </c>
      <c r="Y572" s="16">
        <f t="shared" si="8"/>
        <v>2017</v>
      </c>
    </row>
    <row r="573" spans="21:25" ht="16" x14ac:dyDescent="0.2">
      <c r="U573" s="12">
        <v>2549</v>
      </c>
      <c r="V573" s="13" t="s">
        <v>1176</v>
      </c>
      <c r="W573" s="16" t="str">
        <f>TEXT(VLOOKUP(U573, News!A:C, 3, FALSE), "M/D/YYYY")</f>
        <v>1/20/2017</v>
      </c>
      <c r="X573" s="18">
        <f>DATE(YEAR(W573),MONTH(Metrics!$B$5), DAY(Metrics!$B$5))</f>
        <v>42979</v>
      </c>
      <c r="Y573" s="16">
        <f t="shared" si="8"/>
        <v>2017</v>
      </c>
    </row>
    <row r="574" spans="21:25" ht="16" x14ac:dyDescent="0.2">
      <c r="U574" s="12">
        <v>3062</v>
      </c>
      <c r="V574" s="13" t="s">
        <v>1176</v>
      </c>
      <c r="W574" s="16" t="str">
        <f>TEXT(VLOOKUP(U574, News!A:C, 3, FALSE), "M/D/YYYY")</f>
        <v>10/3/2016</v>
      </c>
      <c r="X574" s="18">
        <f>DATE(YEAR(W574),MONTH(Metrics!$B$5), DAY(Metrics!$B$5))</f>
        <v>42614</v>
      </c>
      <c r="Y574" s="16">
        <f t="shared" si="8"/>
        <v>2017</v>
      </c>
    </row>
    <row r="575" spans="21:25" ht="16" x14ac:dyDescent="0.2">
      <c r="U575" s="12">
        <v>3225</v>
      </c>
      <c r="V575" s="13" t="s">
        <v>1176</v>
      </c>
      <c r="W575" s="16" t="str">
        <f>TEXT(VLOOKUP(U575, News!A:C, 3, FALSE), "M/D/YYYY")</f>
        <v>12/13/2018</v>
      </c>
      <c r="X575" s="18">
        <f>DATE(YEAR(W575),MONTH(Metrics!$B$5), DAY(Metrics!$B$5))</f>
        <v>43344</v>
      </c>
      <c r="Y575" s="16">
        <f t="shared" si="8"/>
        <v>2019</v>
      </c>
    </row>
    <row r="576" spans="21:25" ht="16" x14ac:dyDescent="0.2">
      <c r="U576" s="12">
        <v>3644</v>
      </c>
      <c r="V576" s="13" t="s">
        <v>1176</v>
      </c>
      <c r="W576" s="16" t="str">
        <f>TEXT(VLOOKUP(U576, News!A:C, 3, FALSE), "M/D/YYYY")</f>
        <v>11/19/2015</v>
      </c>
      <c r="X576" s="18">
        <f>DATE(YEAR(W576),MONTH(Metrics!$B$5), DAY(Metrics!$B$5))</f>
        <v>42248</v>
      </c>
      <c r="Y576" s="16">
        <f t="shared" si="8"/>
        <v>2016</v>
      </c>
    </row>
    <row r="577" spans="21:25" ht="16" x14ac:dyDescent="0.2">
      <c r="U577" s="12">
        <v>4071</v>
      </c>
      <c r="V577" s="13" t="s">
        <v>1176</v>
      </c>
      <c r="W577" s="16" t="str">
        <f>TEXT(VLOOKUP(U577, News!A:C, 3, FALSE), "M/D/YYYY")</f>
        <v>10/3/2014</v>
      </c>
      <c r="X577" s="18">
        <f>DATE(YEAR(W577),MONTH(Metrics!$B$5), DAY(Metrics!$B$5))</f>
        <v>41883</v>
      </c>
      <c r="Y577" s="16">
        <f t="shared" si="8"/>
        <v>2015</v>
      </c>
    </row>
    <row r="578" spans="21:25" ht="16" x14ac:dyDescent="0.2">
      <c r="U578" s="12">
        <v>4150</v>
      </c>
      <c r="V578" s="13" t="s">
        <v>1176</v>
      </c>
      <c r="W578" s="16" t="str">
        <f>TEXT(VLOOKUP(U578, News!A:C, 3, FALSE), "M/D/YYYY")</f>
        <v>6/30/2014</v>
      </c>
      <c r="X578" s="18">
        <f>DATE(YEAR(W578),MONTH(Metrics!$B$5), DAY(Metrics!$B$5))</f>
        <v>41883</v>
      </c>
      <c r="Y578" s="16">
        <f t="shared" si="8"/>
        <v>2014</v>
      </c>
    </row>
    <row r="579" spans="21:25" ht="16" x14ac:dyDescent="0.2">
      <c r="U579" s="12">
        <v>4170</v>
      </c>
      <c r="V579" s="13" t="s">
        <v>1176</v>
      </c>
      <c r="W579" s="16" t="str">
        <f>TEXT(VLOOKUP(U579, News!A:C, 3, FALSE), "M/D/YYYY")</f>
        <v>6/4/2019</v>
      </c>
      <c r="X579" s="18">
        <f>DATE(YEAR(W579),MONTH(Metrics!$B$5), DAY(Metrics!$B$5))</f>
        <v>43709</v>
      </c>
      <c r="Y579" s="16">
        <f t="shared" ref="Y579:Y642" si="9">IF(MONTH(W579) &gt;= MONTH(X579), YEAR(W579)+1, YEAR(W579))</f>
        <v>2019</v>
      </c>
    </row>
    <row r="580" spans="21:25" ht="16" x14ac:dyDescent="0.2">
      <c r="U580" s="12">
        <v>4200</v>
      </c>
      <c r="V580" s="13" t="s">
        <v>1176</v>
      </c>
      <c r="W580" s="16" t="str">
        <f>TEXT(VLOOKUP(U580, News!A:C, 3, FALSE), "M/D/YYYY")</f>
        <v>5/27/2014</v>
      </c>
      <c r="X580" s="18">
        <f>DATE(YEAR(W580),MONTH(Metrics!$B$5), DAY(Metrics!$B$5))</f>
        <v>41883</v>
      </c>
      <c r="Y580" s="16">
        <f t="shared" si="9"/>
        <v>2014</v>
      </c>
    </row>
    <row r="581" spans="21:25" ht="16" x14ac:dyDescent="0.2">
      <c r="U581" s="12">
        <v>6326</v>
      </c>
      <c r="V581" s="13" t="s">
        <v>1176</v>
      </c>
      <c r="W581" s="16" t="str">
        <f>TEXT(VLOOKUP(U581, News!A:C, 3, FALSE), "M/D/YYYY")</f>
        <v>8/30/2021</v>
      </c>
      <c r="X581" s="18">
        <f>DATE(YEAR(W581),MONTH(Metrics!$B$5), DAY(Metrics!$B$5))</f>
        <v>44440</v>
      </c>
      <c r="Y581" s="16">
        <f t="shared" si="9"/>
        <v>2021</v>
      </c>
    </row>
    <row r="582" spans="21:25" ht="16" x14ac:dyDescent="0.2">
      <c r="U582" s="12">
        <v>8247</v>
      </c>
      <c r="V582" s="13" t="s">
        <v>1176</v>
      </c>
      <c r="W582" s="16" t="str">
        <f>TEXT(VLOOKUP(U582, News!A:C, 3, FALSE), "M/D/YYYY")</f>
        <v>4/25/2023</v>
      </c>
      <c r="X582" s="18">
        <f>DATE(YEAR(W582),MONTH(Metrics!$B$5), DAY(Metrics!$B$5))</f>
        <v>45170</v>
      </c>
      <c r="Y582" s="16">
        <f t="shared" si="9"/>
        <v>2023</v>
      </c>
    </row>
    <row r="583" spans="21:25" ht="16" x14ac:dyDescent="0.2">
      <c r="U583" s="12">
        <v>1381</v>
      </c>
      <c r="V583" s="13" t="s">
        <v>1176</v>
      </c>
      <c r="W583" s="16" t="str">
        <f>TEXT(VLOOKUP(U583, News!A:C, 3, FALSE), "M/D/YYYY")</f>
        <v>11/2/2017</v>
      </c>
      <c r="X583" s="18">
        <f>DATE(YEAR(W583),MONTH(Metrics!$B$5), DAY(Metrics!$B$5))</f>
        <v>42979</v>
      </c>
      <c r="Y583" s="16">
        <f t="shared" si="9"/>
        <v>2018</v>
      </c>
    </row>
    <row r="584" spans="21:25" ht="16" x14ac:dyDescent="0.2">
      <c r="U584" s="12">
        <v>3895</v>
      </c>
      <c r="V584" s="13" t="s">
        <v>1176</v>
      </c>
      <c r="W584" s="16" t="str">
        <f>TEXT(VLOOKUP(U584, News!A:C, 3, FALSE), "M/D/YYYY")</f>
        <v>6/1/2015</v>
      </c>
      <c r="X584" s="18">
        <f>DATE(YEAR(W584),MONTH(Metrics!$B$5), DAY(Metrics!$B$5))</f>
        <v>42248</v>
      </c>
      <c r="Y584" s="16">
        <f t="shared" si="9"/>
        <v>2015</v>
      </c>
    </row>
    <row r="585" spans="21:25" ht="16" x14ac:dyDescent="0.2">
      <c r="U585" s="12">
        <v>4073</v>
      </c>
      <c r="V585" s="13" t="s">
        <v>1176</v>
      </c>
      <c r="W585" s="16" t="str">
        <f>TEXT(VLOOKUP(U585, News!A:C, 3, FALSE), "M/D/YYYY")</f>
        <v>9/30/2014</v>
      </c>
      <c r="X585" s="18">
        <f>DATE(YEAR(W585),MONTH(Metrics!$B$5), DAY(Metrics!$B$5))</f>
        <v>41883</v>
      </c>
      <c r="Y585" s="16">
        <f t="shared" si="9"/>
        <v>2015</v>
      </c>
    </row>
    <row r="586" spans="21:25" ht="16" x14ac:dyDescent="0.2">
      <c r="U586" s="12">
        <v>1445</v>
      </c>
      <c r="V586" s="13" t="s">
        <v>1176</v>
      </c>
      <c r="W586" s="16" t="str">
        <f>TEXT(VLOOKUP(U586, News!A:C, 3, FALSE), "M/D/YYYY")</f>
        <v>1/31/2018</v>
      </c>
      <c r="X586" s="18">
        <f>DATE(YEAR(W586),MONTH(Metrics!$B$5), DAY(Metrics!$B$5))</f>
        <v>43344</v>
      </c>
      <c r="Y586" s="16">
        <f t="shared" si="9"/>
        <v>2018</v>
      </c>
    </row>
    <row r="587" spans="21:25" ht="16" x14ac:dyDescent="0.2">
      <c r="U587" s="12">
        <v>2015</v>
      </c>
      <c r="V587" s="13" t="s">
        <v>1176</v>
      </c>
      <c r="W587" s="16" t="str">
        <f>TEXT(VLOOKUP(U587, News!A:C, 3, FALSE), "M/D/YYYY")</f>
        <v>8/18/2017</v>
      </c>
      <c r="X587" s="18">
        <f>DATE(YEAR(W587),MONTH(Metrics!$B$5), DAY(Metrics!$B$5))</f>
        <v>42979</v>
      </c>
      <c r="Y587" s="16">
        <f t="shared" si="9"/>
        <v>2017</v>
      </c>
    </row>
    <row r="588" spans="21:25" ht="16" x14ac:dyDescent="0.2">
      <c r="U588" s="12">
        <v>4204</v>
      </c>
      <c r="V588" s="13" t="s">
        <v>1176</v>
      </c>
      <c r="W588" s="16" t="str">
        <f>TEXT(VLOOKUP(U588, News!A:C, 3, FALSE), "M/D/YYYY")</f>
        <v>6/3/2014</v>
      </c>
      <c r="X588" s="18">
        <f>DATE(YEAR(W588),MONTH(Metrics!$B$5), DAY(Metrics!$B$5))</f>
        <v>41883</v>
      </c>
      <c r="Y588" s="16">
        <f t="shared" si="9"/>
        <v>2014</v>
      </c>
    </row>
    <row r="589" spans="21:25" ht="16" x14ac:dyDescent="0.2">
      <c r="U589" s="12">
        <v>2525</v>
      </c>
      <c r="V589" s="13" t="s">
        <v>1176</v>
      </c>
      <c r="W589" s="16" t="str">
        <f>TEXT(VLOOKUP(U589, News!A:C, 3, FALSE), "M/D/YYYY")</f>
        <v>1/28/2017</v>
      </c>
      <c r="X589" s="18">
        <f>DATE(YEAR(W589),MONTH(Metrics!$B$5), DAY(Metrics!$B$5))</f>
        <v>42979</v>
      </c>
      <c r="Y589" s="16">
        <f t="shared" si="9"/>
        <v>2017</v>
      </c>
    </row>
    <row r="590" spans="21:25" ht="16" x14ac:dyDescent="0.2">
      <c r="U590" s="12">
        <v>3005</v>
      </c>
      <c r="V590" s="13" t="s">
        <v>1176</v>
      </c>
      <c r="W590" s="16" t="str">
        <f>TEXT(VLOOKUP(U590, News!A:C, 3, FALSE), "M/D/YYYY")</f>
        <v>10/31/2016</v>
      </c>
      <c r="X590" s="18">
        <f>DATE(YEAR(W590),MONTH(Metrics!$B$5), DAY(Metrics!$B$5))</f>
        <v>42614</v>
      </c>
      <c r="Y590" s="16">
        <f t="shared" si="9"/>
        <v>2017</v>
      </c>
    </row>
    <row r="591" spans="21:25" ht="16" x14ac:dyDescent="0.2">
      <c r="U591" s="12">
        <v>3317</v>
      </c>
      <c r="V591" s="13" t="s">
        <v>1176</v>
      </c>
      <c r="W591" s="16" t="str">
        <f>TEXT(VLOOKUP(U591, News!A:C, 3, FALSE), "M/D/YYYY")</f>
        <v>7/14/2016</v>
      </c>
      <c r="X591" s="18">
        <f>DATE(YEAR(W591),MONTH(Metrics!$B$5), DAY(Metrics!$B$5))</f>
        <v>42614</v>
      </c>
      <c r="Y591" s="16">
        <f t="shared" si="9"/>
        <v>2016</v>
      </c>
    </row>
    <row r="592" spans="21:25" ht="16" x14ac:dyDescent="0.2">
      <c r="U592" s="12">
        <v>4132</v>
      </c>
      <c r="V592" s="13" t="s">
        <v>1176</v>
      </c>
      <c r="W592" s="16" t="str">
        <f>TEXT(VLOOKUP(U592, News!A:C, 3, FALSE), "M/D/YYYY")</f>
        <v>7/6/2014</v>
      </c>
      <c r="X592" s="18">
        <f>DATE(YEAR(W592),MONTH(Metrics!$B$5), DAY(Metrics!$B$5))</f>
        <v>41883</v>
      </c>
      <c r="Y592" s="16">
        <f t="shared" si="9"/>
        <v>2014</v>
      </c>
    </row>
    <row r="593" spans="21:25" ht="16" x14ac:dyDescent="0.2">
      <c r="U593" s="12">
        <v>3257</v>
      </c>
      <c r="V593" s="13" t="s">
        <v>1176</v>
      </c>
      <c r="W593" s="16" t="str">
        <f>TEXT(VLOOKUP(U593, News!A:C, 3, FALSE), "M/D/YYYY")</f>
        <v>12/18/2018</v>
      </c>
      <c r="X593" s="18">
        <f>DATE(YEAR(W593),MONTH(Metrics!$B$5), DAY(Metrics!$B$5))</f>
        <v>43344</v>
      </c>
      <c r="Y593" s="16">
        <f t="shared" si="9"/>
        <v>2019</v>
      </c>
    </row>
    <row r="594" spans="21:25" ht="16" x14ac:dyDescent="0.2">
      <c r="U594" s="12">
        <v>3280</v>
      </c>
      <c r="V594" s="13" t="s">
        <v>1176</v>
      </c>
      <c r="W594" s="16" t="str">
        <f>TEXT(VLOOKUP(U594, News!A:C, 3, FALSE), "M/D/YYYY")</f>
        <v>8/30/2016</v>
      </c>
      <c r="X594" s="18">
        <f>DATE(YEAR(W594),MONTH(Metrics!$B$5), DAY(Metrics!$B$5))</f>
        <v>42614</v>
      </c>
      <c r="Y594" s="16">
        <f t="shared" si="9"/>
        <v>2016</v>
      </c>
    </row>
    <row r="595" spans="21:25" ht="16" x14ac:dyDescent="0.2">
      <c r="U595" s="12">
        <v>3301</v>
      </c>
      <c r="V595" s="13" t="s">
        <v>1176</v>
      </c>
      <c r="W595" s="16" t="str">
        <f>TEXT(VLOOKUP(U595, News!A:C, 3, FALSE), "M/D/YYYY")</f>
        <v>8/29/2016</v>
      </c>
      <c r="X595" s="18">
        <f>DATE(YEAR(W595),MONTH(Metrics!$B$5), DAY(Metrics!$B$5))</f>
        <v>42614</v>
      </c>
      <c r="Y595" s="16">
        <f t="shared" si="9"/>
        <v>2016</v>
      </c>
    </row>
    <row r="596" spans="21:25" ht="16" x14ac:dyDescent="0.2">
      <c r="U596" s="12">
        <v>3452</v>
      </c>
      <c r="V596" s="13" t="s">
        <v>1176</v>
      </c>
      <c r="W596" s="16" t="str">
        <f>TEXT(VLOOKUP(U596, News!A:C, 3, FALSE), "M/D/YYYY")</f>
        <v>5/10/2016</v>
      </c>
      <c r="X596" s="18">
        <f>DATE(YEAR(W596),MONTH(Metrics!$B$5), DAY(Metrics!$B$5))</f>
        <v>42614</v>
      </c>
      <c r="Y596" s="16">
        <f t="shared" si="9"/>
        <v>2016</v>
      </c>
    </row>
    <row r="597" spans="21:25" ht="16" x14ac:dyDescent="0.2">
      <c r="U597" s="12">
        <v>4816</v>
      </c>
      <c r="V597" s="13" t="s">
        <v>1176</v>
      </c>
      <c r="W597" s="16" t="str">
        <f>TEXT(VLOOKUP(U597, News!A:C, 3, FALSE), "M/D/YYYY")</f>
        <v>1/10/2020</v>
      </c>
      <c r="X597" s="18">
        <f>DATE(YEAR(W597),MONTH(Metrics!$B$5), DAY(Metrics!$B$5))</f>
        <v>44075</v>
      </c>
      <c r="Y597" s="16">
        <f t="shared" si="9"/>
        <v>2020</v>
      </c>
    </row>
    <row r="598" spans="21:25" ht="16" x14ac:dyDescent="0.2">
      <c r="U598" s="12">
        <v>7757</v>
      </c>
      <c r="V598" s="13" t="s">
        <v>1176</v>
      </c>
      <c r="W598" s="16" t="str">
        <f>TEXT(VLOOKUP(U598, News!A:C, 3, FALSE), "M/D/YYYY")</f>
        <v>12/8/2022</v>
      </c>
      <c r="X598" s="18">
        <f>DATE(YEAR(W598),MONTH(Metrics!$B$5), DAY(Metrics!$B$5))</f>
        <v>44805</v>
      </c>
      <c r="Y598" s="16">
        <f t="shared" si="9"/>
        <v>2023</v>
      </c>
    </row>
    <row r="599" spans="21:25" ht="16" x14ac:dyDescent="0.2">
      <c r="U599" s="12">
        <v>7954</v>
      </c>
      <c r="V599" s="13" t="s">
        <v>1176</v>
      </c>
      <c r="W599" s="16" t="str">
        <f>TEXT(VLOOKUP(U599, News!A:C, 3, FALSE), "M/D/YYYY")</f>
        <v>1/23/2023</v>
      </c>
      <c r="X599" s="18">
        <f>DATE(YEAR(W599),MONTH(Metrics!$B$5), DAY(Metrics!$B$5))</f>
        <v>45170</v>
      </c>
      <c r="Y599" s="16">
        <f t="shared" si="9"/>
        <v>2023</v>
      </c>
    </row>
    <row r="600" spans="21:25" ht="16" x14ac:dyDescent="0.2">
      <c r="U600" s="12">
        <v>1460</v>
      </c>
      <c r="V600" s="13" t="s">
        <v>1176</v>
      </c>
      <c r="W600" s="16" t="str">
        <f>TEXT(VLOOKUP(U600, News!A:C, 3, FALSE), "M/D/YYYY")</f>
        <v>12/6/2017</v>
      </c>
      <c r="X600" s="18">
        <f>DATE(YEAR(W600),MONTH(Metrics!$B$5), DAY(Metrics!$B$5))</f>
        <v>42979</v>
      </c>
      <c r="Y600" s="16">
        <f t="shared" si="9"/>
        <v>2018</v>
      </c>
    </row>
    <row r="601" spans="21:25" ht="16" x14ac:dyDescent="0.2">
      <c r="U601" s="12">
        <v>2344</v>
      </c>
      <c r="V601" s="13" t="s">
        <v>1176</v>
      </c>
      <c r="W601" s="16" t="str">
        <f>TEXT(VLOOKUP(U601, News!A:C, 3, FALSE), "M/D/YYYY")</f>
        <v>3/17/2017</v>
      </c>
      <c r="X601" s="18">
        <f>DATE(YEAR(W601),MONTH(Metrics!$B$5), DAY(Metrics!$B$5))</f>
        <v>42979</v>
      </c>
      <c r="Y601" s="16">
        <f t="shared" si="9"/>
        <v>2017</v>
      </c>
    </row>
    <row r="602" spans="21:25" ht="16" x14ac:dyDescent="0.2">
      <c r="U602" s="12">
        <v>3212</v>
      </c>
      <c r="V602" s="13" t="s">
        <v>1176</v>
      </c>
      <c r="W602" s="16" t="str">
        <f>TEXT(VLOOKUP(U602, News!A:C, 3, FALSE), "M/D/YYYY")</f>
        <v>9/14/2016</v>
      </c>
      <c r="X602" s="18">
        <f>DATE(YEAR(W602),MONTH(Metrics!$B$5), DAY(Metrics!$B$5))</f>
        <v>42614</v>
      </c>
      <c r="Y602" s="16">
        <f t="shared" si="9"/>
        <v>2017</v>
      </c>
    </row>
    <row r="603" spans="21:25" ht="16" x14ac:dyDescent="0.2">
      <c r="U603" s="12">
        <v>4036</v>
      </c>
      <c r="V603" s="13" t="s">
        <v>1176</v>
      </c>
      <c r="W603" s="16" t="str">
        <f>TEXT(VLOOKUP(U603, News!A:C, 3, FALSE), "M/D/YYYY")</f>
        <v>11/16/2014</v>
      </c>
      <c r="X603" s="18">
        <f>DATE(YEAR(W603),MONTH(Metrics!$B$5), DAY(Metrics!$B$5))</f>
        <v>41883</v>
      </c>
      <c r="Y603" s="16">
        <f t="shared" si="9"/>
        <v>2015</v>
      </c>
    </row>
    <row r="604" spans="21:25" ht="16" x14ac:dyDescent="0.2">
      <c r="U604" s="12">
        <v>4141</v>
      </c>
      <c r="V604" s="13" t="s">
        <v>1176</v>
      </c>
      <c r="W604" s="16" t="str">
        <f>TEXT(VLOOKUP(U604, News!A:C, 3, FALSE), "M/D/YYYY")</f>
        <v>5/28/2019</v>
      </c>
      <c r="X604" s="18">
        <f>DATE(YEAR(W604),MONTH(Metrics!$B$5), DAY(Metrics!$B$5))</f>
        <v>43709</v>
      </c>
      <c r="Y604" s="16">
        <f t="shared" si="9"/>
        <v>2019</v>
      </c>
    </row>
    <row r="605" spans="21:25" ht="16" x14ac:dyDescent="0.2">
      <c r="U605" s="12">
        <v>2034</v>
      </c>
      <c r="V605" s="13" t="s">
        <v>1176</v>
      </c>
      <c r="W605" s="16" t="str">
        <f>TEXT(VLOOKUP(U605, News!A:C, 3, FALSE), "M/D/YYYY")</f>
        <v>7/30/2017</v>
      </c>
      <c r="X605" s="18">
        <f>DATE(YEAR(W605),MONTH(Metrics!$B$5), DAY(Metrics!$B$5))</f>
        <v>42979</v>
      </c>
      <c r="Y605" s="16">
        <f t="shared" si="9"/>
        <v>2017</v>
      </c>
    </row>
    <row r="606" spans="21:25" ht="16" x14ac:dyDescent="0.2">
      <c r="U606" s="12">
        <v>4956</v>
      </c>
      <c r="V606" s="13" t="s">
        <v>1176</v>
      </c>
      <c r="W606" s="16" t="str">
        <f>TEXT(VLOOKUP(U606, News!A:C, 3, FALSE), "M/D/YYYY")</f>
        <v>6/12/2020</v>
      </c>
      <c r="X606" s="18">
        <f>DATE(YEAR(W606),MONTH(Metrics!$B$5), DAY(Metrics!$B$5))</f>
        <v>44075</v>
      </c>
      <c r="Y606" s="16">
        <f t="shared" si="9"/>
        <v>2020</v>
      </c>
    </row>
    <row r="607" spans="21:25" ht="16" x14ac:dyDescent="0.2">
      <c r="U607" s="12">
        <v>5129</v>
      </c>
      <c r="V607" s="13" t="s">
        <v>1176</v>
      </c>
      <c r="W607" s="16" t="str">
        <f>TEXT(VLOOKUP(U607, News!A:C, 3, FALSE), "M/D/YYYY")</f>
        <v>8/31/2020</v>
      </c>
      <c r="X607" s="18">
        <f>DATE(YEAR(W607),MONTH(Metrics!$B$5), DAY(Metrics!$B$5))</f>
        <v>44075</v>
      </c>
      <c r="Y607" s="16">
        <f t="shared" si="9"/>
        <v>2020</v>
      </c>
    </row>
    <row r="608" spans="21:25" ht="16" x14ac:dyDescent="0.2">
      <c r="U608" s="12">
        <v>6435</v>
      </c>
      <c r="V608" s="13" t="s">
        <v>1176</v>
      </c>
      <c r="W608" s="16" t="str">
        <f>TEXT(VLOOKUP(U608, News!A:C, 3, FALSE), "M/D/YYYY")</f>
        <v>10/20/2021</v>
      </c>
      <c r="X608" s="18">
        <f>DATE(YEAR(W608),MONTH(Metrics!$B$5), DAY(Metrics!$B$5))</f>
        <v>44440</v>
      </c>
      <c r="Y608" s="16">
        <f t="shared" si="9"/>
        <v>2022</v>
      </c>
    </row>
    <row r="609" spans="21:25" ht="16" x14ac:dyDescent="0.2">
      <c r="U609" s="12">
        <v>7205</v>
      </c>
      <c r="V609" s="13" t="s">
        <v>1176</v>
      </c>
      <c r="W609" s="16" t="str">
        <f>TEXT(VLOOKUP(U609, News!A:C, 3, FALSE), "M/D/YYYY")</f>
        <v>6/21/2022</v>
      </c>
      <c r="X609" s="18">
        <f>DATE(YEAR(W609),MONTH(Metrics!$B$5), DAY(Metrics!$B$5))</f>
        <v>44805</v>
      </c>
      <c r="Y609" s="16">
        <f t="shared" si="9"/>
        <v>2022</v>
      </c>
    </row>
    <row r="610" spans="21:25" ht="16" x14ac:dyDescent="0.2">
      <c r="U610" s="12">
        <v>3817</v>
      </c>
      <c r="V610" s="13" t="s">
        <v>1176</v>
      </c>
      <c r="W610" s="16" t="str">
        <f>TEXT(VLOOKUP(U610, News!A:C, 3, FALSE), "M/D/YYYY")</f>
        <v>3/10/2019</v>
      </c>
      <c r="X610" s="18">
        <f>DATE(YEAR(W610),MONTH(Metrics!$B$5), DAY(Metrics!$B$5))</f>
        <v>43709</v>
      </c>
      <c r="Y610" s="16">
        <f t="shared" si="9"/>
        <v>2019</v>
      </c>
    </row>
    <row r="611" spans="21:25" ht="16" x14ac:dyDescent="0.2">
      <c r="U611" s="12">
        <v>6073</v>
      </c>
      <c r="V611" s="13" t="s">
        <v>1176</v>
      </c>
      <c r="W611" s="16" t="str">
        <f>TEXT(VLOOKUP(U611, News!A:C, 3, FALSE), "M/D/YYYY")</f>
        <v>5/17/2021</v>
      </c>
      <c r="X611" s="18">
        <f>DATE(YEAR(W611),MONTH(Metrics!$B$5), DAY(Metrics!$B$5))</f>
        <v>44440</v>
      </c>
      <c r="Y611" s="16">
        <f t="shared" si="9"/>
        <v>2021</v>
      </c>
    </row>
    <row r="612" spans="21:25" ht="16" x14ac:dyDescent="0.2">
      <c r="U612" s="12">
        <v>7358</v>
      </c>
      <c r="V612" s="13" t="s">
        <v>1176</v>
      </c>
      <c r="W612" s="16" t="str">
        <f>TEXT(VLOOKUP(U612, News!A:C, 3, FALSE), "M/D/YYYY")</f>
        <v>9/12/2022</v>
      </c>
      <c r="X612" s="18">
        <f>DATE(YEAR(W612),MONTH(Metrics!$B$5), DAY(Metrics!$B$5))</f>
        <v>44805</v>
      </c>
      <c r="Y612" s="16">
        <f t="shared" si="9"/>
        <v>2023</v>
      </c>
    </row>
    <row r="613" spans="21:25" ht="16" x14ac:dyDescent="0.2">
      <c r="U613" s="12">
        <v>1382</v>
      </c>
      <c r="V613" s="13" t="s">
        <v>1176</v>
      </c>
      <c r="W613" s="16" t="str">
        <f>TEXT(VLOOKUP(U613, News!A:C, 3, FALSE), "M/D/YYYY")</f>
        <v>12/1/2017</v>
      </c>
      <c r="X613" s="18">
        <f>DATE(YEAR(W613),MONTH(Metrics!$B$5), DAY(Metrics!$B$5))</f>
        <v>42979</v>
      </c>
      <c r="Y613" s="16">
        <f t="shared" si="9"/>
        <v>2018</v>
      </c>
    </row>
    <row r="614" spans="21:25" ht="16" x14ac:dyDescent="0.2">
      <c r="U614" s="12">
        <v>1400</v>
      </c>
      <c r="V614" s="13" t="s">
        <v>1176</v>
      </c>
      <c r="W614" s="16" t="str">
        <f>TEXT(VLOOKUP(U614, News!A:C, 3, FALSE), "M/D/YYYY")</f>
        <v>3/22/2018</v>
      </c>
      <c r="X614" s="18">
        <f>DATE(YEAR(W614),MONTH(Metrics!$B$5), DAY(Metrics!$B$5))</f>
        <v>43344</v>
      </c>
      <c r="Y614" s="16">
        <f t="shared" si="9"/>
        <v>2018</v>
      </c>
    </row>
    <row r="615" spans="21:25" ht="16" x14ac:dyDescent="0.2">
      <c r="U615" s="12">
        <v>1701</v>
      </c>
      <c r="V615" s="13" t="s">
        <v>1176</v>
      </c>
      <c r="W615" s="16" t="str">
        <f>TEXT(VLOOKUP(U615, News!A:C, 3, FALSE), "M/D/YYYY")</f>
        <v>9/27/2018</v>
      </c>
      <c r="X615" s="18">
        <f>DATE(YEAR(W615),MONTH(Metrics!$B$5), DAY(Metrics!$B$5))</f>
        <v>43344</v>
      </c>
      <c r="Y615" s="16">
        <f t="shared" si="9"/>
        <v>2019</v>
      </c>
    </row>
    <row r="616" spans="21:25" ht="16" x14ac:dyDescent="0.2">
      <c r="U616" s="12">
        <v>2444</v>
      </c>
      <c r="V616" s="13" t="s">
        <v>1176</v>
      </c>
      <c r="W616" s="16" t="str">
        <f>TEXT(VLOOKUP(U616, News!A:C, 3, FALSE), "M/D/YYYY")</f>
        <v>3/2/2017</v>
      </c>
      <c r="X616" s="18">
        <f>DATE(YEAR(W616),MONTH(Metrics!$B$5), DAY(Metrics!$B$5))</f>
        <v>42979</v>
      </c>
      <c r="Y616" s="16">
        <f t="shared" si="9"/>
        <v>2017</v>
      </c>
    </row>
    <row r="617" spans="21:25" ht="16" x14ac:dyDescent="0.2">
      <c r="U617" s="12">
        <v>2989</v>
      </c>
      <c r="V617" s="13" t="s">
        <v>1176</v>
      </c>
      <c r="W617" s="16" t="str">
        <f>TEXT(VLOOKUP(U617, News!A:C, 3, FALSE), "M/D/YYYY")</f>
        <v>12/1/2016</v>
      </c>
      <c r="X617" s="18">
        <f>DATE(YEAR(W617),MONTH(Metrics!$B$5), DAY(Metrics!$B$5))</f>
        <v>42614</v>
      </c>
      <c r="Y617" s="16">
        <f t="shared" si="9"/>
        <v>2017</v>
      </c>
    </row>
    <row r="618" spans="21:25" ht="16" x14ac:dyDescent="0.2">
      <c r="U618" s="12">
        <v>3410</v>
      </c>
      <c r="V618" s="13" t="s">
        <v>1176</v>
      </c>
      <c r="W618" s="16" t="str">
        <f>TEXT(VLOOKUP(U618, News!A:C, 3, FALSE), "M/D/YYYY")</f>
        <v>1/15/2019</v>
      </c>
      <c r="X618" s="18">
        <f>DATE(YEAR(W618),MONTH(Metrics!$B$5), DAY(Metrics!$B$5))</f>
        <v>43709</v>
      </c>
      <c r="Y618" s="16">
        <f t="shared" si="9"/>
        <v>2019</v>
      </c>
    </row>
    <row r="619" spans="21:25" ht="16" x14ac:dyDescent="0.2">
      <c r="U619" s="12">
        <v>3442</v>
      </c>
      <c r="V619" s="13" t="s">
        <v>1176</v>
      </c>
      <c r="W619" s="16" t="str">
        <f>TEXT(VLOOKUP(U619, News!A:C, 3, FALSE), "M/D/YYYY")</f>
        <v>1/21/2019</v>
      </c>
      <c r="X619" s="18">
        <f>DATE(YEAR(W619),MONTH(Metrics!$B$5), DAY(Metrics!$B$5))</f>
        <v>43709</v>
      </c>
      <c r="Y619" s="16">
        <f t="shared" si="9"/>
        <v>2019</v>
      </c>
    </row>
    <row r="620" spans="21:25" ht="16" x14ac:dyDescent="0.2">
      <c r="U620" s="12">
        <v>3542</v>
      </c>
      <c r="V620" s="13" t="s">
        <v>1176</v>
      </c>
      <c r="W620" s="16" t="str">
        <f>TEXT(VLOOKUP(U620, News!A:C, 3, FALSE), "M/D/YYYY")</f>
        <v>4/3/2016</v>
      </c>
      <c r="X620" s="18">
        <f>DATE(YEAR(W620),MONTH(Metrics!$B$5), DAY(Metrics!$B$5))</f>
        <v>42614</v>
      </c>
      <c r="Y620" s="16">
        <f t="shared" si="9"/>
        <v>2016</v>
      </c>
    </row>
    <row r="621" spans="21:25" ht="16" x14ac:dyDescent="0.2">
      <c r="U621" s="12">
        <v>3604</v>
      </c>
      <c r="V621" s="13" t="s">
        <v>1176</v>
      </c>
      <c r="W621" s="16" t="str">
        <f>TEXT(VLOOKUP(U621, News!A:C, 3, FALSE), "M/D/YYYY")</f>
        <v>2/4/2016</v>
      </c>
      <c r="X621" s="18">
        <f>DATE(YEAR(W621),MONTH(Metrics!$B$5), DAY(Metrics!$B$5))</f>
        <v>42614</v>
      </c>
      <c r="Y621" s="16">
        <f t="shared" si="9"/>
        <v>2016</v>
      </c>
    </row>
    <row r="622" spans="21:25" ht="16" x14ac:dyDescent="0.2">
      <c r="U622" s="12">
        <v>3654</v>
      </c>
      <c r="V622" s="13" t="s">
        <v>1176</v>
      </c>
      <c r="W622" s="16" t="str">
        <f>TEXT(VLOOKUP(U622, News!A:C, 3, FALSE), "M/D/YYYY")</f>
        <v>11/13/2015</v>
      </c>
      <c r="X622" s="18">
        <f>DATE(YEAR(W622),MONTH(Metrics!$B$5), DAY(Metrics!$B$5))</f>
        <v>42248</v>
      </c>
      <c r="Y622" s="16">
        <f t="shared" si="9"/>
        <v>2016</v>
      </c>
    </row>
    <row r="623" spans="21:25" ht="16" x14ac:dyDescent="0.2">
      <c r="U623" s="12">
        <v>3980</v>
      </c>
      <c r="V623" s="13" t="s">
        <v>1176</v>
      </c>
      <c r="W623" s="16" t="str">
        <f>TEXT(VLOOKUP(U623, News!A:C, 3, FALSE), "M/D/YYYY")</f>
        <v>2/26/2015</v>
      </c>
      <c r="X623" s="18">
        <f>DATE(YEAR(W623),MONTH(Metrics!$B$5), DAY(Metrics!$B$5))</f>
        <v>42248</v>
      </c>
      <c r="Y623" s="16">
        <f t="shared" si="9"/>
        <v>2015</v>
      </c>
    </row>
    <row r="624" spans="21:25" ht="16" x14ac:dyDescent="0.2">
      <c r="U624" s="12">
        <v>4174</v>
      </c>
      <c r="V624" s="13" t="s">
        <v>1176</v>
      </c>
      <c r="W624" s="16" t="str">
        <f>TEXT(VLOOKUP(U624, News!A:C, 3, FALSE), "M/D/YYYY")</f>
        <v>3/15/2019</v>
      </c>
      <c r="X624" s="18">
        <f>DATE(YEAR(W624),MONTH(Metrics!$B$5), DAY(Metrics!$B$5))</f>
        <v>43709</v>
      </c>
      <c r="Y624" s="16">
        <f t="shared" si="9"/>
        <v>2019</v>
      </c>
    </row>
    <row r="625" spans="21:25" ht="16" x14ac:dyDescent="0.2">
      <c r="U625" s="12">
        <v>4177</v>
      </c>
      <c r="V625" s="13" t="s">
        <v>1176</v>
      </c>
      <c r="W625" s="16" t="str">
        <f>TEXT(VLOOKUP(U625, News!A:C, 3, FALSE), "M/D/YYYY")</f>
        <v>4/1/2019</v>
      </c>
      <c r="X625" s="18">
        <f>DATE(YEAR(W625),MONTH(Metrics!$B$5), DAY(Metrics!$B$5))</f>
        <v>43709</v>
      </c>
      <c r="Y625" s="16">
        <f t="shared" si="9"/>
        <v>2019</v>
      </c>
    </row>
    <row r="626" spans="21:25" ht="16" x14ac:dyDescent="0.2">
      <c r="U626" s="12">
        <v>4209</v>
      </c>
      <c r="V626" s="13" t="s">
        <v>1176</v>
      </c>
      <c r="W626" s="16" t="str">
        <f>TEXT(VLOOKUP(U626, News!A:C, 3, FALSE), "M/D/YYYY")</f>
        <v>5/9/2019</v>
      </c>
      <c r="X626" s="18">
        <f>DATE(YEAR(W626),MONTH(Metrics!$B$5), DAY(Metrics!$B$5))</f>
        <v>43709</v>
      </c>
      <c r="Y626" s="16">
        <f t="shared" si="9"/>
        <v>2019</v>
      </c>
    </row>
    <row r="627" spans="21:25" ht="16" x14ac:dyDescent="0.2">
      <c r="U627" s="12">
        <v>4244</v>
      </c>
      <c r="V627" s="13" t="s">
        <v>1176</v>
      </c>
      <c r="W627" s="16" t="str">
        <f>TEXT(VLOOKUP(U627, News!A:C, 3, FALSE), "M/D/YYYY")</f>
        <v>5/13/2019</v>
      </c>
      <c r="X627" s="18">
        <f>DATE(YEAR(W627),MONTH(Metrics!$B$5), DAY(Metrics!$B$5))</f>
        <v>43709</v>
      </c>
      <c r="Y627" s="16">
        <f t="shared" si="9"/>
        <v>2019</v>
      </c>
    </row>
    <row r="628" spans="21:25" ht="16" x14ac:dyDescent="0.2">
      <c r="U628" s="12">
        <v>4247</v>
      </c>
      <c r="V628" s="13" t="s">
        <v>1176</v>
      </c>
      <c r="W628" s="16" t="str">
        <f>TEXT(VLOOKUP(U628, News!A:C, 3, FALSE), "M/D/YYYY")</f>
        <v>5/29/2019</v>
      </c>
      <c r="X628" s="18">
        <f>DATE(YEAR(W628),MONTH(Metrics!$B$5), DAY(Metrics!$B$5))</f>
        <v>43709</v>
      </c>
      <c r="Y628" s="16">
        <f t="shared" si="9"/>
        <v>2019</v>
      </c>
    </row>
    <row r="629" spans="21:25" ht="16" x14ac:dyDescent="0.2">
      <c r="U629" s="12">
        <v>4472</v>
      </c>
      <c r="V629" s="13" t="s">
        <v>1176</v>
      </c>
      <c r="W629" s="16" t="str">
        <f>TEXT(VLOOKUP(U629, News!A:C, 3, FALSE), "M/D/YYYY")</f>
        <v>4/30/2014</v>
      </c>
      <c r="X629" s="18">
        <f>DATE(YEAR(W629),MONTH(Metrics!$B$5), DAY(Metrics!$B$5))</f>
        <v>41883</v>
      </c>
      <c r="Y629" s="16">
        <f t="shared" si="9"/>
        <v>2014</v>
      </c>
    </row>
    <row r="630" spans="21:25" ht="16" x14ac:dyDescent="0.2">
      <c r="U630" s="12">
        <v>4765</v>
      </c>
      <c r="V630" s="13" t="s">
        <v>1176</v>
      </c>
      <c r="W630" s="16" t="str">
        <f>TEXT(VLOOKUP(U630, News!A:C, 3, FALSE), "M/D/YYYY")</f>
        <v>12/10/2019</v>
      </c>
      <c r="X630" s="18">
        <f>DATE(YEAR(W630),MONTH(Metrics!$B$5), DAY(Metrics!$B$5))</f>
        <v>43709</v>
      </c>
      <c r="Y630" s="16">
        <f t="shared" si="9"/>
        <v>2020</v>
      </c>
    </row>
    <row r="631" spans="21:25" ht="16" x14ac:dyDescent="0.2">
      <c r="U631" s="12">
        <v>6028</v>
      </c>
      <c r="V631" s="13" t="s">
        <v>1176</v>
      </c>
      <c r="W631" s="16" t="str">
        <f>TEXT(VLOOKUP(U631, News!A:C, 3, FALSE), "M/D/YYYY")</f>
        <v>5/3/2021</v>
      </c>
      <c r="X631" s="18">
        <f>DATE(YEAR(W631),MONTH(Metrics!$B$5), DAY(Metrics!$B$5))</f>
        <v>44440</v>
      </c>
      <c r="Y631" s="16">
        <f t="shared" si="9"/>
        <v>2021</v>
      </c>
    </row>
    <row r="632" spans="21:25" ht="16" x14ac:dyDescent="0.2">
      <c r="U632" s="12">
        <v>7765</v>
      </c>
      <c r="V632" s="13" t="s">
        <v>1176</v>
      </c>
      <c r="W632" s="16" t="str">
        <f>TEXT(VLOOKUP(U632, News!A:C, 3, FALSE), "M/D/YYYY")</f>
        <v>12/16/2022</v>
      </c>
      <c r="X632" s="18">
        <f>DATE(YEAR(W632),MONTH(Metrics!$B$5), DAY(Metrics!$B$5))</f>
        <v>44805</v>
      </c>
      <c r="Y632" s="16">
        <f t="shared" si="9"/>
        <v>2023</v>
      </c>
    </row>
    <row r="633" spans="21:25" ht="16" x14ac:dyDescent="0.2">
      <c r="U633" s="12">
        <v>8153</v>
      </c>
      <c r="V633" s="13" t="s">
        <v>1176</v>
      </c>
      <c r="W633" s="16" t="str">
        <f>TEXT(VLOOKUP(U633, News!A:C, 3, FALSE), "M/D/YYYY")</f>
        <v>4/4/2023</v>
      </c>
      <c r="X633" s="18">
        <f>DATE(YEAR(W633),MONTH(Metrics!$B$5), DAY(Metrics!$B$5))</f>
        <v>45170</v>
      </c>
      <c r="Y633" s="16">
        <f t="shared" si="9"/>
        <v>2023</v>
      </c>
    </row>
    <row r="634" spans="21:25" ht="16" x14ac:dyDescent="0.2">
      <c r="U634" s="12">
        <v>8085</v>
      </c>
      <c r="V634" s="13" t="s">
        <v>1176</v>
      </c>
      <c r="W634" s="16" t="str">
        <f>TEXT(VLOOKUP(U634, News!A:C, 3, FALSE), "M/D/YYYY")</f>
        <v>3/28/2023</v>
      </c>
      <c r="X634" s="18">
        <f>DATE(YEAR(W634),MONTH(Metrics!$B$5), DAY(Metrics!$B$5))</f>
        <v>45170</v>
      </c>
      <c r="Y634" s="16">
        <f t="shared" si="9"/>
        <v>2023</v>
      </c>
    </row>
    <row r="635" spans="21:25" ht="16" x14ac:dyDescent="0.2">
      <c r="U635" s="12">
        <v>774</v>
      </c>
      <c r="V635" s="13" t="s">
        <v>1176</v>
      </c>
      <c r="W635" s="16" t="str">
        <f>TEXT(VLOOKUP(U635, News!A:C, 3, FALSE), "M/D/YYYY")</f>
        <v>5/18/2016</v>
      </c>
      <c r="X635" s="18">
        <f>DATE(YEAR(W635),MONTH(Metrics!$B$5), DAY(Metrics!$B$5))</f>
        <v>42614</v>
      </c>
      <c r="Y635" s="16">
        <f t="shared" si="9"/>
        <v>2016</v>
      </c>
    </row>
    <row r="636" spans="21:25" ht="16" x14ac:dyDescent="0.2">
      <c r="U636" s="12">
        <v>776</v>
      </c>
      <c r="V636" s="13" t="s">
        <v>1176</v>
      </c>
      <c r="W636" s="16" t="str">
        <f>TEXT(VLOOKUP(U636, News!A:C, 3, FALSE), "M/D/YYYY")</f>
        <v>5/23/2016</v>
      </c>
      <c r="X636" s="18">
        <f>DATE(YEAR(W636),MONTH(Metrics!$B$5), DAY(Metrics!$B$5))</f>
        <v>42614</v>
      </c>
      <c r="Y636" s="16">
        <f t="shared" si="9"/>
        <v>2016</v>
      </c>
    </row>
    <row r="637" spans="21:25" ht="16" x14ac:dyDescent="0.2">
      <c r="U637" s="12">
        <v>1306</v>
      </c>
      <c r="V637" s="13" t="s">
        <v>1176</v>
      </c>
      <c r="W637" s="16" t="str">
        <f>TEXT(VLOOKUP(U637, News!A:C, 3, FALSE), "M/D/YYYY")</f>
        <v>6/16/2018</v>
      </c>
      <c r="X637" s="18">
        <f>DATE(YEAR(W637),MONTH(Metrics!$B$5), DAY(Metrics!$B$5))</f>
        <v>43344</v>
      </c>
      <c r="Y637" s="16">
        <f t="shared" si="9"/>
        <v>2018</v>
      </c>
    </row>
    <row r="638" spans="21:25" ht="16" x14ac:dyDescent="0.2">
      <c r="U638" s="12">
        <v>1415</v>
      </c>
      <c r="V638" s="13" t="s">
        <v>1176</v>
      </c>
      <c r="W638" s="16" t="str">
        <f>TEXT(VLOOKUP(U638, News!A:C, 3, FALSE), "M/D/YYYY")</f>
        <v>11/18/2017</v>
      </c>
      <c r="X638" s="18">
        <f>DATE(YEAR(W638),MONTH(Metrics!$B$5), DAY(Metrics!$B$5))</f>
        <v>42979</v>
      </c>
      <c r="Y638" s="16">
        <f t="shared" si="9"/>
        <v>2018</v>
      </c>
    </row>
    <row r="639" spans="21:25" ht="16" x14ac:dyDescent="0.2">
      <c r="U639" s="12">
        <v>1930</v>
      </c>
      <c r="V639" s="13" t="s">
        <v>1176</v>
      </c>
      <c r="W639" s="16" t="str">
        <f>TEXT(VLOOKUP(U639, News!A:C, 3, FALSE), "M/D/YYYY")</f>
        <v>10/25/2018</v>
      </c>
      <c r="X639" s="18">
        <f>DATE(YEAR(W639),MONTH(Metrics!$B$5), DAY(Metrics!$B$5))</f>
        <v>43344</v>
      </c>
      <c r="Y639" s="16">
        <f t="shared" si="9"/>
        <v>2019</v>
      </c>
    </row>
    <row r="640" spans="21:25" ht="16" x14ac:dyDescent="0.2">
      <c r="U640" s="12">
        <v>2213</v>
      </c>
      <c r="V640" s="13" t="s">
        <v>1176</v>
      </c>
      <c r="W640" s="16" t="str">
        <f>TEXT(VLOOKUP(U640, News!A:C, 3, FALSE), "M/D/YYYY")</f>
        <v>5/23/2017</v>
      </c>
      <c r="X640" s="18">
        <f>DATE(YEAR(W640),MONTH(Metrics!$B$5), DAY(Metrics!$B$5))</f>
        <v>42979</v>
      </c>
      <c r="Y640" s="16">
        <f t="shared" si="9"/>
        <v>2017</v>
      </c>
    </row>
    <row r="641" spans="21:25" ht="16" x14ac:dyDescent="0.2">
      <c r="U641" s="12">
        <v>2311</v>
      </c>
      <c r="V641" s="13" t="s">
        <v>1176</v>
      </c>
      <c r="W641" s="16" t="str">
        <f>TEXT(VLOOKUP(U641, News!A:C, 3, FALSE), "M/D/YYYY")</f>
        <v>5/16/2017</v>
      </c>
      <c r="X641" s="18">
        <f>DATE(YEAR(W641),MONTH(Metrics!$B$5), DAY(Metrics!$B$5))</f>
        <v>42979</v>
      </c>
      <c r="Y641" s="16">
        <f t="shared" si="9"/>
        <v>2017</v>
      </c>
    </row>
    <row r="642" spans="21:25" ht="16" x14ac:dyDescent="0.2">
      <c r="U642" s="12">
        <v>3400</v>
      </c>
      <c r="V642" s="13" t="s">
        <v>1176</v>
      </c>
      <c r="W642" s="16" t="str">
        <f>TEXT(VLOOKUP(U642, News!A:C, 3, FALSE), "M/D/YYYY")</f>
        <v>5/25/2016</v>
      </c>
      <c r="X642" s="18">
        <f>DATE(YEAR(W642),MONTH(Metrics!$B$5), DAY(Metrics!$B$5))</f>
        <v>42614</v>
      </c>
      <c r="Y642" s="16">
        <f t="shared" si="9"/>
        <v>2016</v>
      </c>
    </row>
    <row r="643" spans="21:25" ht="16" x14ac:dyDescent="0.2">
      <c r="U643" s="12">
        <v>8173</v>
      </c>
      <c r="V643" s="13" t="s">
        <v>1176</v>
      </c>
      <c r="W643" s="16" t="str">
        <f>TEXT(VLOOKUP(U643, News!A:C, 3, FALSE), "M/D/YYYY")</f>
        <v>4/17/2023</v>
      </c>
      <c r="X643" s="18">
        <f>DATE(YEAR(W643),MONTH(Metrics!$B$5), DAY(Metrics!$B$5))</f>
        <v>45170</v>
      </c>
      <c r="Y643" s="16">
        <f t="shared" ref="Y643:Y706" si="10">IF(MONTH(W643) &gt;= MONTH(X643), YEAR(W643)+1, YEAR(W643))</f>
        <v>2023</v>
      </c>
    </row>
    <row r="644" spans="21:25" ht="16" x14ac:dyDescent="0.2">
      <c r="U644" s="12">
        <v>3941</v>
      </c>
      <c r="V644" s="13" t="s">
        <v>1176</v>
      </c>
      <c r="W644" s="16" t="str">
        <f>TEXT(VLOOKUP(U644, News!A:C, 3, FALSE), "M/D/YYYY")</f>
        <v>4/25/2015</v>
      </c>
      <c r="X644" s="18">
        <f>DATE(YEAR(W644),MONTH(Metrics!$B$5), DAY(Metrics!$B$5))</f>
        <v>42248</v>
      </c>
      <c r="Y644" s="16">
        <f t="shared" si="10"/>
        <v>2015</v>
      </c>
    </row>
    <row r="645" spans="21:25" ht="16" x14ac:dyDescent="0.2">
      <c r="U645" s="12">
        <v>4052</v>
      </c>
      <c r="V645" s="13" t="s">
        <v>1176</v>
      </c>
      <c r="W645" s="16" t="str">
        <f>TEXT(VLOOKUP(U645, News!A:C, 3, FALSE), "M/D/YYYY")</f>
        <v>10/31/2014</v>
      </c>
      <c r="X645" s="18">
        <f>DATE(YEAR(W645),MONTH(Metrics!$B$5), DAY(Metrics!$B$5))</f>
        <v>41883</v>
      </c>
      <c r="Y645" s="16">
        <f t="shared" si="10"/>
        <v>2015</v>
      </c>
    </row>
    <row r="646" spans="21:25" ht="16" x14ac:dyDescent="0.2">
      <c r="U646" s="12">
        <v>4883</v>
      </c>
      <c r="V646" s="13" t="s">
        <v>1176</v>
      </c>
      <c r="W646" s="16" t="str">
        <f>TEXT(VLOOKUP(U646, News!A:C, 3, FALSE), "M/D/YYYY")</f>
        <v>4/9/2020</v>
      </c>
      <c r="X646" s="18">
        <f>DATE(YEAR(W646),MONTH(Metrics!$B$5), DAY(Metrics!$B$5))</f>
        <v>44075</v>
      </c>
      <c r="Y646" s="16">
        <f t="shared" si="10"/>
        <v>2020</v>
      </c>
    </row>
    <row r="647" spans="21:25" ht="16" x14ac:dyDescent="0.2">
      <c r="U647" s="12">
        <v>2999</v>
      </c>
      <c r="V647" s="13" t="s">
        <v>1176</v>
      </c>
      <c r="W647" s="16" t="str">
        <f>TEXT(VLOOKUP(U647, News!A:C, 3, FALSE), "M/D/YYYY")</f>
        <v>11/28/2016</v>
      </c>
      <c r="X647" s="18">
        <f>DATE(YEAR(W647),MONTH(Metrics!$B$5), DAY(Metrics!$B$5))</f>
        <v>42614</v>
      </c>
      <c r="Y647" s="16">
        <f t="shared" si="10"/>
        <v>2017</v>
      </c>
    </row>
    <row r="648" spans="21:25" ht="16" x14ac:dyDescent="0.2">
      <c r="U648" s="12">
        <v>3634</v>
      </c>
      <c r="V648" s="13" t="s">
        <v>1176</v>
      </c>
      <c r="W648" s="16" t="str">
        <f>TEXT(VLOOKUP(U648, News!A:C, 3, FALSE), "M/D/YYYY")</f>
        <v>2/20/2019</v>
      </c>
      <c r="X648" s="18">
        <f>DATE(YEAR(W648),MONTH(Metrics!$B$5), DAY(Metrics!$B$5))</f>
        <v>43709</v>
      </c>
      <c r="Y648" s="16">
        <f t="shared" si="10"/>
        <v>2019</v>
      </c>
    </row>
    <row r="649" spans="21:25" ht="16" x14ac:dyDescent="0.2">
      <c r="U649" s="12">
        <v>5732</v>
      </c>
      <c r="V649" s="13" t="s">
        <v>1176</v>
      </c>
      <c r="W649" s="16" t="str">
        <f>TEXT(VLOOKUP(U649, News!A:C, 3, FALSE), "M/D/YYYY")</f>
        <v>12/21/2020</v>
      </c>
      <c r="X649" s="18">
        <f>DATE(YEAR(W649),MONTH(Metrics!$B$5), DAY(Metrics!$B$5))</f>
        <v>44075</v>
      </c>
      <c r="Y649" s="16">
        <f t="shared" si="10"/>
        <v>2021</v>
      </c>
    </row>
    <row r="650" spans="21:25" ht="16" x14ac:dyDescent="0.2">
      <c r="U650" s="12">
        <v>7449</v>
      </c>
      <c r="V650" s="13" t="s">
        <v>1176</v>
      </c>
      <c r="W650" s="16" t="str">
        <f>TEXT(VLOOKUP(U650, News!A:C, 3, FALSE), "M/D/YYYY")</f>
        <v>8/29/2022</v>
      </c>
      <c r="X650" s="18">
        <f>DATE(YEAR(W650),MONTH(Metrics!$B$5), DAY(Metrics!$B$5))</f>
        <v>44805</v>
      </c>
      <c r="Y650" s="16">
        <f t="shared" si="10"/>
        <v>2022</v>
      </c>
    </row>
    <row r="651" spans="21:25" ht="16" x14ac:dyDescent="0.2">
      <c r="U651" s="12">
        <v>1310</v>
      </c>
      <c r="V651" s="13" t="s">
        <v>1176</v>
      </c>
      <c r="W651" s="16" t="str">
        <f>TEXT(VLOOKUP(U651, News!A:C, 3, FALSE), "M/D/YYYY")</f>
        <v>6/4/2018</v>
      </c>
      <c r="X651" s="18">
        <f>DATE(YEAR(W651),MONTH(Metrics!$B$5), DAY(Metrics!$B$5))</f>
        <v>43344</v>
      </c>
      <c r="Y651" s="16">
        <f t="shared" si="10"/>
        <v>2018</v>
      </c>
    </row>
    <row r="652" spans="21:25" ht="16" x14ac:dyDescent="0.2">
      <c r="U652" s="12">
        <v>2203</v>
      </c>
      <c r="V652" s="13" t="s">
        <v>1176</v>
      </c>
      <c r="W652" s="16" t="str">
        <f>TEXT(VLOOKUP(U652, News!A:C, 3, FALSE), "M/D/YYYY")</f>
        <v>6/3/2017</v>
      </c>
      <c r="X652" s="18">
        <f>DATE(YEAR(W652),MONTH(Metrics!$B$5), DAY(Metrics!$B$5))</f>
        <v>42979</v>
      </c>
      <c r="Y652" s="16">
        <f t="shared" si="10"/>
        <v>2017</v>
      </c>
    </row>
    <row r="653" spans="21:25" ht="16" x14ac:dyDescent="0.2">
      <c r="U653" s="12">
        <v>2306</v>
      </c>
      <c r="V653" s="13" t="s">
        <v>1176</v>
      </c>
      <c r="W653" s="16" t="str">
        <f>TEXT(VLOOKUP(U653, News!A:C, 3, FALSE), "M/D/YYYY")</f>
        <v>5/18/2017</v>
      </c>
      <c r="X653" s="18">
        <f>DATE(YEAR(W653),MONTH(Metrics!$B$5), DAY(Metrics!$B$5))</f>
        <v>42979</v>
      </c>
      <c r="Y653" s="16">
        <f t="shared" si="10"/>
        <v>2017</v>
      </c>
    </row>
    <row r="654" spans="21:25" ht="16" x14ac:dyDescent="0.2">
      <c r="U654" s="12">
        <v>2408</v>
      </c>
      <c r="V654" s="13" t="s">
        <v>1176</v>
      </c>
      <c r="W654" s="16" t="str">
        <f>TEXT(VLOOKUP(U654, News!A:C, 3, FALSE), "M/D/YYYY")</f>
        <v>11/12/2018</v>
      </c>
      <c r="X654" s="18">
        <f>DATE(YEAR(W654),MONTH(Metrics!$B$5), DAY(Metrics!$B$5))</f>
        <v>43344</v>
      </c>
      <c r="Y654" s="16">
        <f t="shared" si="10"/>
        <v>2019</v>
      </c>
    </row>
    <row r="655" spans="21:25" ht="16" x14ac:dyDescent="0.2">
      <c r="U655" s="12">
        <v>3534</v>
      </c>
      <c r="V655" s="13" t="s">
        <v>1176</v>
      </c>
      <c r="W655" s="16" t="str">
        <f>TEXT(VLOOKUP(U655, News!A:C, 3, FALSE), "M/D/YYYY")</f>
        <v>4/28/2016</v>
      </c>
      <c r="X655" s="18">
        <f>DATE(YEAR(W655),MONTH(Metrics!$B$5), DAY(Metrics!$B$5))</f>
        <v>42614</v>
      </c>
      <c r="Y655" s="16">
        <f t="shared" si="10"/>
        <v>2016</v>
      </c>
    </row>
    <row r="656" spans="21:25" ht="16" x14ac:dyDescent="0.2">
      <c r="U656" s="12">
        <v>4359</v>
      </c>
      <c r="V656" s="13" t="s">
        <v>1176</v>
      </c>
      <c r="W656" s="16" t="str">
        <f>TEXT(VLOOKUP(U656, News!A:C, 3, FALSE), "M/D/YYYY")</f>
        <v>8/23/2019</v>
      </c>
      <c r="X656" s="18">
        <f>DATE(YEAR(W656),MONTH(Metrics!$B$5), DAY(Metrics!$B$5))</f>
        <v>43709</v>
      </c>
      <c r="Y656" s="16">
        <f t="shared" si="10"/>
        <v>2019</v>
      </c>
    </row>
    <row r="657" spans="21:25" ht="16" x14ac:dyDescent="0.2">
      <c r="U657" s="12">
        <v>4460</v>
      </c>
      <c r="V657" s="13" t="s">
        <v>1176</v>
      </c>
      <c r="W657" s="16" t="str">
        <f>TEXT(VLOOKUP(U657, News!A:C, 3, FALSE), "M/D/YYYY")</f>
        <v>5/8/2014</v>
      </c>
      <c r="X657" s="18">
        <f>DATE(YEAR(W657),MONTH(Metrics!$B$5), DAY(Metrics!$B$5))</f>
        <v>41883</v>
      </c>
      <c r="Y657" s="16">
        <f t="shared" si="10"/>
        <v>2014</v>
      </c>
    </row>
    <row r="658" spans="21:25" ht="16" x14ac:dyDescent="0.2">
      <c r="U658" s="12">
        <v>8226</v>
      </c>
      <c r="V658" s="13" t="s">
        <v>1176</v>
      </c>
      <c r="W658" s="16" t="str">
        <f>TEXT(VLOOKUP(U658, News!A:C, 3, FALSE), "M/D/YYYY")</f>
        <v>4/20/2023</v>
      </c>
      <c r="X658" s="18">
        <f>DATE(YEAR(W658),MONTH(Metrics!$B$5), DAY(Metrics!$B$5))</f>
        <v>45170</v>
      </c>
      <c r="Y658" s="16">
        <f t="shared" si="10"/>
        <v>2023</v>
      </c>
    </row>
    <row r="659" spans="21:25" ht="16" x14ac:dyDescent="0.2">
      <c r="U659" s="12">
        <v>3978</v>
      </c>
      <c r="V659" s="13" t="s">
        <v>1176</v>
      </c>
      <c r="W659" s="16" t="str">
        <f>TEXT(VLOOKUP(U659, News!A:C, 3, FALSE), "M/D/YYYY")</f>
        <v>2/28/2015</v>
      </c>
      <c r="X659" s="18">
        <f>DATE(YEAR(W659),MONTH(Metrics!$B$5), DAY(Metrics!$B$5))</f>
        <v>42248</v>
      </c>
      <c r="Y659" s="16">
        <f t="shared" si="10"/>
        <v>2015</v>
      </c>
    </row>
    <row r="660" spans="21:25" ht="16" x14ac:dyDescent="0.2">
      <c r="U660" s="12">
        <v>2551</v>
      </c>
      <c r="V660" s="13" t="s">
        <v>1176</v>
      </c>
      <c r="W660" s="16" t="str">
        <f>TEXT(VLOOKUP(U660, News!A:C, 3, FALSE), "M/D/YYYY")</f>
        <v>1/1/2017</v>
      </c>
      <c r="X660" s="18">
        <f>DATE(YEAR(W660),MONTH(Metrics!$B$5), DAY(Metrics!$B$5))</f>
        <v>42979</v>
      </c>
      <c r="Y660" s="16">
        <f t="shared" si="10"/>
        <v>2017</v>
      </c>
    </row>
    <row r="661" spans="21:25" ht="16" x14ac:dyDescent="0.2">
      <c r="U661" s="12">
        <v>3947</v>
      </c>
      <c r="V661" s="13" t="s">
        <v>1176</v>
      </c>
      <c r="W661" s="16" t="str">
        <f>TEXT(VLOOKUP(U661, News!A:C, 3, FALSE), "M/D/YYYY")</f>
        <v>4/10/2015</v>
      </c>
      <c r="X661" s="18">
        <f>DATE(YEAR(W661),MONTH(Metrics!$B$5), DAY(Metrics!$B$5))</f>
        <v>42248</v>
      </c>
      <c r="Y661" s="16">
        <f t="shared" si="10"/>
        <v>2015</v>
      </c>
    </row>
    <row r="662" spans="21:25" ht="16" x14ac:dyDescent="0.2">
      <c r="U662" s="12">
        <v>4242</v>
      </c>
      <c r="V662" s="13" t="s">
        <v>1176</v>
      </c>
      <c r="W662" s="16" t="str">
        <f>TEXT(VLOOKUP(U662, News!A:C, 3, FALSE), "M/D/YYYY")</f>
        <v>6/21/2019</v>
      </c>
      <c r="X662" s="18">
        <f>DATE(YEAR(W662),MONTH(Metrics!$B$5), DAY(Metrics!$B$5))</f>
        <v>43709</v>
      </c>
      <c r="Y662" s="16">
        <f t="shared" si="10"/>
        <v>2019</v>
      </c>
    </row>
    <row r="663" spans="21:25" ht="16" x14ac:dyDescent="0.2">
      <c r="U663" s="12">
        <v>4912</v>
      </c>
      <c r="V663" s="13" t="s">
        <v>1176</v>
      </c>
      <c r="W663" s="16" t="str">
        <f>TEXT(VLOOKUP(U663, News!A:C, 3, FALSE), "M/D/YYYY")</f>
        <v>3/24/2020</v>
      </c>
      <c r="X663" s="18">
        <f>DATE(YEAR(W663),MONTH(Metrics!$B$5), DAY(Metrics!$B$5))</f>
        <v>44075</v>
      </c>
      <c r="Y663" s="16">
        <f t="shared" si="10"/>
        <v>2020</v>
      </c>
    </row>
    <row r="664" spans="21:25" ht="16" x14ac:dyDescent="0.2">
      <c r="U664" s="12">
        <v>3311</v>
      </c>
      <c r="V664" s="13" t="s">
        <v>1176</v>
      </c>
      <c r="W664" s="16" t="str">
        <f>TEXT(VLOOKUP(U664, News!A:C, 3, FALSE), "M/D/YYYY")</f>
        <v>8/27/2016</v>
      </c>
      <c r="X664" s="18">
        <f>DATE(YEAR(W664),MONTH(Metrics!$B$5), DAY(Metrics!$B$5))</f>
        <v>42614</v>
      </c>
      <c r="Y664" s="16">
        <f t="shared" si="10"/>
        <v>2016</v>
      </c>
    </row>
    <row r="665" spans="21:25" ht="16" x14ac:dyDescent="0.2">
      <c r="U665" s="12">
        <v>3838</v>
      </c>
      <c r="V665" s="13" t="s">
        <v>1176</v>
      </c>
      <c r="W665" s="16" t="str">
        <f>TEXT(VLOOKUP(U665, News!A:C, 3, FALSE), "M/D/YYYY")</f>
        <v>3/25/2019</v>
      </c>
      <c r="X665" s="18">
        <f>DATE(YEAR(W665),MONTH(Metrics!$B$5), DAY(Metrics!$B$5))</f>
        <v>43709</v>
      </c>
      <c r="Y665" s="16">
        <f t="shared" si="10"/>
        <v>2019</v>
      </c>
    </row>
    <row r="666" spans="21:25" ht="16" x14ac:dyDescent="0.2">
      <c r="U666" s="12">
        <v>7881</v>
      </c>
      <c r="V666" s="13" t="s">
        <v>1176</v>
      </c>
      <c r="W666" s="16" t="str">
        <f>TEXT(VLOOKUP(U666, News!A:C, 3, FALSE), "M/D/YYYY")</f>
        <v>1/10/2023</v>
      </c>
      <c r="X666" s="18">
        <f>DATE(YEAR(W666),MONTH(Metrics!$B$5), DAY(Metrics!$B$5))</f>
        <v>45170</v>
      </c>
      <c r="Y666" s="16">
        <f t="shared" si="10"/>
        <v>2023</v>
      </c>
    </row>
    <row r="667" spans="21:25" ht="16" x14ac:dyDescent="0.2">
      <c r="U667" s="12">
        <v>3278</v>
      </c>
      <c r="V667" s="13" t="s">
        <v>1176</v>
      </c>
      <c r="W667" s="16" t="str">
        <f>TEXT(VLOOKUP(U667, News!A:C, 3, FALSE), "M/D/YYYY")</f>
        <v>8/31/2016</v>
      </c>
      <c r="X667" s="18">
        <f>DATE(YEAR(W667),MONTH(Metrics!$B$5), DAY(Metrics!$B$5))</f>
        <v>42614</v>
      </c>
      <c r="Y667" s="16">
        <f t="shared" si="10"/>
        <v>2016</v>
      </c>
    </row>
    <row r="668" spans="21:25" ht="16" x14ac:dyDescent="0.2">
      <c r="U668" s="12">
        <v>3059</v>
      </c>
      <c r="V668" s="13" t="s">
        <v>1176</v>
      </c>
      <c r="W668" s="16" t="str">
        <f>TEXT(VLOOKUP(U668, News!A:C, 3, FALSE), "M/D/YYYY")</f>
        <v>10/14/2016</v>
      </c>
      <c r="X668" s="18">
        <f>DATE(YEAR(W668),MONTH(Metrics!$B$5), DAY(Metrics!$B$5))</f>
        <v>42614</v>
      </c>
      <c r="Y668" s="16">
        <f t="shared" si="10"/>
        <v>2017</v>
      </c>
    </row>
    <row r="669" spans="21:25" ht="16" x14ac:dyDescent="0.2">
      <c r="U669" s="12">
        <v>2437</v>
      </c>
      <c r="V669" s="13" t="s">
        <v>1176</v>
      </c>
      <c r="W669" s="16" t="str">
        <f>TEXT(VLOOKUP(U669, News!A:C, 3, FALSE), "M/D/YYYY")</f>
        <v>3/15/2017</v>
      </c>
      <c r="X669" s="18">
        <f>DATE(YEAR(W669),MONTH(Metrics!$B$5), DAY(Metrics!$B$5))</f>
        <v>42979</v>
      </c>
      <c r="Y669" s="16">
        <f t="shared" si="10"/>
        <v>2017</v>
      </c>
    </row>
    <row r="670" spans="21:25" ht="16" x14ac:dyDescent="0.2">
      <c r="U670" s="12">
        <v>2338</v>
      </c>
      <c r="V670" s="13" t="s">
        <v>1176</v>
      </c>
      <c r="W670" s="16" t="str">
        <f>TEXT(VLOOKUP(U670, News!A:C, 3, FALSE), "M/D/YYYY")</f>
        <v>4/30/2017</v>
      </c>
      <c r="X670" s="18">
        <f>DATE(YEAR(W670),MONTH(Metrics!$B$5), DAY(Metrics!$B$5))</f>
        <v>42979</v>
      </c>
      <c r="Y670" s="16">
        <f t="shared" si="10"/>
        <v>2017</v>
      </c>
    </row>
    <row r="671" spans="21:25" ht="16" x14ac:dyDescent="0.2">
      <c r="U671" s="12">
        <v>1391</v>
      </c>
      <c r="V671" s="13" t="s">
        <v>1176</v>
      </c>
      <c r="W671" s="16" t="str">
        <f>TEXT(VLOOKUP(U671, News!A:C, 3, FALSE), "M/D/YYYY")</f>
        <v>4/10/2018</v>
      </c>
      <c r="X671" s="18">
        <f>DATE(YEAR(W671),MONTH(Metrics!$B$5), DAY(Metrics!$B$5))</f>
        <v>43344</v>
      </c>
      <c r="Y671" s="16">
        <f t="shared" si="10"/>
        <v>2018</v>
      </c>
    </row>
    <row r="672" spans="21:25" ht="16" x14ac:dyDescent="0.2">
      <c r="U672" s="12">
        <v>1626</v>
      </c>
      <c r="V672" s="13" t="s">
        <v>1176</v>
      </c>
      <c r="W672" s="16" t="str">
        <f>TEXT(VLOOKUP(U672, News!A:C, 3, FALSE), "M/D/YYYY")</f>
        <v>6/1/2018</v>
      </c>
      <c r="X672" s="18">
        <f>DATE(YEAR(W672),MONTH(Metrics!$B$5), DAY(Metrics!$B$5))</f>
        <v>43344</v>
      </c>
      <c r="Y672" s="16">
        <f t="shared" si="10"/>
        <v>2018</v>
      </c>
    </row>
    <row r="673" spans="21:25" ht="16" x14ac:dyDescent="0.2">
      <c r="U673" s="12">
        <v>3507</v>
      </c>
      <c r="V673" s="13" t="s">
        <v>1176</v>
      </c>
      <c r="W673" s="16" t="str">
        <f>TEXT(VLOOKUP(U673, News!A:C, 3, FALSE), "M/D/YYYY")</f>
        <v>2/7/2019</v>
      </c>
      <c r="X673" s="18">
        <f>DATE(YEAR(W673),MONTH(Metrics!$B$5), DAY(Metrics!$B$5))</f>
        <v>43709</v>
      </c>
      <c r="Y673" s="16">
        <f t="shared" si="10"/>
        <v>2019</v>
      </c>
    </row>
    <row r="674" spans="21:25" ht="16" x14ac:dyDescent="0.2">
      <c r="U674" s="12">
        <v>3823</v>
      </c>
      <c r="V674" s="13" t="s">
        <v>1176</v>
      </c>
      <c r="W674" s="16" t="str">
        <f>TEXT(VLOOKUP(U674, News!A:C, 3, FALSE), "M/D/YYYY")</f>
        <v>3/13/2019</v>
      </c>
      <c r="X674" s="18">
        <f>DATE(YEAR(W674),MONTH(Metrics!$B$5), DAY(Metrics!$B$5))</f>
        <v>43709</v>
      </c>
      <c r="Y674" s="16">
        <f t="shared" si="10"/>
        <v>2019</v>
      </c>
    </row>
    <row r="675" spans="21:25" ht="16" x14ac:dyDescent="0.2">
      <c r="U675" s="12">
        <v>3859</v>
      </c>
      <c r="V675" s="13" t="s">
        <v>1176</v>
      </c>
      <c r="W675" s="16" t="str">
        <f>TEXT(VLOOKUP(U675, News!A:C, 3, FALSE), "M/D/YYYY")</f>
        <v>3/29/2019</v>
      </c>
      <c r="X675" s="18">
        <f>DATE(YEAR(W675),MONTH(Metrics!$B$5), DAY(Metrics!$B$5))</f>
        <v>43709</v>
      </c>
      <c r="Y675" s="16">
        <f t="shared" si="10"/>
        <v>2019</v>
      </c>
    </row>
    <row r="676" spans="21:25" ht="16" x14ac:dyDescent="0.2">
      <c r="U676" s="12">
        <v>4769</v>
      </c>
      <c r="V676" s="13" t="s">
        <v>1176</v>
      </c>
      <c r="W676" s="16" t="str">
        <f>TEXT(VLOOKUP(U676, News!A:C, 3, FALSE), "M/D/YYYY")</f>
        <v>1/22/2020</v>
      </c>
      <c r="X676" s="18">
        <f>DATE(YEAR(W676),MONTH(Metrics!$B$5), DAY(Metrics!$B$5))</f>
        <v>44075</v>
      </c>
      <c r="Y676" s="16">
        <f t="shared" si="10"/>
        <v>2020</v>
      </c>
    </row>
    <row r="677" spans="21:25" ht="16" x14ac:dyDescent="0.2">
      <c r="U677" s="12">
        <v>4493</v>
      </c>
      <c r="V677" s="13" t="s">
        <v>1176</v>
      </c>
      <c r="W677" s="16" t="str">
        <f>TEXT(VLOOKUP(U677, News!A:C, 3, FALSE), "M/D/YYYY")</f>
        <v>10/10/2019</v>
      </c>
      <c r="X677" s="18">
        <f>DATE(YEAR(W677),MONTH(Metrics!$B$5), DAY(Metrics!$B$5))</f>
        <v>43709</v>
      </c>
      <c r="Y677" s="16">
        <f t="shared" si="10"/>
        <v>2020</v>
      </c>
    </row>
    <row r="678" spans="21:25" ht="16" x14ac:dyDescent="0.2">
      <c r="U678" s="12">
        <v>4579</v>
      </c>
      <c r="V678" s="13" t="s">
        <v>1176</v>
      </c>
      <c r="W678" s="16" t="str">
        <f>TEXT(VLOOKUP(U678, News!A:C, 3, FALSE), "M/D/YYYY")</f>
        <v>9/30/2019</v>
      </c>
      <c r="X678" s="18">
        <f>DATE(YEAR(W678),MONTH(Metrics!$B$5), DAY(Metrics!$B$5))</f>
        <v>43709</v>
      </c>
      <c r="Y678" s="16">
        <f t="shared" si="10"/>
        <v>2020</v>
      </c>
    </row>
    <row r="679" spans="21:25" ht="16" x14ac:dyDescent="0.2">
      <c r="U679" s="12">
        <v>7610</v>
      </c>
      <c r="V679" s="13" t="s">
        <v>1176</v>
      </c>
      <c r="W679" s="16" t="str">
        <f>TEXT(VLOOKUP(U679, News!A:C, 3, FALSE), "M/D/YYYY")</f>
        <v>10/12/2022</v>
      </c>
      <c r="X679" s="18">
        <f>DATE(YEAR(W679),MONTH(Metrics!$B$5), DAY(Metrics!$B$5))</f>
        <v>44805</v>
      </c>
      <c r="Y679" s="16">
        <f t="shared" si="10"/>
        <v>2023</v>
      </c>
    </row>
    <row r="680" spans="21:25" ht="16" x14ac:dyDescent="0.2">
      <c r="U680" s="12">
        <v>8223</v>
      </c>
      <c r="V680" s="13" t="s">
        <v>1176</v>
      </c>
      <c r="W680" s="16" t="str">
        <f>TEXT(VLOOKUP(U680, News!A:C, 3, FALSE), "M/D/YYYY")</f>
        <v>4/20/2023</v>
      </c>
      <c r="X680" s="18">
        <f>DATE(YEAR(W680),MONTH(Metrics!$B$5), DAY(Metrics!$B$5))</f>
        <v>45170</v>
      </c>
      <c r="Y680" s="16">
        <f t="shared" si="10"/>
        <v>2023</v>
      </c>
    </row>
    <row r="681" spans="21:25" ht="16" x14ac:dyDescent="0.2">
      <c r="U681" s="12">
        <v>6264</v>
      </c>
      <c r="V681" s="13" t="s">
        <v>1176</v>
      </c>
      <c r="W681" s="16" t="str">
        <f>TEXT(VLOOKUP(U681, News!A:C, 3, FALSE), "M/D/YYYY")</f>
        <v>8/16/2021</v>
      </c>
      <c r="X681" s="18">
        <f>DATE(YEAR(W681),MONTH(Metrics!$B$5), DAY(Metrics!$B$5))</f>
        <v>44440</v>
      </c>
      <c r="Y681" s="16">
        <f t="shared" si="10"/>
        <v>2021</v>
      </c>
    </row>
    <row r="682" spans="21:25" ht="16" x14ac:dyDescent="0.2">
      <c r="U682" s="12">
        <v>8125</v>
      </c>
      <c r="V682" s="13" t="s">
        <v>1176</v>
      </c>
      <c r="W682" s="16" t="str">
        <f>TEXT(VLOOKUP(U682, News!A:C, 3, FALSE), "M/D/YYYY")</f>
        <v>3/28/2023</v>
      </c>
      <c r="X682" s="18">
        <f>DATE(YEAR(W682),MONTH(Metrics!$B$5), DAY(Metrics!$B$5))</f>
        <v>45170</v>
      </c>
      <c r="Y682" s="16">
        <f t="shared" si="10"/>
        <v>2023</v>
      </c>
    </row>
    <row r="683" spans="21:25" ht="16" x14ac:dyDescent="0.2">
      <c r="U683" s="12">
        <v>1935</v>
      </c>
      <c r="V683" s="13" t="s">
        <v>283</v>
      </c>
      <c r="W683" s="16" t="str">
        <f>TEXT(VLOOKUP(U683, News!A:C, 3, FALSE), "M/D/YYYY")</f>
        <v>10/26/2018</v>
      </c>
      <c r="X683" s="18">
        <f>DATE(YEAR(W683),MONTH(Metrics!$B$5), DAY(Metrics!$B$5))</f>
        <v>43344</v>
      </c>
      <c r="Y683" s="16">
        <f t="shared" si="10"/>
        <v>2019</v>
      </c>
    </row>
    <row r="684" spans="21:25" ht="16" x14ac:dyDescent="0.2">
      <c r="U684" s="12">
        <v>3972</v>
      </c>
      <c r="V684" s="13" t="s">
        <v>283</v>
      </c>
      <c r="W684" s="16" t="str">
        <f>TEXT(VLOOKUP(U684, News!A:C, 3, FALSE), "M/D/YYYY")</f>
        <v>3/29/2015</v>
      </c>
      <c r="X684" s="18">
        <f>DATE(YEAR(W684),MONTH(Metrics!$B$5), DAY(Metrics!$B$5))</f>
        <v>42248</v>
      </c>
      <c r="Y684" s="16">
        <f t="shared" si="10"/>
        <v>2015</v>
      </c>
    </row>
    <row r="685" spans="21:25" ht="16" x14ac:dyDescent="0.2">
      <c r="U685" s="12">
        <v>4160</v>
      </c>
      <c r="V685" s="13" t="s">
        <v>283</v>
      </c>
      <c r="W685" s="16" t="str">
        <f>TEXT(VLOOKUP(U685, News!A:C, 3, FALSE), "M/D/YYYY")</f>
        <v>5/29/2014</v>
      </c>
      <c r="X685" s="18">
        <f>DATE(YEAR(W685),MONTH(Metrics!$B$5), DAY(Metrics!$B$5))</f>
        <v>41883</v>
      </c>
      <c r="Y685" s="16">
        <f t="shared" si="10"/>
        <v>2014</v>
      </c>
    </row>
    <row r="686" spans="21:25" ht="16" x14ac:dyDescent="0.2">
      <c r="U686" s="12">
        <v>7706</v>
      </c>
      <c r="V686" s="13" t="s">
        <v>283</v>
      </c>
      <c r="W686" s="16" t="str">
        <f>TEXT(VLOOKUP(U686, News!A:C, 3, FALSE), "M/D/YYYY")</f>
        <v>11/11/2022</v>
      </c>
      <c r="X686" s="18">
        <f>DATE(YEAR(W686),MONTH(Metrics!$B$5), DAY(Metrics!$B$5))</f>
        <v>44805</v>
      </c>
      <c r="Y686" s="16">
        <f t="shared" si="10"/>
        <v>2023</v>
      </c>
    </row>
    <row r="687" spans="21:25" ht="16" x14ac:dyDescent="0.2">
      <c r="U687" s="12">
        <v>1615</v>
      </c>
      <c r="V687" s="13" t="s">
        <v>283</v>
      </c>
      <c r="W687" s="16" t="str">
        <f>TEXT(VLOOKUP(U687, News!A:C, 3, FALSE), "M/D/YYYY")</f>
        <v>8/24/2018</v>
      </c>
      <c r="X687" s="18">
        <f>DATE(YEAR(W687),MONTH(Metrics!$B$5), DAY(Metrics!$B$5))</f>
        <v>43344</v>
      </c>
      <c r="Y687" s="16">
        <f t="shared" si="10"/>
        <v>2018</v>
      </c>
    </row>
    <row r="688" spans="21:25" ht="16" x14ac:dyDescent="0.2">
      <c r="U688" s="12">
        <v>4130</v>
      </c>
      <c r="V688" s="13" t="s">
        <v>283</v>
      </c>
      <c r="W688" s="16" t="str">
        <f>TEXT(VLOOKUP(U688, News!A:C, 3, FALSE), "M/D/YYYY")</f>
        <v>7/10/2014</v>
      </c>
      <c r="X688" s="18">
        <f>DATE(YEAR(W688),MONTH(Metrics!$B$5), DAY(Metrics!$B$5))</f>
        <v>41883</v>
      </c>
      <c r="Y688" s="16">
        <f t="shared" si="10"/>
        <v>2014</v>
      </c>
    </row>
    <row r="689" spans="21:25" ht="16" x14ac:dyDescent="0.2">
      <c r="U689" s="12">
        <v>1317</v>
      </c>
      <c r="V689" s="13" t="s">
        <v>283</v>
      </c>
      <c r="W689" s="16" t="str">
        <f>TEXT(VLOOKUP(U689, News!A:C, 3, FALSE), "M/D/YYYY")</f>
        <v>9/15/2017</v>
      </c>
      <c r="X689" s="18">
        <f>DATE(YEAR(W689),MONTH(Metrics!$B$5), DAY(Metrics!$B$5))</f>
        <v>42979</v>
      </c>
      <c r="Y689" s="16">
        <f t="shared" si="10"/>
        <v>2018</v>
      </c>
    </row>
    <row r="690" spans="21:25" ht="16" x14ac:dyDescent="0.2">
      <c r="U690" s="12">
        <v>1490</v>
      </c>
      <c r="V690" s="13" t="s">
        <v>283</v>
      </c>
      <c r="W690" s="16" t="str">
        <f>TEXT(VLOOKUP(U690, News!A:C, 3, FALSE), "M/D/YYYY")</f>
        <v>2/5/2018</v>
      </c>
      <c r="X690" s="18">
        <f>DATE(YEAR(W690),MONTH(Metrics!$B$5), DAY(Metrics!$B$5))</f>
        <v>43344</v>
      </c>
      <c r="Y690" s="16">
        <f t="shared" si="10"/>
        <v>2018</v>
      </c>
    </row>
    <row r="691" spans="21:25" ht="16" x14ac:dyDescent="0.2">
      <c r="U691" s="12">
        <v>2642</v>
      </c>
      <c r="V691" s="13" t="s">
        <v>283</v>
      </c>
      <c r="W691" s="16" t="str">
        <f>TEXT(VLOOKUP(U691, News!A:C, 3, FALSE), "M/D/YYYY")</f>
        <v>11/20/2018</v>
      </c>
      <c r="X691" s="18">
        <f>DATE(YEAR(W691),MONTH(Metrics!$B$5), DAY(Metrics!$B$5))</f>
        <v>43344</v>
      </c>
      <c r="Y691" s="16">
        <f t="shared" si="10"/>
        <v>2019</v>
      </c>
    </row>
    <row r="692" spans="21:25" ht="16" x14ac:dyDescent="0.2">
      <c r="U692" s="12">
        <v>2747</v>
      </c>
      <c r="V692" s="13" t="s">
        <v>283</v>
      </c>
      <c r="W692" s="16" t="str">
        <f>TEXT(VLOOKUP(U692, News!A:C, 3, FALSE), "M/D/YYYY")</f>
        <v>11/26/2018</v>
      </c>
      <c r="X692" s="18">
        <f>DATE(YEAR(W692),MONTH(Metrics!$B$5), DAY(Metrics!$B$5))</f>
        <v>43344</v>
      </c>
      <c r="Y692" s="16">
        <f t="shared" si="10"/>
        <v>2019</v>
      </c>
    </row>
    <row r="693" spans="21:25" ht="16" x14ac:dyDescent="0.2">
      <c r="U693" s="12">
        <v>4468</v>
      </c>
      <c r="V693" s="13" t="s">
        <v>283</v>
      </c>
      <c r="W693" s="16" t="str">
        <f>TEXT(VLOOKUP(U693, News!A:C, 3, FALSE), "M/D/YYYY")</f>
        <v>5/4/2014</v>
      </c>
      <c r="X693" s="18">
        <f>DATE(YEAR(W693),MONTH(Metrics!$B$5), DAY(Metrics!$B$5))</f>
        <v>41883</v>
      </c>
      <c r="Y693" s="16">
        <f t="shared" si="10"/>
        <v>2014</v>
      </c>
    </row>
    <row r="694" spans="21:25" ht="16" x14ac:dyDescent="0.2">
      <c r="U694" s="12">
        <v>4469</v>
      </c>
      <c r="V694" s="13" t="s">
        <v>283</v>
      </c>
      <c r="W694" s="16" t="str">
        <f>TEXT(VLOOKUP(U694, News!A:C, 3, FALSE), "M/D/YYYY")</f>
        <v>5/2/2014</v>
      </c>
      <c r="X694" s="18">
        <f>DATE(YEAR(W694),MONTH(Metrics!$B$5), DAY(Metrics!$B$5))</f>
        <v>41883</v>
      </c>
      <c r="Y694" s="16">
        <f t="shared" si="10"/>
        <v>2014</v>
      </c>
    </row>
    <row r="695" spans="21:25" ht="16" x14ac:dyDescent="0.2">
      <c r="U695" s="12">
        <v>5906</v>
      </c>
      <c r="V695" s="13" t="s">
        <v>283</v>
      </c>
      <c r="W695" s="16" t="str">
        <f>TEXT(VLOOKUP(U695, News!A:C, 3, FALSE), "M/D/YYYY")</f>
        <v>3/25/2021</v>
      </c>
      <c r="X695" s="18">
        <f>DATE(YEAR(W695),MONTH(Metrics!$B$5), DAY(Metrics!$B$5))</f>
        <v>44440</v>
      </c>
      <c r="Y695" s="16">
        <f t="shared" si="10"/>
        <v>2021</v>
      </c>
    </row>
    <row r="696" spans="21:25" ht="16" x14ac:dyDescent="0.2">
      <c r="U696" s="12">
        <v>7162</v>
      </c>
      <c r="V696" s="13" t="s">
        <v>283</v>
      </c>
      <c r="W696" s="16" t="str">
        <f>TEXT(VLOOKUP(U696, News!A:C, 3, FALSE), "M/D/YYYY")</f>
        <v>6/1/2022</v>
      </c>
      <c r="X696" s="18">
        <f>DATE(YEAR(W696),MONTH(Metrics!$B$5), DAY(Metrics!$B$5))</f>
        <v>44805</v>
      </c>
      <c r="Y696" s="16">
        <f t="shared" si="10"/>
        <v>2022</v>
      </c>
    </row>
    <row r="697" spans="21:25" ht="16" x14ac:dyDescent="0.2">
      <c r="U697" s="12">
        <v>7306</v>
      </c>
      <c r="V697" s="13" t="s">
        <v>283</v>
      </c>
      <c r="W697" s="16" t="str">
        <f>TEXT(VLOOKUP(U697, News!A:C, 3, FALSE), "M/D/YYYY")</f>
        <v>8/11/2022</v>
      </c>
      <c r="X697" s="18">
        <f>DATE(YEAR(W697),MONTH(Metrics!$B$5), DAY(Metrics!$B$5))</f>
        <v>44805</v>
      </c>
      <c r="Y697" s="16">
        <f t="shared" si="10"/>
        <v>2022</v>
      </c>
    </row>
    <row r="698" spans="21:25" ht="16" x14ac:dyDescent="0.2">
      <c r="U698" s="12">
        <v>1381</v>
      </c>
      <c r="V698" s="13" t="s">
        <v>283</v>
      </c>
      <c r="W698" s="16" t="str">
        <f>TEXT(VLOOKUP(U698, News!A:C, 3, FALSE), "M/D/YYYY")</f>
        <v>11/2/2017</v>
      </c>
      <c r="X698" s="18">
        <f>DATE(YEAR(W698),MONTH(Metrics!$B$5), DAY(Metrics!$B$5))</f>
        <v>42979</v>
      </c>
      <c r="Y698" s="16">
        <f t="shared" si="10"/>
        <v>2018</v>
      </c>
    </row>
    <row r="699" spans="21:25" ht="16" x14ac:dyDescent="0.2">
      <c r="U699" s="12">
        <v>3316</v>
      </c>
      <c r="V699" s="13" t="s">
        <v>283</v>
      </c>
      <c r="W699" s="16" t="str">
        <f>TEXT(VLOOKUP(U699, News!A:C, 3, FALSE), "M/D/YYYY")</f>
        <v>7/29/2016</v>
      </c>
      <c r="X699" s="18">
        <f>DATE(YEAR(W699),MONTH(Metrics!$B$5), DAY(Metrics!$B$5))</f>
        <v>42614</v>
      </c>
      <c r="Y699" s="16">
        <f t="shared" si="10"/>
        <v>2016</v>
      </c>
    </row>
    <row r="700" spans="21:25" ht="16" x14ac:dyDescent="0.2">
      <c r="U700" s="12">
        <v>4045</v>
      </c>
      <c r="V700" s="13" t="s">
        <v>283</v>
      </c>
      <c r="W700" s="16" t="str">
        <f>TEXT(VLOOKUP(U700, News!A:C, 3, FALSE), "M/D/YYYY")</f>
        <v>11/6/2014</v>
      </c>
      <c r="X700" s="18">
        <f>DATE(YEAR(W700),MONTH(Metrics!$B$5), DAY(Metrics!$B$5))</f>
        <v>41883</v>
      </c>
      <c r="Y700" s="16">
        <f t="shared" si="10"/>
        <v>2015</v>
      </c>
    </row>
    <row r="701" spans="21:25" ht="16" x14ac:dyDescent="0.2">
      <c r="U701" s="12">
        <v>4048</v>
      </c>
      <c r="V701" s="13" t="s">
        <v>283</v>
      </c>
      <c r="W701" s="16" t="str">
        <f>TEXT(VLOOKUP(U701, News!A:C, 3, FALSE), "M/D/YYYY")</f>
        <v>11/2/2014</v>
      </c>
      <c r="X701" s="18">
        <f>DATE(YEAR(W701),MONTH(Metrics!$B$5), DAY(Metrics!$B$5))</f>
        <v>41883</v>
      </c>
      <c r="Y701" s="16">
        <f t="shared" si="10"/>
        <v>2015</v>
      </c>
    </row>
    <row r="702" spans="21:25" ht="16" x14ac:dyDescent="0.2">
      <c r="U702" s="12">
        <v>2015</v>
      </c>
      <c r="V702" s="13" t="s">
        <v>283</v>
      </c>
      <c r="W702" s="16" t="str">
        <f>TEXT(VLOOKUP(U702, News!A:C, 3, FALSE), "M/D/YYYY")</f>
        <v>8/18/2017</v>
      </c>
      <c r="X702" s="18">
        <f>DATE(YEAR(W702),MONTH(Metrics!$B$5), DAY(Metrics!$B$5))</f>
        <v>42979</v>
      </c>
      <c r="Y702" s="16">
        <f t="shared" si="10"/>
        <v>2017</v>
      </c>
    </row>
    <row r="703" spans="21:25" ht="16" x14ac:dyDescent="0.2">
      <c r="U703" s="12">
        <v>4204</v>
      </c>
      <c r="V703" s="13" t="s">
        <v>283</v>
      </c>
      <c r="W703" s="16" t="str">
        <f>TEXT(VLOOKUP(U703, News!A:C, 3, FALSE), "M/D/YYYY")</f>
        <v>6/3/2014</v>
      </c>
      <c r="X703" s="18">
        <f>DATE(YEAR(W703),MONTH(Metrics!$B$5), DAY(Metrics!$B$5))</f>
        <v>41883</v>
      </c>
      <c r="Y703" s="16">
        <f t="shared" si="10"/>
        <v>2014</v>
      </c>
    </row>
    <row r="704" spans="21:25" ht="16" x14ac:dyDescent="0.2">
      <c r="U704" s="12">
        <v>3620</v>
      </c>
      <c r="V704" s="13" t="s">
        <v>283</v>
      </c>
      <c r="W704" s="16" t="str">
        <f>TEXT(VLOOKUP(U704, News!A:C, 3, FALSE), "M/D/YYYY")</f>
        <v>1/5/2016</v>
      </c>
      <c r="X704" s="18">
        <f>DATE(YEAR(W704),MONTH(Metrics!$B$5), DAY(Metrics!$B$5))</f>
        <v>42614</v>
      </c>
      <c r="Y704" s="16">
        <f t="shared" si="10"/>
        <v>2016</v>
      </c>
    </row>
    <row r="705" spans="21:25" ht="16" x14ac:dyDescent="0.2">
      <c r="U705" s="12">
        <v>4154</v>
      </c>
      <c r="V705" s="13" t="s">
        <v>283</v>
      </c>
      <c r="W705" s="16" t="str">
        <f>TEXT(VLOOKUP(U705, News!A:C, 3, FALSE), "M/D/YYYY")</f>
        <v>6/1/2014</v>
      </c>
      <c r="X705" s="18">
        <f>DATE(YEAR(W705),MONTH(Metrics!$B$5), DAY(Metrics!$B$5))</f>
        <v>41883</v>
      </c>
      <c r="Y705" s="16">
        <f t="shared" si="10"/>
        <v>2014</v>
      </c>
    </row>
    <row r="706" spans="21:25" ht="16" x14ac:dyDescent="0.2">
      <c r="U706" s="12">
        <v>6999</v>
      </c>
      <c r="V706" s="13" t="s">
        <v>283</v>
      </c>
      <c r="W706" s="16" t="str">
        <f>TEXT(VLOOKUP(U706, News!A:C, 3, FALSE), "M/D/YYYY")</f>
        <v>3/16/2022</v>
      </c>
      <c r="X706" s="18">
        <f>DATE(YEAR(W706),MONTH(Metrics!$B$5), DAY(Metrics!$B$5))</f>
        <v>44805</v>
      </c>
      <c r="Y706" s="16">
        <f t="shared" si="10"/>
        <v>2022</v>
      </c>
    </row>
    <row r="707" spans="21:25" ht="16" x14ac:dyDescent="0.2">
      <c r="U707" s="12">
        <v>3257</v>
      </c>
      <c r="V707" s="13" t="s">
        <v>283</v>
      </c>
      <c r="W707" s="16" t="str">
        <f>TEXT(VLOOKUP(U707, News!A:C, 3, FALSE), "M/D/YYYY")</f>
        <v>12/18/2018</v>
      </c>
      <c r="X707" s="18">
        <f>DATE(YEAR(W707),MONTH(Metrics!$B$5), DAY(Metrics!$B$5))</f>
        <v>43344</v>
      </c>
      <c r="Y707" s="16">
        <f t="shared" ref="Y707:Y770" si="11">IF(MONTH(W707) &gt;= MONTH(X707), YEAR(W707)+1, YEAR(W707))</f>
        <v>2019</v>
      </c>
    </row>
    <row r="708" spans="21:25" ht="16" x14ac:dyDescent="0.2">
      <c r="U708" s="12">
        <v>3330</v>
      </c>
      <c r="V708" s="13" t="s">
        <v>283</v>
      </c>
      <c r="W708" s="16" t="str">
        <f>TEXT(VLOOKUP(U708, News!A:C, 3, FALSE), "M/D/YYYY")</f>
        <v>7/13/2016</v>
      </c>
      <c r="X708" s="18">
        <f>DATE(YEAR(W708),MONTH(Metrics!$B$5), DAY(Metrics!$B$5))</f>
        <v>42614</v>
      </c>
      <c r="Y708" s="16">
        <f t="shared" si="11"/>
        <v>2016</v>
      </c>
    </row>
    <row r="709" spans="21:25" ht="16" x14ac:dyDescent="0.2">
      <c r="U709" s="12">
        <v>3339</v>
      </c>
      <c r="V709" s="13" t="s">
        <v>283</v>
      </c>
      <c r="W709" s="16" t="str">
        <f>TEXT(VLOOKUP(U709, News!A:C, 3, FALSE), "M/D/YYYY")</f>
        <v>6/24/2016</v>
      </c>
      <c r="X709" s="18">
        <f>DATE(YEAR(W709),MONTH(Metrics!$B$5), DAY(Metrics!$B$5))</f>
        <v>42614</v>
      </c>
      <c r="Y709" s="16">
        <f t="shared" si="11"/>
        <v>2016</v>
      </c>
    </row>
    <row r="710" spans="21:25" ht="16" x14ac:dyDescent="0.2">
      <c r="U710" s="12">
        <v>3428</v>
      </c>
      <c r="V710" s="13" t="s">
        <v>283</v>
      </c>
      <c r="W710" s="16" t="str">
        <f>TEXT(VLOOKUP(U710, News!A:C, 3, FALSE), "M/D/YYYY")</f>
        <v>5/19/2016</v>
      </c>
      <c r="X710" s="18">
        <f>DATE(YEAR(W710),MONTH(Metrics!$B$5), DAY(Metrics!$B$5))</f>
        <v>42614</v>
      </c>
      <c r="Y710" s="16">
        <f t="shared" si="11"/>
        <v>2016</v>
      </c>
    </row>
    <row r="711" spans="21:25" ht="16" x14ac:dyDescent="0.2">
      <c r="U711" s="12">
        <v>3458</v>
      </c>
      <c r="V711" s="13" t="s">
        <v>283</v>
      </c>
      <c r="W711" s="16" t="str">
        <f>TEXT(VLOOKUP(U711, News!A:C, 3, FALSE), "M/D/YYYY")</f>
        <v>5/6/2016</v>
      </c>
      <c r="X711" s="18">
        <f>DATE(YEAR(W711),MONTH(Metrics!$B$5), DAY(Metrics!$B$5))</f>
        <v>42614</v>
      </c>
      <c r="Y711" s="16">
        <f t="shared" si="11"/>
        <v>2016</v>
      </c>
    </row>
    <row r="712" spans="21:25" ht="16" x14ac:dyDescent="0.2">
      <c r="U712" s="12">
        <v>3529</v>
      </c>
      <c r="V712" s="13" t="s">
        <v>283</v>
      </c>
      <c r="W712" s="16" t="str">
        <f>TEXT(VLOOKUP(U712, News!A:C, 3, FALSE), "M/D/YYYY")</f>
        <v>4/30/2016</v>
      </c>
      <c r="X712" s="18">
        <f>DATE(YEAR(W712),MONTH(Metrics!$B$5), DAY(Metrics!$B$5))</f>
        <v>42614</v>
      </c>
      <c r="Y712" s="16">
        <f t="shared" si="11"/>
        <v>2016</v>
      </c>
    </row>
    <row r="713" spans="21:25" ht="16" x14ac:dyDescent="0.2">
      <c r="U713" s="12">
        <v>3563</v>
      </c>
      <c r="V713" s="13" t="s">
        <v>283</v>
      </c>
      <c r="W713" s="16" t="str">
        <f>TEXT(VLOOKUP(U713, News!A:C, 3, FALSE), "M/D/YYYY")</f>
        <v>2/11/2016</v>
      </c>
      <c r="X713" s="18">
        <f>DATE(YEAR(W713),MONTH(Metrics!$B$5), DAY(Metrics!$B$5))</f>
        <v>42614</v>
      </c>
      <c r="Y713" s="16">
        <f t="shared" si="11"/>
        <v>2016</v>
      </c>
    </row>
    <row r="714" spans="21:25" ht="16" x14ac:dyDescent="0.2">
      <c r="U714" s="12">
        <v>3639</v>
      </c>
      <c r="V714" s="13" t="s">
        <v>283</v>
      </c>
      <c r="W714" s="16" t="str">
        <f>TEXT(VLOOKUP(U714, News!A:C, 3, FALSE), "M/D/YYYY")</f>
        <v>11/25/2015</v>
      </c>
      <c r="X714" s="18">
        <f>DATE(YEAR(W714),MONTH(Metrics!$B$5), DAY(Metrics!$B$5))</f>
        <v>42248</v>
      </c>
      <c r="Y714" s="16">
        <f t="shared" si="11"/>
        <v>2016</v>
      </c>
    </row>
    <row r="715" spans="21:25" ht="16" x14ac:dyDescent="0.2">
      <c r="U715" s="12">
        <v>3659</v>
      </c>
      <c r="V715" s="13" t="s">
        <v>283</v>
      </c>
      <c r="W715" s="16" t="str">
        <f>TEXT(VLOOKUP(U715, News!A:C, 3, FALSE), "M/D/YYYY")</f>
        <v>11/11/2015</v>
      </c>
      <c r="X715" s="18">
        <f>DATE(YEAR(W715),MONTH(Metrics!$B$5), DAY(Metrics!$B$5))</f>
        <v>42248</v>
      </c>
      <c r="Y715" s="16">
        <f t="shared" si="11"/>
        <v>2016</v>
      </c>
    </row>
    <row r="716" spans="21:25" ht="16" x14ac:dyDescent="0.2">
      <c r="U716" s="12">
        <v>3663</v>
      </c>
      <c r="V716" s="13" t="s">
        <v>283</v>
      </c>
      <c r="W716" s="16" t="str">
        <f>TEXT(VLOOKUP(U716, News!A:C, 3, FALSE), "M/D/YYYY")</f>
        <v>11/3/2015</v>
      </c>
      <c r="X716" s="18">
        <f>DATE(YEAR(W716),MONTH(Metrics!$B$5), DAY(Metrics!$B$5))</f>
        <v>42248</v>
      </c>
      <c r="Y716" s="16">
        <f t="shared" si="11"/>
        <v>2016</v>
      </c>
    </row>
    <row r="717" spans="21:25" ht="16" x14ac:dyDescent="0.2">
      <c r="U717" s="12">
        <v>3746</v>
      </c>
      <c r="V717" s="13" t="s">
        <v>283</v>
      </c>
      <c r="W717" s="16" t="str">
        <f>TEXT(VLOOKUP(U717, News!A:C, 3, FALSE), "M/D/YYYY")</f>
        <v>9/30/2015</v>
      </c>
      <c r="X717" s="18">
        <f>DATE(YEAR(W717),MONTH(Metrics!$B$5), DAY(Metrics!$B$5))</f>
        <v>42248</v>
      </c>
      <c r="Y717" s="16">
        <f t="shared" si="11"/>
        <v>2016</v>
      </c>
    </row>
    <row r="718" spans="21:25" ht="16" x14ac:dyDescent="0.2">
      <c r="U718" s="12">
        <v>3755</v>
      </c>
      <c r="V718" s="13" t="s">
        <v>283</v>
      </c>
      <c r="W718" s="16" t="str">
        <f>TEXT(VLOOKUP(U718, News!A:C, 3, FALSE), "M/D/YYYY")</f>
        <v>11/25/2015</v>
      </c>
      <c r="X718" s="18">
        <f>DATE(YEAR(W718),MONTH(Metrics!$B$5), DAY(Metrics!$B$5))</f>
        <v>42248</v>
      </c>
      <c r="Y718" s="16">
        <f t="shared" si="11"/>
        <v>2016</v>
      </c>
    </row>
    <row r="719" spans="21:25" ht="16" x14ac:dyDescent="0.2">
      <c r="U719" s="12">
        <v>3758</v>
      </c>
      <c r="V719" s="13" t="s">
        <v>283</v>
      </c>
      <c r="W719" s="16" t="str">
        <f>TEXT(VLOOKUP(U719, News!A:C, 3, FALSE), "M/D/YYYY")</f>
        <v>9/13/2015</v>
      </c>
      <c r="X719" s="18">
        <f>DATE(YEAR(W719),MONTH(Metrics!$B$5), DAY(Metrics!$B$5))</f>
        <v>42248</v>
      </c>
      <c r="Y719" s="16">
        <f t="shared" si="11"/>
        <v>2016</v>
      </c>
    </row>
    <row r="720" spans="21:25" ht="16" x14ac:dyDescent="0.2">
      <c r="U720" s="12">
        <v>3803</v>
      </c>
      <c r="V720" s="13" t="s">
        <v>283</v>
      </c>
      <c r="W720" s="16" t="str">
        <f>TEXT(VLOOKUP(U720, News!A:C, 3, FALSE), "M/D/YYYY")</f>
        <v>6/30/2015</v>
      </c>
      <c r="X720" s="18">
        <f>DATE(YEAR(W720),MONTH(Metrics!$B$5), DAY(Metrics!$B$5))</f>
        <v>42248</v>
      </c>
      <c r="Y720" s="16">
        <f t="shared" si="11"/>
        <v>2015</v>
      </c>
    </row>
    <row r="721" spans="21:25" ht="16" x14ac:dyDescent="0.2">
      <c r="U721" s="12">
        <v>3883</v>
      </c>
      <c r="V721" s="13" t="s">
        <v>283</v>
      </c>
      <c r="W721" s="16" t="str">
        <f>TEXT(VLOOKUP(U721, News!A:C, 3, FALSE), "M/D/YYYY")</f>
        <v>6/15/2015</v>
      </c>
      <c r="X721" s="18">
        <f>DATE(YEAR(W721),MONTH(Metrics!$B$5), DAY(Metrics!$B$5))</f>
        <v>42248</v>
      </c>
      <c r="Y721" s="16">
        <f t="shared" si="11"/>
        <v>2015</v>
      </c>
    </row>
    <row r="722" spans="21:25" ht="16" x14ac:dyDescent="0.2">
      <c r="U722" s="12">
        <v>3899</v>
      </c>
      <c r="V722" s="13" t="s">
        <v>283</v>
      </c>
      <c r="W722" s="16" t="str">
        <f>TEXT(VLOOKUP(U722, News!A:C, 3, FALSE), "M/D/YYYY")</f>
        <v>5/15/2015</v>
      </c>
      <c r="X722" s="18">
        <f>DATE(YEAR(W722),MONTH(Metrics!$B$5), DAY(Metrics!$B$5))</f>
        <v>42248</v>
      </c>
      <c r="Y722" s="16">
        <f t="shared" si="11"/>
        <v>2015</v>
      </c>
    </row>
    <row r="723" spans="21:25" ht="16" x14ac:dyDescent="0.2">
      <c r="U723" s="12">
        <v>3970</v>
      </c>
      <c r="V723" s="13" t="s">
        <v>283</v>
      </c>
      <c r="W723" s="16" t="str">
        <f>TEXT(VLOOKUP(U723, News!A:C, 3, FALSE), "M/D/YYYY")</f>
        <v>3/31/2015</v>
      </c>
      <c r="X723" s="18">
        <f>DATE(YEAR(W723),MONTH(Metrics!$B$5), DAY(Metrics!$B$5))</f>
        <v>42248</v>
      </c>
      <c r="Y723" s="16">
        <f t="shared" si="11"/>
        <v>2015</v>
      </c>
    </row>
    <row r="724" spans="21:25" ht="16" x14ac:dyDescent="0.2">
      <c r="U724" s="12">
        <v>4016</v>
      </c>
      <c r="V724" s="13" t="s">
        <v>283</v>
      </c>
      <c r="W724" s="16" t="str">
        <f>TEXT(VLOOKUP(U724, News!A:C, 3, FALSE), "M/D/YYYY")</f>
        <v>1/25/2015</v>
      </c>
      <c r="X724" s="18">
        <f>DATE(YEAR(W724),MONTH(Metrics!$B$5), DAY(Metrics!$B$5))</f>
        <v>42248</v>
      </c>
      <c r="Y724" s="16">
        <f t="shared" si="11"/>
        <v>2015</v>
      </c>
    </row>
    <row r="725" spans="21:25" ht="16" x14ac:dyDescent="0.2">
      <c r="U725" s="12">
        <v>4075</v>
      </c>
      <c r="V725" s="13" t="s">
        <v>283</v>
      </c>
      <c r="W725" s="16" t="str">
        <f>TEXT(VLOOKUP(U725, News!A:C, 3, FALSE), "M/D/YYYY")</f>
        <v>9/30/2014</v>
      </c>
      <c r="X725" s="18">
        <f>DATE(YEAR(W725),MONTH(Metrics!$B$5), DAY(Metrics!$B$5))</f>
        <v>41883</v>
      </c>
      <c r="Y725" s="16">
        <f t="shared" si="11"/>
        <v>2015</v>
      </c>
    </row>
    <row r="726" spans="21:25" ht="16" x14ac:dyDescent="0.2">
      <c r="U726" s="12">
        <v>4125</v>
      </c>
      <c r="V726" s="13" t="s">
        <v>283</v>
      </c>
      <c r="W726" s="16" t="str">
        <f>TEXT(VLOOKUP(U726, News!A:C, 3, FALSE), "M/D/YYYY")</f>
        <v>7/29/2014</v>
      </c>
      <c r="X726" s="18">
        <f>DATE(YEAR(W726),MONTH(Metrics!$B$5), DAY(Metrics!$B$5))</f>
        <v>41883</v>
      </c>
      <c r="Y726" s="16">
        <f t="shared" si="11"/>
        <v>2014</v>
      </c>
    </row>
    <row r="727" spans="21:25" ht="16" x14ac:dyDescent="0.2">
      <c r="U727" s="12">
        <v>4155</v>
      </c>
      <c r="V727" s="13" t="s">
        <v>283</v>
      </c>
      <c r="W727" s="16" t="str">
        <f>TEXT(VLOOKUP(U727, News!A:C, 3, FALSE), "M/D/YYYY")</f>
        <v>5/31/2014</v>
      </c>
      <c r="X727" s="18">
        <f>DATE(YEAR(W727),MONTH(Metrics!$B$5), DAY(Metrics!$B$5))</f>
        <v>41883</v>
      </c>
      <c r="Y727" s="16">
        <f t="shared" si="11"/>
        <v>2014</v>
      </c>
    </row>
    <row r="728" spans="21:25" ht="16" x14ac:dyDescent="0.2">
      <c r="U728" s="12">
        <v>4357</v>
      </c>
      <c r="V728" s="13" t="s">
        <v>283</v>
      </c>
      <c r="W728" s="16" t="str">
        <f>TEXT(VLOOKUP(U728, News!A:C, 3, FALSE), "M/D/YYYY")</f>
        <v>7/18/2019</v>
      </c>
      <c r="X728" s="18">
        <f>DATE(YEAR(W728),MONTH(Metrics!$B$5), DAY(Metrics!$B$5))</f>
        <v>43709</v>
      </c>
      <c r="Y728" s="16">
        <f t="shared" si="11"/>
        <v>2019</v>
      </c>
    </row>
    <row r="729" spans="21:25" ht="16" x14ac:dyDescent="0.2">
      <c r="U729" s="12">
        <v>4435</v>
      </c>
      <c r="V729" s="13" t="s">
        <v>283</v>
      </c>
      <c r="W729" s="16" t="str">
        <f>TEXT(VLOOKUP(U729, News!A:C, 3, FALSE), "M/D/YYYY")</f>
        <v>8/2/2019</v>
      </c>
      <c r="X729" s="18">
        <f>DATE(YEAR(W729),MONTH(Metrics!$B$5), DAY(Metrics!$B$5))</f>
        <v>43709</v>
      </c>
      <c r="Y729" s="16">
        <f t="shared" si="11"/>
        <v>2019</v>
      </c>
    </row>
    <row r="730" spans="21:25" ht="16" x14ac:dyDescent="0.2">
      <c r="U730" s="12">
        <v>4458</v>
      </c>
      <c r="V730" s="13" t="s">
        <v>283</v>
      </c>
      <c r="W730" s="16" t="str">
        <f>TEXT(VLOOKUP(U730, News!A:C, 3, FALSE), "M/D/YYYY")</f>
        <v>6/3/2014</v>
      </c>
      <c r="X730" s="18">
        <f>DATE(YEAR(W730),MONTH(Metrics!$B$5), DAY(Metrics!$B$5))</f>
        <v>41883</v>
      </c>
      <c r="Y730" s="16">
        <f t="shared" si="11"/>
        <v>2014</v>
      </c>
    </row>
    <row r="731" spans="21:25" ht="16" x14ac:dyDescent="0.2">
      <c r="U731" s="12">
        <v>4592</v>
      </c>
      <c r="V731" s="13" t="s">
        <v>283</v>
      </c>
      <c r="W731" s="16" t="str">
        <f>TEXT(VLOOKUP(U731, News!A:C, 3, FALSE), "M/D/YYYY")</f>
        <v>10/8/2019</v>
      </c>
      <c r="X731" s="18">
        <f>DATE(YEAR(W731),MONTH(Metrics!$B$5), DAY(Metrics!$B$5))</f>
        <v>43709</v>
      </c>
      <c r="Y731" s="16">
        <f t="shared" si="11"/>
        <v>2020</v>
      </c>
    </row>
    <row r="732" spans="21:25" ht="16" x14ac:dyDescent="0.2">
      <c r="U732" s="12">
        <v>1460</v>
      </c>
      <c r="V732" s="13" t="s">
        <v>283</v>
      </c>
      <c r="W732" s="16" t="str">
        <f>TEXT(VLOOKUP(U732, News!A:C, 3, FALSE), "M/D/YYYY")</f>
        <v>12/6/2017</v>
      </c>
      <c r="X732" s="18">
        <f>DATE(YEAR(W732),MONTH(Metrics!$B$5), DAY(Metrics!$B$5))</f>
        <v>42979</v>
      </c>
      <c r="Y732" s="16">
        <f t="shared" si="11"/>
        <v>2018</v>
      </c>
    </row>
    <row r="733" spans="21:25" ht="16" x14ac:dyDescent="0.2">
      <c r="U733" s="12">
        <v>2344</v>
      </c>
      <c r="V733" s="13" t="s">
        <v>283</v>
      </c>
      <c r="W733" s="16" t="str">
        <f>TEXT(VLOOKUP(U733, News!A:C, 3, FALSE), "M/D/YYYY")</f>
        <v>3/17/2017</v>
      </c>
      <c r="X733" s="18">
        <f>DATE(YEAR(W733),MONTH(Metrics!$B$5), DAY(Metrics!$B$5))</f>
        <v>42979</v>
      </c>
      <c r="Y733" s="16">
        <f t="shared" si="11"/>
        <v>2017</v>
      </c>
    </row>
    <row r="734" spans="21:25" ht="16" x14ac:dyDescent="0.2">
      <c r="U734" s="12">
        <v>3212</v>
      </c>
      <c r="V734" s="13" t="s">
        <v>283</v>
      </c>
      <c r="W734" s="16" t="str">
        <f>TEXT(VLOOKUP(U734, News!A:C, 3, FALSE), "M/D/YYYY")</f>
        <v>9/14/2016</v>
      </c>
      <c r="X734" s="18">
        <f>DATE(YEAR(W734),MONTH(Metrics!$B$5), DAY(Metrics!$B$5))</f>
        <v>42614</v>
      </c>
      <c r="Y734" s="16">
        <f t="shared" si="11"/>
        <v>2017</v>
      </c>
    </row>
    <row r="735" spans="21:25" ht="16" x14ac:dyDescent="0.2">
      <c r="U735" s="12">
        <v>4036</v>
      </c>
      <c r="V735" s="13" t="s">
        <v>283</v>
      </c>
      <c r="W735" s="16" t="str">
        <f>TEXT(VLOOKUP(U735, News!A:C, 3, FALSE), "M/D/YYYY")</f>
        <v>11/16/2014</v>
      </c>
      <c r="X735" s="18">
        <f>DATE(YEAR(W735),MONTH(Metrics!$B$5), DAY(Metrics!$B$5))</f>
        <v>41883</v>
      </c>
      <c r="Y735" s="16">
        <f t="shared" si="11"/>
        <v>2015</v>
      </c>
    </row>
    <row r="736" spans="21:25" ht="16" x14ac:dyDescent="0.2">
      <c r="U736" s="12">
        <v>4141</v>
      </c>
      <c r="V736" s="13" t="s">
        <v>283</v>
      </c>
      <c r="W736" s="16" t="str">
        <f>TEXT(VLOOKUP(U736, News!A:C, 3, FALSE), "M/D/YYYY")</f>
        <v>5/28/2019</v>
      </c>
      <c r="X736" s="18">
        <f>DATE(YEAR(W736),MONTH(Metrics!$B$5), DAY(Metrics!$B$5))</f>
        <v>43709</v>
      </c>
      <c r="Y736" s="16">
        <f t="shared" si="11"/>
        <v>2019</v>
      </c>
    </row>
    <row r="737" spans="21:25" ht="16" x14ac:dyDescent="0.2">
      <c r="U737" s="12">
        <v>4058</v>
      </c>
      <c r="V737" s="13" t="s">
        <v>283</v>
      </c>
      <c r="W737" s="16" t="str">
        <f>TEXT(VLOOKUP(U737, News!A:C, 3, FALSE), "M/D/YYYY")</f>
        <v>10/27/2014</v>
      </c>
      <c r="X737" s="18">
        <f>DATE(YEAR(W737),MONTH(Metrics!$B$5), DAY(Metrics!$B$5))</f>
        <v>41883</v>
      </c>
      <c r="Y737" s="16">
        <f t="shared" si="11"/>
        <v>2015</v>
      </c>
    </row>
    <row r="738" spans="21:25" ht="16" x14ac:dyDescent="0.2">
      <c r="U738" s="12">
        <v>3421</v>
      </c>
      <c r="V738" s="13" t="s">
        <v>283</v>
      </c>
      <c r="W738" s="16" t="str">
        <f>TEXT(VLOOKUP(U738, News!A:C, 3, FALSE), "M/D/YYYY")</f>
        <v>1/22/2019</v>
      </c>
      <c r="X738" s="18">
        <f>DATE(YEAR(W738),MONTH(Metrics!$B$5), DAY(Metrics!$B$5))</f>
        <v>43709</v>
      </c>
      <c r="Y738" s="16">
        <f t="shared" si="11"/>
        <v>2019</v>
      </c>
    </row>
    <row r="739" spans="21:25" ht="16" x14ac:dyDescent="0.2">
      <c r="U739" s="12">
        <v>4091</v>
      </c>
      <c r="V739" s="13" t="s">
        <v>283</v>
      </c>
      <c r="W739" s="16" t="str">
        <f>TEXT(VLOOKUP(U739, News!A:C, 3, FALSE), "M/D/YYYY")</f>
        <v>8/17/2014</v>
      </c>
      <c r="X739" s="18">
        <f>DATE(YEAR(W739),MONTH(Metrics!$B$5), DAY(Metrics!$B$5))</f>
        <v>41883</v>
      </c>
      <c r="Y739" s="16">
        <f t="shared" si="11"/>
        <v>2014</v>
      </c>
    </row>
    <row r="740" spans="21:25" ht="16" x14ac:dyDescent="0.2">
      <c r="U740" s="12">
        <v>4942</v>
      </c>
      <c r="V740" s="13" t="s">
        <v>283</v>
      </c>
      <c r="W740" s="16" t="str">
        <f>TEXT(VLOOKUP(U740, News!A:C, 3, FALSE), "M/D/YYYY")</f>
        <v>5/28/2020</v>
      </c>
      <c r="X740" s="18">
        <f>DATE(YEAR(W740),MONTH(Metrics!$B$5), DAY(Metrics!$B$5))</f>
        <v>44075</v>
      </c>
      <c r="Y740" s="16">
        <f t="shared" si="11"/>
        <v>2020</v>
      </c>
    </row>
    <row r="741" spans="21:25" ht="16" x14ac:dyDescent="0.2">
      <c r="U741" s="12">
        <v>5114</v>
      </c>
      <c r="V741" s="13" t="s">
        <v>283</v>
      </c>
      <c r="W741" s="16" t="str">
        <f>TEXT(VLOOKUP(U741, News!A:C, 3, FALSE), "M/D/YYYY")</f>
        <v>8/14/2020</v>
      </c>
      <c r="X741" s="18">
        <f>DATE(YEAR(W741),MONTH(Metrics!$B$5), DAY(Metrics!$B$5))</f>
        <v>44075</v>
      </c>
      <c r="Y741" s="16">
        <f t="shared" si="11"/>
        <v>2020</v>
      </c>
    </row>
    <row r="742" spans="21:25" ht="16" x14ac:dyDescent="0.2">
      <c r="U742" s="12">
        <v>6436</v>
      </c>
      <c r="V742" s="13" t="s">
        <v>283</v>
      </c>
      <c r="W742" s="16" t="str">
        <f>TEXT(VLOOKUP(U742, News!A:C, 3, FALSE), "M/D/YYYY")</f>
        <v>10/20/2021</v>
      </c>
      <c r="X742" s="18">
        <f>DATE(YEAR(W742),MONTH(Metrics!$B$5), DAY(Metrics!$B$5))</f>
        <v>44440</v>
      </c>
      <c r="Y742" s="16">
        <f t="shared" si="11"/>
        <v>2022</v>
      </c>
    </row>
    <row r="743" spans="21:25" ht="16" x14ac:dyDescent="0.2">
      <c r="U743" s="12">
        <v>7357</v>
      </c>
      <c r="V743" s="13" t="s">
        <v>283</v>
      </c>
      <c r="W743" s="16" t="str">
        <f>TEXT(VLOOKUP(U743, News!A:C, 3, FALSE), "M/D/YYYY")</f>
        <v>9/1/2022</v>
      </c>
      <c r="X743" s="18">
        <f>DATE(YEAR(W743),MONTH(Metrics!$B$5), DAY(Metrics!$B$5))</f>
        <v>44805</v>
      </c>
      <c r="Y743" s="16">
        <f t="shared" si="11"/>
        <v>2023</v>
      </c>
    </row>
    <row r="744" spans="21:25" ht="16" x14ac:dyDescent="0.2">
      <c r="U744" s="12">
        <v>7355</v>
      </c>
      <c r="V744" s="13" t="s">
        <v>283</v>
      </c>
      <c r="W744" s="16" t="str">
        <f>TEXT(VLOOKUP(U744, News!A:C, 3, FALSE), "M/D/YYYY")</f>
        <v>9/16/2022</v>
      </c>
      <c r="X744" s="18">
        <f>DATE(YEAR(W744),MONTH(Metrics!$B$5), DAY(Metrics!$B$5))</f>
        <v>44805</v>
      </c>
      <c r="Y744" s="16">
        <f t="shared" si="11"/>
        <v>2023</v>
      </c>
    </row>
    <row r="745" spans="21:25" ht="16" x14ac:dyDescent="0.2">
      <c r="U745" s="12">
        <v>3817</v>
      </c>
      <c r="V745" s="13" t="s">
        <v>283</v>
      </c>
      <c r="W745" s="16" t="str">
        <f>TEXT(VLOOKUP(U745, News!A:C, 3, FALSE), "M/D/YYYY")</f>
        <v>3/10/2019</v>
      </c>
      <c r="X745" s="18">
        <f>DATE(YEAR(W745),MONTH(Metrics!$B$5), DAY(Metrics!$B$5))</f>
        <v>43709</v>
      </c>
      <c r="Y745" s="16">
        <f t="shared" si="11"/>
        <v>2019</v>
      </c>
    </row>
    <row r="746" spans="21:25" ht="16" x14ac:dyDescent="0.2">
      <c r="U746" s="12">
        <v>6073</v>
      </c>
      <c r="V746" s="13" t="s">
        <v>283</v>
      </c>
      <c r="W746" s="16" t="str">
        <f>TEXT(VLOOKUP(U746, News!A:C, 3, FALSE), "M/D/YYYY")</f>
        <v>5/17/2021</v>
      </c>
      <c r="X746" s="18">
        <f>DATE(YEAR(W746),MONTH(Metrics!$B$5), DAY(Metrics!$B$5))</f>
        <v>44440</v>
      </c>
      <c r="Y746" s="16">
        <f t="shared" si="11"/>
        <v>2021</v>
      </c>
    </row>
    <row r="747" spans="21:25" ht="16" x14ac:dyDescent="0.2">
      <c r="U747" s="12">
        <v>7358</v>
      </c>
      <c r="V747" s="13" t="s">
        <v>283</v>
      </c>
      <c r="W747" s="16" t="str">
        <f>TEXT(VLOOKUP(U747, News!A:C, 3, FALSE), "M/D/YYYY")</f>
        <v>9/12/2022</v>
      </c>
      <c r="X747" s="18">
        <f>DATE(YEAR(W747),MONTH(Metrics!$B$5), DAY(Metrics!$B$5))</f>
        <v>44805</v>
      </c>
      <c r="Y747" s="16">
        <f t="shared" si="11"/>
        <v>2023</v>
      </c>
    </row>
    <row r="748" spans="21:25" ht="16" x14ac:dyDescent="0.2">
      <c r="U748" s="12">
        <v>3617</v>
      </c>
      <c r="V748" s="13" t="s">
        <v>283</v>
      </c>
      <c r="W748" s="16" t="str">
        <f>TEXT(VLOOKUP(U748, News!A:C, 3, FALSE), "M/D/YYYY")</f>
        <v>1/10/2016</v>
      </c>
      <c r="X748" s="18">
        <f>DATE(YEAR(W748),MONTH(Metrics!$B$5), DAY(Metrics!$B$5))</f>
        <v>42614</v>
      </c>
      <c r="Y748" s="16">
        <f t="shared" si="11"/>
        <v>2016</v>
      </c>
    </row>
    <row r="749" spans="21:25" ht="16" x14ac:dyDescent="0.2">
      <c r="U749" s="12">
        <v>7797</v>
      </c>
      <c r="V749" s="13" t="s">
        <v>283</v>
      </c>
      <c r="W749" s="16" t="str">
        <f>TEXT(VLOOKUP(U749, News!A:C, 3, FALSE), "M/D/YYYY")</f>
        <v>1/6/2023</v>
      </c>
      <c r="X749" s="18">
        <f>DATE(YEAR(W749),MONTH(Metrics!$B$5), DAY(Metrics!$B$5))</f>
        <v>45170</v>
      </c>
      <c r="Y749" s="16">
        <f t="shared" si="11"/>
        <v>2023</v>
      </c>
    </row>
    <row r="750" spans="21:25" ht="16" x14ac:dyDescent="0.2">
      <c r="U750" s="12">
        <v>1312</v>
      </c>
      <c r="V750" s="13" t="s">
        <v>283</v>
      </c>
      <c r="W750" s="16" t="str">
        <f>TEXT(VLOOKUP(U750, News!A:C, 3, FALSE), "M/D/YYYY")</f>
        <v>5/30/2018</v>
      </c>
      <c r="X750" s="18">
        <f>DATE(YEAR(W750),MONTH(Metrics!$B$5), DAY(Metrics!$B$5))</f>
        <v>43344</v>
      </c>
      <c r="Y750" s="16">
        <f t="shared" si="11"/>
        <v>2018</v>
      </c>
    </row>
    <row r="751" spans="21:25" ht="16" x14ac:dyDescent="0.2">
      <c r="U751" s="12">
        <v>1318</v>
      </c>
      <c r="V751" s="13" t="s">
        <v>283</v>
      </c>
      <c r="W751" s="16" t="str">
        <f>TEXT(VLOOKUP(U751, News!A:C, 3, FALSE), "M/D/YYYY")</f>
        <v>5/17/2018</v>
      </c>
      <c r="X751" s="18">
        <f>DATE(YEAR(W751),MONTH(Metrics!$B$5), DAY(Metrics!$B$5))</f>
        <v>43344</v>
      </c>
      <c r="Y751" s="16">
        <f t="shared" si="11"/>
        <v>2018</v>
      </c>
    </row>
    <row r="752" spans="21:25" ht="16" x14ac:dyDescent="0.2">
      <c r="U752" s="12">
        <v>1372</v>
      </c>
      <c r="V752" s="13" t="s">
        <v>283</v>
      </c>
      <c r="W752" s="16" t="str">
        <f>TEXT(VLOOKUP(U752, News!A:C, 3, FALSE), "M/D/YYYY")</f>
        <v>10/5/2017</v>
      </c>
      <c r="X752" s="18">
        <f>DATE(YEAR(W752),MONTH(Metrics!$B$5), DAY(Metrics!$B$5))</f>
        <v>42979</v>
      </c>
      <c r="Y752" s="16">
        <f t="shared" si="11"/>
        <v>2018</v>
      </c>
    </row>
    <row r="753" spans="21:25" ht="16" x14ac:dyDescent="0.2">
      <c r="U753" s="12">
        <v>1431</v>
      </c>
      <c r="V753" s="13" t="s">
        <v>283</v>
      </c>
      <c r="W753" s="16" t="str">
        <f>TEXT(VLOOKUP(U753, News!A:C, 3, FALSE), "M/D/YYYY")</f>
        <v>2/3/2018</v>
      </c>
      <c r="X753" s="18">
        <f>DATE(YEAR(W753),MONTH(Metrics!$B$5), DAY(Metrics!$B$5))</f>
        <v>43344</v>
      </c>
      <c r="Y753" s="16">
        <f t="shared" si="11"/>
        <v>2018</v>
      </c>
    </row>
    <row r="754" spans="21:25" ht="16" x14ac:dyDescent="0.2">
      <c r="U754" s="12">
        <v>1468</v>
      </c>
      <c r="V754" s="13" t="s">
        <v>283</v>
      </c>
      <c r="W754" s="16" t="str">
        <f>TEXT(VLOOKUP(U754, News!A:C, 3, FALSE), "M/D/YYYY")</f>
        <v>11/28/2017</v>
      </c>
      <c r="X754" s="18">
        <f>DATE(YEAR(W754),MONTH(Metrics!$B$5), DAY(Metrics!$B$5))</f>
        <v>42979</v>
      </c>
      <c r="Y754" s="16">
        <f t="shared" si="11"/>
        <v>2018</v>
      </c>
    </row>
    <row r="755" spans="21:25" ht="16" x14ac:dyDescent="0.2">
      <c r="U755" s="12">
        <v>1544</v>
      </c>
      <c r="V755" s="13" t="s">
        <v>283</v>
      </c>
      <c r="W755" s="16" t="str">
        <f>TEXT(VLOOKUP(U755, News!A:C, 3, FALSE), "M/D/YYYY")</f>
        <v>9/13/2018</v>
      </c>
      <c r="X755" s="18">
        <f>DATE(YEAR(W755),MONTH(Metrics!$B$5), DAY(Metrics!$B$5))</f>
        <v>43344</v>
      </c>
      <c r="Y755" s="16">
        <f t="shared" si="11"/>
        <v>2019</v>
      </c>
    </row>
    <row r="756" spans="21:25" ht="16" x14ac:dyDescent="0.2">
      <c r="U756" s="12">
        <v>1914</v>
      </c>
      <c r="V756" s="13" t="s">
        <v>283</v>
      </c>
      <c r="W756" s="16" t="str">
        <f>TEXT(VLOOKUP(U756, News!A:C, 3, FALSE), "M/D/YYYY")</f>
        <v>10/25/2018</v>
      </c>
      <c r="X756" s="18">
        <f>DATE(YEAR(W756),MONTH(Metrics!$B$5), DAY(Metrics!$B$5))</f>
        <v>43344</v>
      </c>
      <c r="Y756" s="16">
        <f t="shared" si="11"/>
        <v>2019</v>
      </c>
    </row>
    <row r="757" spans="21:25" ht="16" x14ac:dyDescent="0.2">
      <c r="U757" s="12">
        <v>1947</v>
      </c>
      <c r="V757" s="13" t="s">
        <v>283</v>
      </c>
      <c r="W757" s="16" t="str">
        <f>TEXT(VLOOKUP(U757, News!A:C, 3, FALSE), "M/D/YYYY")</f>
        <v>10/26/2018</v>
      </c>
      <c r="X757" s="18">
        <f>DATE(YEAR(W757),MONTH(Metrics!$B$5), DAY(Metrics!$B$5))</f>
        <v>43344</v>
      </c>
      <c r="Y757" s="16">
        <f t="shared" si="11"/>
        <v>2019</v>
      </c>
    </row>
    <row r="758" spans="21:25" ht="16" x14ac:dyDescent="0.2">
      <c r="U758" s="12">
        <v>2007</v>
      </c>
      <c r="V758" s="13" t="s">
        <v>283</v>
      </c>
      <c r="W758" s="16" t="str">
        <f>TEXT(VLOOKUP(U758, News!A:C, 3, FALSE), "M/D/YYYY")</f>
        <v>8/22/2017</v>
      </c>
      <c r="X758" s="18">
        <f>DATE(YEAR(W758),MONTH(Metrics!$B$5), DAY(Metrics!$B$5))</f>
        <v>42979</v>
      </c>
      <c r="Y758" s="16">
        <f t="shared" si="11"/>
        <v>2017</v>
      </c>
    </row>
    <row r="759" spans="21:25" ht="16" x14ac:dyDescent="0.2">
      <c r="U759" s="12">
        <v>2012</v>
      </c>
      <c r="V759" s="13" t="s">
        <v>283</v>
      </c>
      <c r="W759" s="16" t="str">
        <f>TEXT(VLOOKUP(U759, News!A:C, 3, FALSE), "M/D/YYYY")</f>
        <v>8/15/2017</v>
      </c>
      <c r="X759" s="18">
        <f>DATE(YEAR(W759),MONTH(Metrics!$B$5), DAY(Metrics!$B$5))</f>
        <v>42979</v>
      </c>
      <c r="Y759" s="16">
        <f t="shared" si="11"/>
        <v>2017</v>
      </c>
    </row>
    <row r="760" spans="21:25" ht="16" x14ac:dyDescent="0.2">
      <c r="U760" s="12">
        <v>2089</v>
      </c>
      <c r="V760" s="13" t="s">
        <v>283</v>
      </c>
      <c r="W760" s="16" t="str">
        <f>TEXT(VLOOKUP(U760, News!A:C, 3, FALSE), "M/D/YYYY")</f>
        <v>7/1/2017</v>
      </c>
      <c r="X760" s="18">
        <f>DATE(YEAR(W760),MONTH(Metrics!$B$5), DAY(Metrics!$B$5))</f>
        <v>42979</v>
      </c>
      <c r="Y760" s="16">
        <f t="shared" si="11"/>
        <v>2017</v>
      </c>
    </row>
    <row r="761" spans="21:25" ht="16" x14ac:dyDescent="0.2">
      <c r="U761" s="12">
        <v>2323</v>
      </c>
      <c r="V761" s="13" t="s">
        <v>283</v>
      </c>
      <c r="W761" s="16" t="str">
        <f>TEXT(VLOOKUP(U761, News!A:C, 3, FALSE), "M/D/YYYY")</f>
        <v>5/3/2017</v>
      </c>
      <c r="X761" s="18">
        <f>DATE(YEAR(W761),MONTH(Metrics!$B$5), DAY(Metrics!$B$5))</f>
        <v>42979</v>
      </c>
      <c r="Y761" s="16">
        <f t="shared" si="11"/>
        <v>2017</v>
      </c>
    </row>
    <row r="762" spans="21:25" ht="16" x14ac:dyDescent="0.2">
      <c r="U762" s="12">
        <v>2825</v>
      </c>
      <c r="V762" s="13" t="s">
        <v>283</v>
      </c>
      <c r="W762" s="16" t="str">
        <f>TEXT(VLOOKUP(U762, News!A:C, 3, FALSE), "M/D/YYYY")</f>
        <v>12/29/2016</v>
      </c>
      <c r="X762" s="18">
        <f>DATE(YEAR(W762),MONTH(Metrics!$B$5), DAY(Metrics!$B$5))</f>
        <v>42614</v>
      </c>
      <c r="Y762" s="16">
        <f t="shared" si="11"/>
        <v>2017</v>
      </c>
    </row>
    <row r="763" spans="21:25" ht="16" x14ac:dyDescent="0.2">
      <c r="U763" s="12">
        <v>3053</v>
      </c>
      <c r="V763" s="13" t="s">
        <v>283</v>
      </c>
      <c r="W763" s="16" t="str">
        <f>TEXT(VLOOKUP(U763, News!A:C, 3, FALSE), "M/D/YYYY")</f>
        <v>10/17/2016</v>
      </c>
      <c r="X763" s="18">
        <f>DATE(YEAR(W763),MONTH(Metrics!$B$5), DAY(Metrics!$B$5))</f>
        <v>42614</v>
      </c>
      <c r="Y763" s="16">
        <f t="shared" si="11"/>
        <v>2017</v>
      </c>
    </row>
    <row r="764" spans="21:25" ht="16" x14ac:dyDescent="0.2">
      <c r="U764" s="12">
        <v>3218</v>
      </c>
      <c r="V764" s="13" t="s">
        <v>283</v>
      </c>
      <c r="W764" s="16" t="str">
        <f>TEXT(VLOOKUP(U764, News!A:C, 3, FALSE), "M/D/YYYY")</f>
        <v>9/13/2016</v>
      </c>
      <c r="X764" s="18">
        <f>DATE(YEAR(W764),MONTH(Metrics!$B$5), DAY(Metrics!$B$5))</f>
        <v>42614</v>
      </c>
      <c r="Y764" s="16">
        <f t="shared" si="11"/>
        <v>2017</v>
      </c>
    </row>
    <row r="765" spans="21:25" ht="16" x14ac:dyDescent="0.2">
      <c r="U765" s="12">
        <v>3398</v>
      </c>
      <c r="V765" s="13" t="s">
        <v>283</v>
      </c>
      <c r="W765" s="16" t="str">
        <f>TEXT(VLOOKUP(U765, News!A:C, 3, FALSE), "M/D/YYYY")</f>
        <v>5/20/2016</v>
      </c>
      <c r="X765" s="18">
        <f>DATE(YEAR(W765),MONTH(Metrics!$B$5), DAY(Metrics!$B$5))</f>
        <v>42614</v>
      </c>
      <c r="Y765" s="16">
        <f t="shared" si="11"/>
        <v>2016</v>
      </c>
    </row>
    <row r="766" spans="21:25" ht="16" x14ac:dyDescent="0.2">
      <c r="U766" s="12">
        <v>3415</v>
      </c>
      <c r="V766" s="13" t="s">
        <v>283</v>
      </c>
      <c r="W766" s="16" t="str">
        <f>TEXT(VLOOKUP(U766, News!A:C, 3, FALSE), "M/D/YYYY")</f>
        <v>1/20/2019</v>
      </c>
      <c r="X766" s="18">
        <f>DATE(YEAR(W766),MONTH(Metrics!$B$5), DAY(Metrics!$B$5))</f>
        <v>43709</v>
      </c>
      <c r="Y766" s="16">
        <f t="shared" si="11"/>
        <v>2019</v>
      </c>
    </row>
    <row r="767" spans="21:25" ht="16" x14ac:dyDescent="0.2">
      <c r="U767" s="12">
        <v>3554</v>
      </c>
      <c r="V767" s="13" t="s">
        <v>283</v>
      </c>
      <c r="W767" s="16" t="str">
        <f>TEXT(VLOOKUP(U767, News!A:C, 3, FALSE), "M/D/YYYY")</f>
        <v>3/1/2016</v>
      </c>
      <c r="X767" s="18">
        <f>DATE(YEAR(W767),MONTH(Metrics!$B$5), DAY(Metrics!$B$5))</f>
        <v>42614</v>
      </c>
      <c r="Y767" s="16">
        <f t="shared" si="11"/>
        <v>2016</v>
      </c>
    </row>
    <row r="768" spans="21:25" ht="16" x14ac:dyDescent="0.2">
      <c r="U768" s="12">
        <v>3558</v>
      </c>
      <c r="V768" s="13" t="s">
        <v>283</v>
      </c>
      <c r="W768" s="16" t="str">
        <f>TEXT(VLOOKUP(U768, News!A:C, 3, FALSE), "M/D/YYYY")</f>
        <v>2/20/2016</v>
      </c>
      <c r="X768" s="18">
        <f>DATE(YEAR(W768),MONTH(Metrics!$B$5), DAY(Metrics!$B$5))</f>
        <v>42614</v>
      </c>
      <c r="Y768" s="16">
        <f t="shared" si="11"/>
        <v>2016</v>
      </c>
    </row>
    <row r="769" spans="21:25" ht="16" x14ac:dyDescent="0.2">
      <c r="U769" s="12">
        <v>3871</v>
      </c>
      <c r="V769" s="13" t="s">
        <v>283</v>
      </c>
      <c r="W769" s="16" t="str">
        <f>TEXT(VLOOKUP(U769, News!A:C, 3, FALSE), "M/D/YYYY")</f>
        <v>4/2/2019</v>
      </c>
      <c r="X769" s="18">
        <f>DATE(YEAR(W769),MONTH(Metrics!$B$5), DAY(Metrics!$B$5))</f>
        <v>43709</v>
      </c>
      <c r="Y769" s="16">
        <f t="shared" si="11"/>
        <v>2019</v>
      </c>
    </row>
    <row r="770" spans="21:25" ht="16" x14ac:dyDescent="0.2">
      <c r="U770" s="12">
        <v>4354</v>
      </c>
      <c r="V770" s="13" t="s">
        <v>283</v>
      </c>
      <c r="W770" s="16" t="str">
        <f>TEXT(VLOOKUP(U770, News!A:C, 3, FALSE), "M/D/YYYY")</f>
        <v>7/26/2019</v>
      </c>
      <c r="X770" s="18">
        <f>DATE(YEAR(W770),MONTH(Metrics!$B$5), DAY(Metrics!$B$5))</f>
        <v>43709</v>
      </c>
      <c r="Y770" s="16">
        <f t="shared" si="11"/>
        <v>2019</v>
      </c>
    </row>
    <row r="771" spans="21:25" ht="16" x14ac:dyDescent="0.2">
      <c r="U771" s="12">
        <v>4594</v>
      </c>
      <c r="V771" s="13" t="s">
        <v>283</v>
      </c>
      <c r="W771" s="16" t="str">
        <f>TEXT(VLOOKUP(U771, News!A:C, 3, FALSE), "M/D/YYYY")</f>
        <v>10/21/2019</v>
      </c>
      <c r="X771" s="18">
        <f>DATE(YEAR(W771),MONTH(Metrics!$B$5), DAY(Metrics!$B$5))</f>
        <v>43709</v>
      </c>
      <c r="Y771" s="16">
        <f t="shared" ref="Y771:Y834" si="12">IF(MONTH(W771) &gt;= MONTH(X771), YEAR(W771)+1, YEAR(W771))</f>
        <v>2020</v>
      </c>
    </row>
    <row r="772" spans="21:25" ht="16" x14ac:dyDescent="0.2">
      <c r="U772" s="12">
        <v>4608</v>
      </c>
      <c r="V772" s="13" t="s">
        <v>283</v>
      </c>
      <c r="W772" s="16" t="str">
        <f>TEXT(VLOOKUP(U772, News!A:C, 3, FALSE), "M/D/YYYY")</f>
        <v>10/25/2019</v>
      </c>
      <c r="X772" s="18">
        <f>DATE(YEAR(W772),MONTH(Metrics!$B$5), DAY(Metrics!$B$5))</f>
        <v>43709</v>
      </c>
      <c r="Y772" s="16">
        <f t="shared" si="12"/>
        <v>2020</v>
      </c>
    </row>
    <row r="773" spans="21:25" ht="16" x14ac:dyDescent="0.2">
      <c r="U773" s="12">
        <v>4619</v>
      </c>
      <c r="V773" s="13" t="s">
        <v>283</v>
      </c>
      <c r="W773" s="16" t="str">
        <f>TEXT(VLOOKUP(U773, News!A:C, 3, FALSE), "M/D/YYYY")</f>
        <v>4/4/2014</v>
      </c>
      <c r="X773" s="18">
        <f>DATE(YEAR(W773),MONTH(Metrics!$B$5), DAY(Metrics!$B$5))</f>
        <v>41883</v>
      </c>
      <c r="Y773" s="16">
        <f t="shared" si="12"/>
        <v>2014</v>
      </c>
    </row>
    <row r="774" spans="21:25" ht="16" x14ac:dyDescent="0.2">
      <c r="U774" s="12">
        <v>5537</v>
      </c>
      <c r="V774" s="13" t="s">
        <v>283</v>
      </c>
      <c r="W774" s="16" t="str">
        <f>TEXT(VLOOKUP(U774, News!A:C, 3, FALSE), "M/D/YYYY")</f>
        <v>11/3/2020</v>
      </c>
      <c r="X774" s="18">
        <f>DATE(YEAR(W774),MONTH(Metrics!$B$5), DAY(Metrics!$B$5))</f>
        <v>44075</v>
      </c>
      <c r="Y774" s="16">
        <f t="shared" si="12"/>
        <v>2021</v>
      </c>
    </row>
    <row r="775" spans="21:25" ht="16" x14ac:dyDescent="0.2">
      <c r="U775" s="12">
        <v>5806</v>
      </c>
      <c r="V775" s="13" t="s">
        <v>283</v>
      </c>
      <c r="W775" s="16" t="str">
        <f>TEXT(VLOOKUP(U775, News!A:C, 3, FALSE), "M/D/YYYY")</f>
        <v>2/1/2021</v>
      </c>
      <c r="X775" s="18">
        <f>DATE(YEAR(W775),MONTH(Metrics!$B$5), DAY(Metrics!$B$5))</f>
        <v>44440</v>
      </c>
      <c r="Y775" s="16">
        <f t="shared" si="12"/>
        <v>2021</v>
      </c>
    </row>
    <row r="776" spans="21:25" ht="16" x14ac:dyDescent="0.2">
      <c r="U776" s="12">
        <v>6664</v>
      </c>
      <c r="V776" s="13" t="s">
        <v>283</v>
      </c>
      <c r="W776" s="16" t="str">
        <f>TEXT(VLOOKUP(U776, News!A:C, 3, FALSE), "M/D/YYYY")</f>
        <v>10/21/2021</v>
      </c>
      <c r="X776" s="18">
        <f>DATE(YEAR(W776),MONTH(Metrics!$B$5), DAY(Metrics!$B$5))</f>
        <v>44440</v>
      </c>
      <c r="Y776" s="16">
        <f t="shared" si="12"/>
        <v>2022</v>
      </c>
    </row>
    <row r="777" spans="21:25" ht="16" x14ac:dyDescent="0.2">
      <c r="U777" s="12">
        <v>7146</v>
      </c>
      <c r="V777" s="13" t="s">
        <v>283</v>
      </c>
      <c r="W777" s="16" t="str">
        <f>TEXT(VLOOKUP(U777, News!A:C, 3, FALSE), "M/D/YYYY")</f>
        <v>5/20/2022</v>
      </c>
      <c r="X777" s="18">
        <f>DATE(YEAR(W777),MONTH(Metrics!$B$5), DAY(Metrics!$B$5))</f>
        <v>44805</v>
      </c>
      <c r="Y777" s="16">
        <f t="shared" si="12"/>
        <v>2022</v>
      </c>
    </row>
    <row r="778" spans="21:25" ht="16" x14ac:dyDescent="0.2">
      <c r="U778" s="12">
        <v>7157</v>
      </c>
      <c r="V778" s="13" t="s">
        <v>283</v>
      </c>
      <c r="W778" s="16" t="str">
        <f>TEXT(VLOOKUP(U778, News!A:C, 3, FALSE), "M/D/YYYY")</f>
        <v>6/8/2022</v>
      </c>
      <c r="X778" s="18">
        <f>DATE(YEAR(W778),MONTH(Metrics!$B$5), DAY(Metrics!$B$5))</f>
        <v>44805</v>
      </c>
      <c r="Y778" s="16">
        <f t="shared" si="12"/>
        <v>2022</v>
      </c>
    </row>
    <row r="779" spans="21:25" ht="16" x14ac:dyDescent="0.2">
      <c r="U779" s="12">
        <v>7634</v>
      </c>
      <c r="V779" s="13" t="s">
        <v>283</v>
      </c>
      <c r="W779" s="16" t="str">
        <f>TEXT(VLOOKUP(U779, News!A:C, 3, FALSE), "M/D/YYYY")</f>
        <v>11/7/2022</v>
      </c>
      <c r="X779" s="18">
        <f>DATE(YEAR(W779),MONTH(Metrics!$B$5), DAY(Metrics!$B$5))</f>
        <v>44805</v>
      </c>
      <c r="Y779" s="16">
        <f t="shared" si="12"/>
        <v>2023</v>
      </c>
    </row>
    <row r="780" spans="21:25" ht="16" x14ac:dyDescent="0.2">
      <c r="U780" s="12">
        <v>774</v>
      </c>
      <c r="V780" s="13" t="s">
        <v>283</v>
      </c>
      <c r="W780" s="16" t="str">
        <f>TEXT(VLOOKUP(U780, News!A:C, 3, FALSE), "M/D/YYYY")</f>
        <v>5/18/2016</v>
      </c>
      <c r="X780" s="18">
        <f>DATE(YEAR(W780),MONTH(Metrics!$B$5), DAY(Metrics!$B$5))</f>
        <v>42614</v>
      </c>
      <c r="Y780" s="16">
        <f t="shared" si="12"/>
        <v>2016</v>
      </c>
    </row>
    <row r="781" spans="21:25" ht="16" x14ac:dyDescent="0.2">
      <c r="U781" s="12">
        <v>776</v>
      </c>
      <c r="V781" s="13" t="s">
        <v>283</v>
      </c>
      <c r="W781" s="16" t="str">
        <f>TEXT(VLOOKUP(U781, News!A:C, 3, FALSE), "M/D/YYYY")</f>
        <v>5/23/2016</v>
      </c>
      <c r="X781" s="18">
        <f>DATE(YEAR(W781),MONTH(Metrics!$B$5), DAY(Metrics!$B$5))</f>
        <v>42614</v>
      </c>
      <c r="Y781" s="16">
        <f t="shared" si="12"/>
        <v>2016</v>
      </c>
    </row>
    <row r="782" spans="21:25" ht="16" x14ac:dyDescent="0.2">
      <c r="U782" s="12">
        <v>1306</v>
      </c>
      <c r="V782" s="13" t="s">
        <v>283</v>
      </c>
      <c r="W782" s="16" t="str">
        <f>TEXT(VLOOKUP(U782, News!A:C, 3, FALSE), "M/D/YYYY")</f>
        <v>6/16/2018</v>
      </c>
      <c r="X782" s="18">
        <f>DATE(YEAR(W782),MONTH(Metrics!$B$5), DAY(Metrics!$B$5))</f>
        <v>43344</v>
      </c>
      <c r="Y782" s="16">
        <f t="shared" si="12"/>
        <v>2018</v>
      </c>
    </row>
    <row r="783" spans="21:25" ht="16" x14ac:dyDescent="0.2">
      <c r="U783" s="12">
        <v>1415</v>
      </c>
      <c r="V783" s="13" t="s">
        <v>283</v>
      </c>
      <c r="W783" s="16" t="str">
        <f>TEXT(VLOOKUP(U783, News!A:C, 3, FALSE), "M/D/YYYY")</f>
        <v>11/18/2017</v>
      </c>
      <c r="X783" s="18">
        <f>DATE(YEAR(W783),MONTH(Metrics!$B$5), DAY(Metrics!$B$5))</f>
        <v>42979</v>
      </c>
      <c r="Y783" s="16">
        <f t="shared" si="12"/>
        <v>2018</v>
      </c>
    </row>
    <row r="784" spans="21:25" ht="16" x14ac:dyDescent="0.2">
      <c r="U784" s="12">
        <v>1930</v>
      </c>
      <c r="V784" s="13" t="s">
        <v>283</v>
      </c>
      <c r="W784" s="16" t="str">
        <f>TEXT(VLOOKUP(U784, News!A:C, 3, FALSE), "M/D/YYYY")</f>
        <v>10/25/2018</v>
      </c>
      <c r="X784" s="18">
        <f>DATE(YEAR(W784),MONTH(Metrics!$B$5), DAY(Metrics!$B$5))</f>
        <v>43344</v>
      </c>
      <c r="Y784" s="16">
        <f t="shared" si="12"/>
        <v>2019</v>
      </c>
    </row>
    <row r="785" spans="21:25" ht="16" x14ac:dyDescent="0.2">
      <c r="U785" s="12">
        <v>2213</v>
      </c>
      <c r="V785" s="13" t="s">
        <v>283</v>
      </c>
      <c r="W785" s="16" t="str">
        <f>TEXT(VLOOKUP(U785, News!A:C, 3, FALSE), "M/D/YYYY")</f>
        <v>5/23/2017</v>
      </c>
      <c r="X785" s="18">
        <f>DATE(YEAR(W785),MONTH(Metrics!$B$5), DAY(Metrics!$B$5))</f>
        <v>42979</v>
      </c>
      <c r="Y785" s="16">
        <f t="shared" si="12"/>
        <v>2017</v>
      </c>
    </row>
    <row r="786" spans="21:25" ht="16" x14ac:dyDescent="0.2">
      <c r="U786" s="12">
        <v>2311</v>
      </c>
      <c r="V786" s="13" t="s">
        <v>283</v>
      </c>
      <c r="W786" s="16" t="str">
        <f>TEXT(VLOOKUP(U786, News!A:C, 3, FALSE), "M/D/YYYY")</f>
        <v>5/16/2017</v>
      </c>
      <c r="X786" s="18">
        <f>DATE(YEAR(W786),MONTH(Metrics!$B$5), DAY(Metrics!$B$5))</f>
        <v>42979</v>
      </c>
      <c r="Y786" s="16">
        <f t="shared" si="12"/>
        <v>2017</v>
      </c>
    </row>
    <row r="787" spans="21:25" ht="16" x14ac:dyDescent="0.2">
      <c r="U787" s="12">
        <v>3400</v>
      </c>
      <c r="V787" s="13" t="s">
        <v>283</v>
      </c>
      <c r="W787" s="16" t="str">
        <f>TEXT(VLOOKUP(U787, News!A:C, 3, FALSE), "M/D/YYYY")</f>
        <v>5/25/2016</v>
      </c>
      <c r="X787" s="18">
        <f>DATE(YEAR(W787),MONTH(Metrics!$B$5), DAY(Metrics!$B$5))</f>
        <v>42614</v>
      </c>
      <c r="Y787" s="16">
        <f t="shared" si="12"/>
        <v>2016</v>
      </c>
    </row>
    <row r="788" spans="21:25" ht="16" x14ac:dyDescent="0.2">
      <c r="U788" s="12">
        <v>8173</v>
      </c>
      <c r="V788" s="13" t="s">
        <v>283</v>
      </c>
      <c r="W788" s="16" t="str">
        <f>TEXT(VLOOKUP(U788, News!A:C, 3, FALSE), "M/D/YYYY")</f>
        <v>4/17/2023</v>
      </c>
      <c r="X788" s="18">
        <f>DATE(YEAR(W788),MONTH(Metrics!$B$5), DAY(Metrics!$B$5))</f>
        <v>45170</v>
      </c>
      <c r="Y788" s="16">
        <f t="shared" si="12"/>
        <v>2023</v>
      </c>
    </row>
    <row r="789" spans="21:25" ht="16" x14ac:dyDescent="0.2">
      <c r="U789" s="12">
        <v>2451</v>
      </c>
      <c r="V789" s="13" t="s">
        <v>283</v>
      </c>
      <c r="W789" s="16" t="str">
        <f>TEXT(VLOOKUP(U789, News!A:C, 3, FALSE), "M/D/YYYY")</f>
        <v>2/28/2017</v>
      </c>
      <c r="X789" s="18">
        <f>DATE(YEAR(W789),MONTH(Metrics!$B$5), DAY(Metrics!$B$5))</f>
        <v>42979</v>
      </c>
      <c r="Y789" s="16">
        <f t="shared" si="12"/>
        <v>2017</v>
      </c>
    </row>
    <row r="790" spans="21:25" ht="16" x14ac:dyDescent="0.2">
      <c r="U790" s="12">
        <v>3881</v>
      </c>
      <c r="V790" s="13" t="s">
        <v>283</v>
      </c>
      <c r="W790" s="16" t="str">
        <f>TEXT(VLOOKUP(U790, News!A:C, 3, FALSE), "M/D/YYYY")</f>
        <v>6/27/2015</v>
      </c>
      <c r="X790" s="18">
        <f>DATE(YEAR(W790),MONTH(Metrics!$B$5), DAY(Metrics!$B$5))</f>
        <v>42248</v>
      </c>
      <c r="Y790" s="16">
        <f t="shared" si="12"/>
        <v>2015</v>
      </c>
    </row>
    <row r="791" spans="21:25" ht="16" x14ac:dyDescent="0.2">
      <c r="U791" s="12">
        <v>5678</v>
      </c>
      <c r="V791" s="13" t="s">
        <v>283</v>
      </c>
      <c r="W791" s="16" t="str">
        <f>TEXT(VLOOKUP(U791, News!A:C, 3, FALSE), "M/D/YYYY")</f>
        <v>12/14/2020</v>
      </c>
      <c r="X791" s="18">
        <f>DATE(YEAR(W791),MONTH(Metrics!$B$5), DAY(Metrics!$B$5))</f>
        <v>44075</v>
      </c>
      <c r="Y791" s="16">
        <f t="shared" si="12"/>
        <v>2021</v>
      </c>
    </row>
    <row r="792" spans="21:25" ht="16" x14ac:dyDescent="0.2">
      <c r="U792" s="12">
        <v>4883</v>
      </c>
      <c r="V792" s="13" t="s">
        <v>283</v>
      </c>
      <c r="W792" s="16" t="str">
        <f>TEXT(VLOOKUP(U792, News!A:C, 3, FALSE), "M/D/YYYY")</f>
        <v>4/9/2020</v>
      </c>
      <c r="X792" s="18">
        <f>DATE(YEAR(W792),MONTH(Metrics!$B$5), DAY(Metrics!$B$5))</f>
        <v>44075</v>
      </c>
      <c r="Y792" s="16">
        <f t="shared" si="12"/>
        <v>2020</v>
      </c>
    </row>
    <row r="793" spans="21:25" ht="16" x14ac:dyDescent="0.2">
      <c r="U793" s="12">
        <v>3329</v>
      </c>
      <c r="V793" s="13" t="s">
        <v>283</v>
      </c>
      <c r="W793" s="16" t="str">
        <f>TEXT(VLOOKUP(U793, News!A:C, 3, FALSE), "M/D/YYYY")</f>
        <v>7/13/2016</v>
      </c>
      <c r="X793" s="18">
        <f>DATE(YEAR(W793),MONTH(Metrics!$B$5), DAY(Metrics!$B$5))</f>
        <v>42614</v>
      </c>
      <c r="Y793" s="16">
        <f t="shared" si="12"/>
        <v>2016</v>
      </c>
    </row>
    <row r="794" spans="21:25" ht="16" x14ac:dyDescent="0.2">
      <c r="U794" s="12">
        <v>3426</v>
      </c>
      <c r="V794" s="13" t="s">
        <v>283</v>
      </c>
      <c r="W794" s="16" t="str">
        <f>TEXT(VLOOKUP(U794, News!A:C, 3, FALSE), "M/D/YYYY")</f>
        <v>5/20/2016</v>
      </c>
      <c r="X794" s="18">
        <f>DATE(YEAR(W794),MONTH(Metrics!$B$5), DAY(Metrics!$B$5))</f>
        <v>42614</v>
      </c>
      <c r="Y794" s="16">
        <f t="shared" si="12"/>
        <v>2016</v>
      </c>
    </row>
    <row r="795" spans="21:25" ht="16" x14ac:dyDescent="0.2">
      <c r="U795" s="12">
        <v>3311</v>
      </c>
      <c r="V795" s="13" t="s">
        <v>283</v>
      </c>
      <c r="W795" s="16" t="str">
        <f>TEXT(VLOOKUP(U795, News!A:C, 3, FALSE), "M/D/YYYY")</f>
        <v>8/27/2016</v>
      </c>
      <c r="X795" s="18">
        <f>DATE(YEAR(W795),MONTH(Metrics!$B$5), DAY(Metrics!$B$5))</f>
        <v>42614</v>
      </c>
      <c r="Y795" s="16">
        <f t="shared" si="12"/>
        <v>2016</v>
      </c>
    </row>
    <row r="796" spans="21:25" ht="16" x14ac:dyDescent="0.2">
      <c r="U796" s="12">
        <v>3838</v>
      </c>
      <c r="V796" s="13" t="s">
        <v>283</v>
      </c>
      <c r="W796" s="16" t="str">
        <f>TEXT(VLOOKUP(U796, News!A:C, 3, FALSE), "M/D/YYYY")</f>
        <v>3/25/2019</v>
      </c>
      <c r="X796" s="18">
        <f>DATE(YEAR(W796),MONTH(Metrics!$B$5), DAY(Metrics!$B$5))</f>
        <v>43709</v>
      </c>
      <c r="Y796" s="16">
        <f t="shared" si="12"/>
        <v>2019</v>
      </c>
    </row>
    <row r="797" spans="21:25" ht="16" x14ac:dyDescent="0.2">
      <c r="U797" s="12">
        <v>7881</v>
      </c>
      <c r="V797" s="13" t="s">
        <v>283</v>
      </c>
      <c r="W797" s="16" t="str">
        <f>TEXT(VLOOKUP(U797, News!A:C, 3, FALSE), "M/D/YYYY")</f>
        <v>1/10/2023</v>
      </c>
      <c r="X797" s="18">
        <f>DATE(YEAR(W797),MONTH(Metrics!$B$5), DAY(Metrics!$B$5))</f>
        <v>45170</v>
      </c>
      <c r="Y797" s="16">
        <f t="shared" si="12"/>
        <v>2023</v>
      </c>
    </row>
    <row r="798" spans="21:25" ht="16" x14ac:dyDescent="0.2">
      <c r="U798" s="12">
        <v>3059</v>
      </c>
      <c r="V798" s="13" t="s">
        <v>283</v>
      </c>
      <c r="W798" s="16" t="str">
        <f>TEXT(VLOOKUP(U798, News!A:C, 3, FALSE), "M/D/YYYY")</f>
        <v>10/14/2016</v>
      </c>
      <c r="X798" s="18">
        <f>DATE(YEAR(W798),MONTH(Metrics!$B$5), DAY(Metrics!$B$5))</f>
        <v>42614</v>
      </c>
      <c r="Y798" s="16">
        <f t="shared" si="12"/>
        <v>2017</v>
      </c>
    </row>
    <row r="799" spans="21:25" ht="16" x14ac:dyDescent="0.2">
      <c r="U799" s="12">
        <v>2437</v>
      </c>
      <c r="V799" s="13" t="s">
        <v>283</v>
      </c>
      <c r="W799" s="16" t="str">
        <f>TEXT(VLOOKUP(U799, News!A:C, 3, FALSE), "M/D/YYYY")</f>
        <v>3/15/2017</v>
      </c>
      <c r="X799" s="18">
        <f>DATE(YEAR(W799),MONTH(Metrics!$B$5), DAY(Metrics!$B$5))</f>
        <v>42979</v>
      </c>
      <c r="Y799" s="16">
        <f t="shared" si="12"/>
        <v>2017</v>
      </c>
    </row>
    <row r="800" spans="21:25" ht="16" x14ac:dyDescent="0.2">
      <c r="U800" s="12">
        <v>3859</v>
      </c>
      <c r="V800" s="13" t="s">
        <v>283</v>
      </c>
      <c r="W800" s="16" t="str">
        <f>TEXT(VLOOKUP(U800, News!A:C, 3, FALSE), "M/D/YYYY")</f>
        <v>3/29/2019</v>
      </c>
      <c r="X800" s="18">
        <f>DATE(YEAR(W800),MONTH(Metrics!$B$5), DAY(Metrics!$B$5))</f>
        <v>43709</v>
      </c>
      <c r="Y800" s="16">
        <f t="shared" si="12"/>
        <v>2019</v>
      </c>
    </row>
    <row r="801" spans="21:25" ht="16" x14ac:dyDescent="0.2">
      <c r="U801" s="12">
        <v>4769</v>
      </c>
      <c r="V801" s="13" t="s">
        <v>283</v>
      </c>
      <c r="W801" s="16" t="str">
        <f>TEXT(VLOOKUP(U801, News!A:C, 3, FALSE), "M/D/YYYY")</f>
        <v>1/22/2020</v>
      </c>
      <c r="X801" s="18">
        <f>DATE(YEAR(W801),MONTH(Metrics!$B$5), DAY(Metrics!$B$5))</f>
        <v>44075</v>
      </c>
      <c r="Y801" s="16">
        <f t="shared" si="12"/>
        <v>2020</v>
      </c>
    </row>
    <row r="802" spans="21:25" ht="16" x14ac:dyDescent="0.2">
      <c r="U802" s="12">
        <v>4829</v>
      </c>
      <c r="V802" s="13" t="s">
        <v>283</v>
      </c>
      <c r="W802" s="16" t="str">
        <f>TEXT(VLOOKUP(U802, News!A:C, 3, FALSE), "M/D/YYYY")</f>
        <v>2/18/2020</v>
      </c>
      <c r="X802" s="18">
        <f>DATE(YEAR(W802),MONTH(Metrics!$B$5), DAY(Metrics!$B$5))</f>
        <v>44075</v>
      </c>
      <c r="Y802" s="16">
        <f t="shared" si="12"/>
        <v>2020</v>
      </c>
    </row>
    <row r="803" spans="21:25" ht="16" x14ac:dyDescent="0.2">
      <c r="U803" s="12">
        <v>4373</v>
      </c>
      <c r="V803" s="13" t="s">
        <v>283</v>
      </c>
      <c r="W803" s="16" t="str">
        <f>TEXT(VLOOKUP(U803, News!A:C, 3, FALSE), "M/D/YYYY")</f>
        <v>8/28/2019</v>
      </c>
      <c r="X803" s="18">
        <f>DATE(YEAR(W803),MONTH(Metrics!$B$5), DAY(Metrics!$B$5))</f>
        <v>43709</v>
      </c>
      <c r="Y803" s="16">
        <f t="shared" si="12"/>
        <v>2019</v>
      </c>
    </row>
    <row r="804" spans="21:25" ht="16" x14ac:dyDescent="0.2">
      <c r="U804" s="12">
        <v>7996</v>
      </c>
      <c r="V804" s="13" t="s">
        <v>283</v>
      </c>
      <c r="W804" s="16" t="str">
        <f>TEXT(VLOOKUP(U804, News!A:C, 3, FALSE), "M/D/YYYY")</f>
        <v>1/31/2023</v>
      </c>
      <c r="X804" s="18">
        <f>DATE(YEAR(W804),MONTH(Metrics!$B$5), DAY(Metrics!$B$5))</f>
        <v>45170</v>
      </c>
      <c r="Y804" s="16">
        <f t="shared" si="12"/>
        <v>2023</v>
      </c>
    </row>
    <row r="805" spans="21:25" ht="16" x14ac:dyDescent="0.2">
      <c r="U805" s="12">
        <v>6919</v>
      </c>
      <c r="V805" s="13" t="s">
        <v>283</v>
      </c>
      <c r="W805" s="16" t="str">
        <f>TEXT(VLOOKUP(U805, News!A:C, 3, FALSE), "M/D/YYYY")</f>
        <v>2/23/2022</v>
      </c>
      <c r="X805" s="18">
        <f>DATE(YEAR(W805),MONTH(Metrics!$B$5), DAY(Metrics!$B$5))</f>
        <v>44805</v>
      </c>
      <c r="Y805" s="16">
        <f t="shared" si="12"/>
        <v>2022</v>
      </c>
    </row>
    <row r="806" spans="21:25" ht="16" x14ac:dyDescent="0.2">
      <c r="U806" s="12">
        <v>8054</v>
      </c>
      <c r="V806" s="13" t="s">
        <v>283</v>
      </c>
      <c r="W806" s="16" t="str">
        <f>TEXT(VLOOKUP(U806, News!A:C, 3, FALSE), "M/D/YYYY")</f>
        <v>2/16/2023</v>
      </c>
      <c r="X806" s="18">
        <f>DATE(YEAR(W806),MONTH(Metrics!$B$5), DAY(Metrics!$B$5))</f>
        <v>45170</v>
      </c>
      <c r="Y806" s="16">
        <f t="shared" si="12"/>
        <v>2023</v>
      </c>
    </row>
    <row r="807" spans="21:25" ht="16" x14ac:dyDescent="0.2">
      <c r="U807" s="12">
        <v>4018</v>
      </c>
      <c r="V807" s="13" t="s">
        <v>38</v>
      </c>
      <c r="W807" s="16" t="str">
        <f>TEXT(VLOOKUP(U807, News!A:C, 3, FALSE), "M/D/YYYY")</f>
        <v>1/11/2015</v>
      </c>
      <c r="X807" s="18">
        <f>DATE(YEAR(W807),MONTH(Metrics!$B$5), DAY(Metrics!$B$5))</f>
        <v>42248</v>
      </c>
      <c r="Y807" s="16">
        <f t="shared" si="12"/>
        <v>2015</v>
      </c>
    </row>
    <row r="808" spans="21:25" ht="16" x14ac:dyDescent="0.2">
      <c r="U808" s="12">
        <v>4130</v>
      </c>
      <c r="V808" s="13" t="s">
        <v>38</v>
      </c>
      <c r="W808" s="16" t="str">
        <f>TEXT(VLOOKUP(U808, News!A:C, 3, FALSE), "M/D/YYYY")</f>
        <v>7/10/2014</v>
      </c>
      <c r="X808" s="18">
        <f>DATE(YEAR(W808),MONTH(Metrics!$B$5), DAY(Metrics!$B$5))</f>
        <v>41883</v>
      </c>
      <c r="Y808" s="16">
        <f t="shared" si="12"/>
        <v>2014</v>
      </c>
    </row>
    <row r="809" spans="21:25" ht="16" x14ac:dyDescent="0.2">
      <c r="U809" s="12">
        <v>1392</v>
      </c>
      <c r="V809" s="13" t="s">
        <v>38</v>
      </c>
      <c r="W809" s="16" t="str">
        <f>TEXT(VLOOKUP(U809, News!A:C, 3, FALSE), "M/D/YYYY")</f>
        <v>4/5/2018</v>
      </c>
      <c r="X809" s="18">
        <f>DATE(YEAR(W809),MONTH(Metrics!$B$5), DAY(Metrics!$B$5))</f>
        <v>43344</v>
      </c>
      <c r="Y809" s="16">
        <f t="shared" si="12"/>
        <v>2018</v>
      </c>
    </row>
    <row r="810" spans="21:25" ht="16" x14ac:dyDescent="0.2">
      <c r="U810" s="12">
        <v>1413</v>
      </c>
      <c r="V810" s="13" t="s">
        <v>38</v>
      </c>
      <c r="W810" s="16" t="str">
        <f>TEXT(VLOOKUP(U810, News!A:C, 3, FALSE), "M/D/YYYY")</f>
        <v>11/10/2017</v>
      </c>
      <c r="X810" s="18">
        <f>DATE(YEAR(W810),MONTH(Metrics!$B$5), DAY(Metrics!$B$5))</f>
        <v>42979</v>
      </c>
      <c r="Y810" s="16">
        <f t="shared" si="12"/>
        <v>2018</v>
      </c>
    </row>
    <row r="811" spans="21:25" ht="16" x14ac:dyDescent="0.2">
      <c r="U811" s="12">
        <v>1681</v>
      </c>
      <c r="V811" s="13" t="s">
        <v>38</v>
      </c>
      <c r="W811" s="16" t="str">
        <f>TEXT(VLOOKUP(U811, News!A:C, 3, FALSE), "M/D/YYYY")</f>
        <v>8/24/2018</v>
      </c>
      <c r="X811" s="18">
        <f>DATE(YEAR(W811),MONTH(Metrics!$B$5), DAY(Metrics!$B$5))</f>
        <v>43344</v>
      </c>
      <c r="Y811" s="16">
        <f t="shared" si="12"/>
        <v>2018</v>
      </c>
    </row>
    <row r="812" spans="21:25" ht="16" x14ac:dyDescent="0.2">
      <c r="U812" s="12">
        <v>3002</v>
      </c>
      <c r="V812" s="13" t="s">
        <v>38</v>
      </c>
      <c r="W812" s="16" t="str">
        <f>TEXT(VLOOKUP(U812, News!A:C, 3, FALSE), "M/D/YYYY")</f>
        <v>11/26/2016</v>
      </c>
      <c r="X812" s="18">
        <f>DATE(YEAR(W812),MONTH(Metrics!$B$5), DAY(Metrics!$B$5))</f>
        <v>42614</v>
      </c>
      <c r="Y812" s="16">
        <f t="shared" si="12"/>
        <v>2017</v>
      </c>
    </row>
    <row r="813" spans="21:25" ht="16" x14ac:dyDescent="0.2">
      <c r="U813" s="12">
        <v>3345</v>
      </c>
      <c r="V813" s="13" t="s">
        <v>38</v>
      </c>
      <c r="W813" s="16" t="str">
        <f>TEXT(VLOOKUP(U813, News!A:C, 3, FALSE), "M/D/YYYY")</f>
        <v>5/29/2016</v>
      </c>
      <c r="X813" s="18">
        <f>DATE(YEAR(W813),MONTH(Metrics!$B$5), DAY(Metrics!$B$5))</f>
        <v>42614</v>
      </c>
      <c r="Y813" s="16">
        <f t="shared" si="12"/>
        <v>2016</v>
      </c>
    </row>
    <row r="814" spans="21:25" ht="16" x14ac:dyDescent="0.2">
      <c r="U814" s="12">
        <v>3376</v>
      </c>
      <c r="V814" s="13" t="s">
        <v>38</v>
      </c>
      <c r="W814" s="16" t="str">
        <f>TEXT(VLOOKUP(U814, News!A:C, 3, FALSE), "M/D/YYYY")</f>
        <v>1/28/2019</v>
      </c>
      <c r="X814" s="18">
        <f>DATE(YEAR(W814),MONTH(Metrics!$B$5), DAY(Metrics!$B$5))</f>
        <v>43709</v>
      </c>
      <c r="Y814" s="16">
        <f t="shared" si="12"/>
        <v>2019</v>
      </c>
    </row>
    <row r="815" spans="21:25" ht="16" x14ac:dyDescent="0.2">
      <c r="U815" s="12">
        <v>3539</v>
      </c>
      <c r="V815" s="13" t="s">
        <v>38</v>
      </c>
      <c r="W815" s="16" t="str">
        <f>TEXT(VLOOKUP(U815, News!A:C, 3, FALSE), "M/D/YYYY")</f>
        <v>4/22/2016</v>
      </c>
      <c r="X815" s="18">
        <f>DATE(YEAR(W815),MONTH(Metrics!$B$5), DAY(Metrics!$B$5))</f>
        <v>42614</v>
      </c>
      <c r="Y815" s="16">
        <f t="shared" si="12"/>
        <v>2016</v>
      </c>
    </row>
    <row r="816" spans="21:25" ht="16" x14ac:dyDescent="0.2">
      <c r="U816" s="12">
        <v>3612</v>
      </c>
      <c r="V816" s="13" t="s">
        <v>38</v>
      </c>
      <c r="W816" s="16" t="str">
        <f>TEXT(VLOOKUP(U816, News!A:C, 3, FALSE), "M/D/YYYY")</f>
        <v>1/29/2016</v>
      </c>
      <c r="X816" s="18">
        <f>DATE(YEAR(W816),MONTH(Metrics!$B$5), DAY(Metrics!$B$5))</f>
        <v>42614</v>
      </c>
      <c r="Y816" s="16">
        <f t="shared" si="12"/>
        <v>2016</v>
      </c>
    </row>
    <row r="817" spans="21:25" ht="16" x14ac:dyDescent="0.2">
      <c r="U817" s="12">
        <v>3797</v>
      </c>
      <c r="V817" s="13" t="s">
        <v>38</v>
      </c>
      <c r="W817" s="16" t="str">
        <f>TEXT(VLOOKUP(U817, News!A:C, 3, FALSE), "M/D/YYYY")</f>
        <v>7/20/2015</v>
      </c>
      <c r="X817" s="18">
        <f>DATE(YEAR(W817),MONTH(Metrics!$B$5), DAY(Metrics!$B$5))</f>
        <v>42248</v>
      </c>
      <c r="Y817" s="16">
        <f t="shared" si="12"/>
        <v>2015</v>
      </c>
    </row>
    <row r="818" spans="21:25" ht="16" x14ac:dyDescent="0.2">
      <c r="U818" s="12">
        <v>3801</v>
      </c>
      <c r="V818" s="13" t="s">
        <v>38</v>
      </c>
      <c r="W818" s="16" t="str">
        <f>TEXT(VLOOKUP(U818, News!A:C, 3, FALSE), "M/D/YYYY")</f>
        <v>7/4/2015</v>
      </c>
      <c r="X818" s="18">
        <f>DATE(YEAR(W818),MONTH(Metrics!$B$5), DAY(Metrics!$B$5))</f>
        <v>42248</v>
      </c>
      <c r="Y818" s="16">
        <f t="shared" si="12"/>
        <v>2015</v>
      </c>
    </row>
    <row r="819" spans="21:25" ht="16" x14ac:dyDescent="0.2">
      <c r="U819" s="12">
        <v>3887</v>
      </c>
      <c r="V819" s="13" t="s">
        <v>38</v>
      </c>
      <c r="W819" s="16" t="str">
        <f>TEXT(VLOOKUP(U819, News!A:C, 3, FALSE), "M/D/YYYY")</f>
        <v>6/5/2015</v>
      </c>
      <c r="X819" s="18">
        <f>DATE(YEAR(W819),MONTH(Metrics!$B$5), DAY(Metrics!$B$5))</f>
        <v>42248</v>
      </c>
      <c r="Y819" s="16">
        <f t="shared" si="12"/>
        <v>2015</v>
      </c>
    </row>
    <row r="820" spans="21:25" ht="16" x14ac:dyDescent="0.2">
      <c r="U820" s="12">
        <v>3943</v>
      </c>
      <c r="V820" s="13" t="s">
        <v>38</v>
      </c>
      <c r="W820" s="16" t="str">
        <f>TEXT(VLOOKUP(U820, News!A:C, 3, FALSE), "M/D/YYYY")</f>
        <v>4/24/2015</v>
      </c>
      <c r="X820" s="18">
        <f>DATE(YEAR(W820),MONTH(Metrics!$B$5), DAY(Metrics!$B$5))</f>
        <v>42248</v>
      </c>
      <c r="Y820" s="16">
        <f t="shared" si="12"/>
        <v>2015</v>
      </c>
    </row>
    <row r="821" spans="21:25" ht="16" x14ac:dyDescent="0.2">
      <c r="U821" s="12">
        <v>4081</v>
      </c>
      <c r="V821" s="13" t="s">
        <v>38</v>
      </c>
      <c r="W821" s="16" t="str">
        <f>TEXT(VLOOKUP(U821, News!A:C, 3, FALSE), "M/D/YYYY")</f>
        <v>9/25/2014</v>
      </c>
      <c r="X821" s="18">
        <f>DATE(YEAR(W821),MONTH(Metrics!$B$5), DAY(Metrics!$B$5))</f>
        <v>41883</v>
      </c>
      <c r="Y821" s="16">
        <f t="shared" si="12"/>
        <v>2015</v>
      </c>
    </row>
    <row r="822" spans="21:25" ht="16" x14ac:dyDescent="0.2">
      <c r="U822" s="12">
        <v>4085</v>
      </c>
      <c r="V822" s="13" t="s">
        <v>38</v>
      </c>
      <c r="W822" s="16" t="str">
        <f>TEXT(VLOOKUP(U822, News!A:C, 3, FALSE), "M/D/YYYY")</f>
        <v>8/31/2014</v>
      </c>
      <c r="X822" s="18">
        <f>DATE(YEAR(W822),MONTH(Metrics!$B$5), DAY(Metrics!$B$5))</f>
        <v>41883</v>
      </c>
      <c r="Y822" s="16">
        <f t="shared" si="12"/>
        <v>2014</v>
      </c>
    </row>
    <row r="823" spans="21:25" ht="16" x14ac:dyDescent="0.2">
      <c r="U823" s="12">
        <v>4089</v>
      </c>
      <c r="V823" s="13" t="s">
        <v>38</v>
      </c>
      <c r="W823" s="16" t="str">
        <f>TEXT(VLOOKUP(U823, News!A:C, 3, FALSE), "M/D/YYYY")</f>
        <v>8/22/2014</v>
      </c>
      <c r="X823" s="18">
        <f>DATE(YEAR(W823),MONTH(Metrics!$B$5), DAY(Metrics!$B$5))</f>
        <v>41883</v>
      </c>
      <c r="Y823" s="16">
        <f t="shared" si="12"/>
        <v>2014</v>
      </c>
    </row>
    <row r="824" spans="21:25" ht="16" x14ac:dyDescent="0.2">
      <c r="U824" s="12">
        <v>4133</v>
      </c>
      <c r="V824" s="13" t="s">
        <v>38</v>
      </c>
      <c r="W824" s="16" t="str">
        <f>TEXT(VLOOKUP(U824, News!A:C, 3, FALSE), "M/D/YYYY")</f>
        <v>7/1/2014</v>
      </c>
      <c r="X824" s="18">
        <f>DATE(YEAR(W824),MONTH(Metrics!$B$5), DAY(Metrics!$B$5))</f>
        <v>41883</v>
      </c>
      <c r="Y824" s="16">
        <f t="shared" si="12"/>
        <v>2014</v>
      </c>
    </row>
    <row r="825" spans="21:25" ht="16" x14ac:dyDescent="0.2">
      <c r="U825" s="12">
        <v>4151</v>
      </c>
      <c r="V825" s="13" t="s">
        <v>38</v>
      </c>
      <c r="W825" s="16" t="str">
        <f>TEXT(VLOOKUP(U825, News!A:C, 3, FALSE), "M/D/YYYY")</f>
        <v>6/15/2014</v>
      </c>
      <c r="X825" s="18">
        <f>DATE(YEAR(W825),MONTH(Metrics!$B$5), DAY(Metrics!$B$5))</f>
        <v>41883</v>
      </c>
      <c r="Y825" s="16">
        <f t="shared" si="12"/>
        <v>2014</v>
      </c>
    </row>
    <row r="826" spans="21:25" ht="16" x14ac:dyDescent="0.2">
      <c r="U826" s="12">
        <v>4466</v>
      </c>
      <c r="V826" s="13" t="s">
        <v>38</v>
      </c>
      <c r="W826" s="16" t="str">
        <f>TEXT(VLOOKUP(U826, News!A:C, 3, FALSE), "M/D/YYYY")</f>
        <v>5/5/2014</v>
      </c>
      <c r="X826" s="18">
        <f>DATE(YEAR(W826),MONTH(Metrics!$B$5), DAY(Metrics!$B$5))</f>
        <v>41883</v>
      </c>
      <c r="Y826" s="16">
        <f t="shared" si="12"/>
        <v>2014</v>
      </c>
    </row>
    <row r="827" spans="21:25" ht="16" x14ac:dyDescent="0.2">
      <c r="U827" s="12">
        <v>4662</v>
      </c>
      <c r="V827" s="13" t="s">
        <v>38</v>
      </c>
      <c r="W827" s="16" t="str">
        <f>TEXT(VLOOKUP(U827, News!A:C, 3, FALSE), "M/D/YYYY")</f>
        <v>11/1/2019</v>
      </c>
      <c r="X827" s="18">
        <f>DATE(YEAR(W827),MONTH(Metrics!$B$5), DAY(Metrics!$B$5))</f>
        <v>43709</v>
      </c>
      <c r="Y827" s="16">
        <f t="shared" si="12"/>
        <v>2020</v>
      </c>
    </row>
    <row r="828" spans="21:25" ht="16" x14ac:dyDescent="0.2">
      <c r="U828" s="12">
        <v>6606</v>
      </c>
      <c r="V828" s="13" t="s">
        <v>38</v>
      </c>
      <c r="W828" s="16" t="str">
        <f>TEXT(VLOOKUP(U828, News!A:C, 3, FALSE), "M/D/YYYY")</f>
        <v>11/1/2021</v>
      </c>
      <c r="X828" s="18">
        <f>DATE(YEAR(W828),MONTH(Metrics!$B$5), DAY(Metrics!$B$5))</f>
        <v>44440</v>
      </c>
      <c r="Y828" s="16">
        <f t="shared" si="12"/>
        <v>2022</v>
      </c>
    </row>
    <row r="829" spans="21:25" ht="16" x14ac:dyDescent="0.2">
      <c r="U829" s="12">
        <v>6747</v>
      </c>
      <c r="V829" s="13" t="s">
        <v>38</v>
      </c>
      <c r="W829" s="16" t="str">
        <f>TEXT(VLOOKUP(U829, News!A:C, 3, FALSE), "M/D/YYYY")</f>
        <v>12/17/2021</v>
      </c>
      <c r="X829" s="18">
        <f>DATE(YEAR(W829),MONTH(Metrics!$B$5), DAY(Metrics!$B$5))</f>
        <v>44440</v>
      </c>
      <c r="Y829" s="16">
        <f t="shared" si="12"/>
        <v>2022</v>
      </c>
    </row>
    <row r="830" spans="21:25" ht="16" x14ac:dyDescent="0.2">
      <c r="U830" s="12">
        <v>7265</v>
      </c>
      <c r="V830" s="13" t="s">
        <v>38</v>
      </c>
      <c r="W830" s="16" t="str">
        <f>TEXT(VLOOKUP(U830, News!A:C, 3, FALSE), "M/D/YYYY")</f>
        <v>7/12/2022</v>
      </c>
      <c r="X830" s="18">
        <f>DATE(YEAR(W830),MONTH(Metrics!$B$5), DAY(Metrics!$B$5))</f>
        <v>44805</v>
      </c>
      <c r="Y830" s="16">
        <f t="shared" si="12"/>
        <v>2022</v>
      </c>
    </row>
    <row r="831" spans="21:25" ht="16" x14ac:dyDescent="0.2">
      <c r="U831" s="12">
        <v>7744</v>
      </c>
      <c r="V831" s="13" t="s">
        <v>38</v>
      </c>
      <c r="W831" s="16" t="str">
        <f>TEXT(VLOOKUP(U831, News!A:C, 3, FALSE), "M/D/YYYY")</f>
        <v>11/28/2022</v>
      </c>
      <c r="X831" s="18">
        <f>DATE(YEAR(W831),MONTH(Metrics!$B$5), DAY(Metrics!$B$5))</f>
        <v>44805</v>
      </c>
      <c r="Y831" s="16">
        <f t="shared" si="12"/>
        <v>2023</v>
      </c>
    </row>
    <row r="832" spans="21:25" ht="16" x14ac:dyDescent="0.2">
      <c r="U832" s="12">
        <v>3895</v>
      </c>
      <c r="V832" s="13" t="s">
        <v>38</v>
      </c>
      <c r="W832" s="16" t="str">
        <f>TEXT(VLOOKUP(U832, News!A:C, 3, FALSE), "M/D/YYYY")</f>
        <v>6/1/2015</v>
      </c>
      <c r="X832" s="18">
        <f>DATE(YEAR(W832),MONTH(Metrics!$B$5), DAY(Metrics!$B$5))</f>
        <v>42248</v>
      </c>
      <c r="Y832" s="16">
        <f t="shared" si="12"/>
        <v>2015</v>
      </c>
    </row>
    <row r="833" spans="21:25" ht="16" x14ac:dyDescent="0.2">
      <c r="U833" s="12">
        <v>4073</v>
      </c>
      <c r="V833" s="13" t="s">
        <v>38</v>
      </c>
      <c r="W833" s="16" t="str">
        <f>TEXT(VLOOKUP(U833, News!A:C, 3, FALSE), "M/D/YYYY")</f>
        <v>9/30/2014</v>
      </c>
      <c r="X833" s="18">
        <f>DATE(YEAR(W833),MONTH(Metrics!$B$5), DAY(Metrics!$B$5))</f>
        <v>41883</v>
      </c>
      <c r="Y833" s="16">
        <f t="shared" si="12"/>
        <v>2015</v>
      </c>
    </row>
    <row r="834" spans="21:25" ht="16" x14ac:dyDescent="0.2">
      <c r="U834" s="12">
        <v>3316</v>
      </c>
      <c r="V834" s="13" t="s">
        <v>38</v>
      </c>
      <c r="W834" s="16" t="str">
        <f>TEXT(VLOOKUP(U834, News!A:C, 3, FALSE), "M/D/YYYY")</f>
        <v>7/29/2016</v>
      </c>
      <c r="X834" s="18">
        <f>DATE(YEAR(W834),MONTH(Metrics!$B$5), DAY(Metrics!$B$5))</f>
        <v>42614</v>
      </c>
      <c r="Y834" s="16">
        <f t="shared" si="12"/>
        <v>2016</v>
      </c>
    </row>
    <row r="835" spans="21:25" ht="16" x14ac:dyDescent="0.2">
      <c r="U835" s="12">
        <v>4045</v>
      </c>
      <c r="V835" s="13" t="s">
        <v>38</v>
      </c>
      <c r="W835" s="16" t="str">
        <f>TEXT(VLOOKUP(U835, News!A:C, 3, FALSE), "M/D/YYYY")</f>
        <v>11/6/2014</v>
      </c>
      <c r="X835" s="18">
        <f>DATE(YEAR(W835),MONTH(Metrics!$B$5), DAY(Metrics!$B$5))</f>
        <v>41883</v>
      </c>
      <c r="Y835" s="16">
        <f t="shared" ref="Y835:Y898" si="13">IF(MONTH(W835) &gt;= MONTH(X835), YEAR(W835)+1, YEAR(W835))</f>
        <v>2015</v>
      </c>
    </row>
    <row r="836" spans="21:25" ht="16" x14ac:dyDescent="0.2">
      <c r="U836" s="12">
        <v>4093</v>
      </c>
      <c r="V836" s="13" t="s">
        <v>38</v>
      </c>
      <c r="W836" s="16" t="str">
        <f>TEXT(VLOOKUP(U836, News!A:C, 3, FALSE), "M/D/YYYY")</f>
        <v>8/1/2014</v>
      </c>
      <c r="X836" s="18">
        <f>DATE(YEAR(W836),MONTH(Metrics!$B$5), DAY(Metrics!$B$5))</f>
        <v>41883</v>
      </c>
      <c r="Y836" s="16">
        <f t="shared" si="13"/>
        <v>2014</v>
      </c>
    </row>
    <row r="837" spans="21:25" ht="16" x14ac:dyDescent="0.2">
      <c r="U837" s="12">
        <v>4202</v>
      </c>
      <c r="V837" s="13" t="s">
        <v>38</v>
      </c>
      <c r="W837" s="16" t="str">
        <f>TEXT(VLOOKUP(U837, News!A:C, 3, FALSE), "M/D/YYYY")</f>
        <v>5/25/2014</v>
      </c>
      <c r="X837" s="18">
        <f>DATE(YEAR(W837),MONTH(Metrics!$B$5), DAY(Metrics!$B$5))</f>
        <v>41883</v>
      </c>
      <c r="Y837" s="16">
        <f t="shared" si="13"/>
        <v>2014</v>
      </c>
    </row>
    <row r="838" spans="21:25" ht="16" x14ac:dyDescent="0.2">
      <c r="U838" s="12">
        <v>4058</v>
      </c>
      <c r="V838" s="13" t="s">
        <v>38</v>
      </c>
      <c r="W838" s="16" t="str">
        <f>TEXT(VLOOKUP(U838, News!A:C, 3, FALSE), "M/D/YYYY")</f>
        <v>10/27/2014</v>
      </c>
      <c r="X838" s="18">
        <f>DATE(YEAR(W838),MONTH(Metrics!$B$5), DAY(Metrics!$B$5))</f>
        <v>41883</v>
      </c>
      <c r="Y838" s="16">
        <f t="shared" si="13"/>
        <v>2015</v>
      </c>
    </row>
    <row r="839" spans="21:25" ht="16" x14ac:dyDescent="0.2">
      <c r="U839" s="12">
        <v>3617</v>
      </c>
      <c r="V839" s="13" t="s">
        <v>38</v>
      </c>
      <c r="W839" s="16" t="str">
        <f>TEXT(VLOOKUP(U839, News!A:C, 3, FALSE), "M/D/YYYY")</f>
        <v>1/10/2016</v>
      </c>
      <c r="X839" s="18">
        <f>DATE(YEAR(W839),MONTH(Metrics!$B$5), DAY(Metrics!$B$5))</f>
        <v>42614</v>
      </c>
      <c r="Y839" s="16">
        <f t="shared" si="13"/>
        <v>2016</v>
      </c>
    </row>
    <row r="840" spans="21:25" ht="16" x14ac:dyDescent="0.2">
      <c r="U840" s="12">
        <v>7797</v>
      </c>
      <c r="V840" s="13" t="s">
        <v>38</v>
      </c>
      <c r="W840" s="16" t="str">
        <f>TEXT(VLOOKUP(U840, News!A:C, 3, FALSE), "M/D/YYYY")</f>
        <v>1/6/2023</v>
      </c>
      <c r="X840" s="18">
        <f>DATE(YEAR(W840),MONTH(Metrics!$B$5), DAY(Metrics!$B$5))</f>
        <v>45170</v>
      </c>
      <c r="Y840" s="16">
        <f t="shared" si="13"/>
        <v>2023</v>
      </c>
    </row>
    <row r="841" spans="21:25" ht="16" x14ac:dyDescent="0.2">
      <c r="U841" s="12">
        <v>3334</v>
      </c>
      <c r="V841" s="13" t="s">
        <v>38</v>
      </c>
      <c r="W841" s="16" t="str">
        <f>TEXT(VLOOKUP(U841, News!A:C, 3, FALSE), "M/D/YYYY")</f>
        <v>6/30/2016</v>
      </c>
      <c r="X841" s="18">
        <f>DATE(YEAR(W841),MONTH(Metrics!$B$5), DAY(Metrics!$B$5))</f>
        <v>42614</v>
      </c>
      <c r="Y841" s="16">
        <f t="shared" si="13"/>
        <v>2016</v>
      </c>
    </row>
    <row r="842" spans="21:25" ht="16" x14ac:dyDescent="0.2">
      <c r="U842" s="12">
        <v>4087</v>
      </c>
      <c r="V842" s="13" t="s">
        <v>38</v>
      </c>
      <c r="W842" s="16" t="str">
        <f>TEXT(VLOOKUP(U842, News!A:C, 3, FALSE), "M/D/YYYY")</f>
        <v>8/27/2014</v>
      </c>
      <c r="X842" s="18">
        <f>DATE(YEAR(W842),MONTH(Metrics!$B$5), DAY(Metrics!$B$5))</f>
        <v>41883</v>
      </c>
      <c r="Y842" s="16">
        <f t="shared" si="13"/>
        <v>2014</v>
      </c>
    </row>
    <row r="843" spans="21:25" ht="16" x14ac:dyDescent="0.2">
      <c r="U843" s="12">
        <v>4239</v>
      </c>
      <c r="V843" s="13" t="s">
        <v>38</v>
      </c>
      <c r="W843" s="16" t="str">
        <f>TEXT(VLOOKUP(U843, News!A:C, 3, FALSE), "M/D/YYYY")</f>
        <v>6/14/2019</v>
      </c>
      <c r="X843" s="18">
        <f>DATE(YEAR(W843),MONTH(Metrics!$B$5), DAY(Metrics!$B$5))</f>
        <v>43709</v>
      </c>
      <c r="Y843" s="16">
        <f t="shared" si="13"/>
        <v>2019</v>
      </c>
    </row>
    <row r="844" spans="21:25" ht="16" x14ac:dyDescent="0.2">
      <c r="U844" s="12">
        <v>6926</v>
      </c>
      <c r="V844" s="13" t="s">
        <v>38</v>
      </c>
      <c r="W844" s="16" t="str">
        <f>TEXT(VLOOKUP(U844, News!A:C, 3, FALSE), "M/D/YYYY")</f>
        <v>2/24/2022</v>
      </c>
      <c r="X844" s="18">
        <f>DATE(YEAR(W844),MONTH(Metrics!$B$5), DAY(Metrics!$B$5))</f>
        <v>44805</v>
      </c>
      <c r="Y844" s="16">
        <f t="shared" si="13"/>
        <v>2022</v>
      </c>
    </row>
    <row r="845" spans="21:25" ht="16" x14ac:dyDescent="0.2">
      <c r="U845" s="12">
        <v>7196</v>
      </c>
      <c r="V845" s="13" t="s">
        <v>38</v>
      </c>
      <c r="W845" s="16" t="str">
        <f>TEXT(VLOOKUP(U845, News!A:C, 3, FALSE), "M/D/YYYY")</f>
        <v>6/21/2022</v>
      </c>
      <c r="X845" s="18">
        <f>DATE(YEAR(W845),MONTH(Metrics!$B$5), DAY(Metrics!$B$5))</f>
        <v>44805</v>
      </c>
      <c r="Y845" s="16">
        <f t="shared" si="13"/>
        <v>2022</v>
      </c>
    </row>
    <row r="846" spans="21:25" ht="16" x14ac:dyDescent="0.2">
      <c r="U846" s="12">
        <v>7325</v>
      </c>
      <c r="V846" s="13" t="s">
        <v>38</v>
      </c>
      <c r="W846" s="16" t="str">
        <f>TEXT(VLOOKUP(U846, News!A:C, 3, FALSE), "M/D/YYYY")</f>
        <v>8/11/2022</v>
      </c>
      <c r="X846" s="18">
        <f>DATE(YEAR(W846),MONTH(Metrics!$B$5), DAY(Metrics!$B$5))</f>
        <v>44805</v>
      </c>
      <c r="Y846" s="16">
        <f t="shared" si="13"/>
        <v>2022</v>
      </c>
    </row>
    <row r="847" spans="21:25" ht="16" x14ac:dyDescent="0.2">
      <c r="U847" s="12">
        <v>3941</v>
      </c>
      <c r="V847" s="13" t="s">
        <v>38</v>
      </c>
      <c r="W847" s="16" t="str">
        <f>TEXT(VLOOKUP(U847, News!A:C, 3, FALSE), "M/D/YYYY")</f>
        <v>4/25/2015</v>
      </c>
      <c r="X847" s="18">
        <f>DATE(YEAR(W847),MONTH(Metrics!$B$5), DAY(Metrics!$B$5))</f>
        <v>42248</v>
      </c>
      <c r="Y847" s="16">
        <f t="shared" si="13"/>
        <v>2015</v>
      </c>
    </row>
    <row r="848" spans="21:25" ht="16" x14ac:dyDescent="0.2">
      <c r="U848" s="12">
        <v>4052</v>
      </c>
      <c r="V848" s="13" t="s">
        <v>38</v>
      </c>
      <c r="W848" s="16" t="str">
        <f>TEXT(VLOOKUP(U848, News!A:C, 3, FALSE), "M/D/YYYY")</f>
        <v>10/31/2014</v>
      </c>
      <c r="X848" s="18">
        <f>DATE(YEAR(W848),MONTH(Metrics!$B$5), DAY(Metrics!$B$5))</f>
        <v>41883</v>
      </c>
      <c r="Y848" s="16">
        <f t="shared" si="13"/>
        <v>2015</v>
      </c>
    </row>
    <row r="849" spans="21:25" ht="16" x14ac:dyDescent="0.2">
      <c r="U849" s="12">
        <v>433</v>
      </c>
      <c r="V849" s="13" t="s">
        <v>38</v>
      </c>
      <c r="W849" s="16" t="str">
        <f>TEXT(VLOOKUP(U849, News!A:C, 3, FALSE), "M/D/YYYY")</f>
        <v>7/26/2018</v>
      </c>
      <c r="X849" s="18">
        <f>DATE(YEAR(W849),MONTH(Metrics!$B$5), DAY(Metrics!$B$5))</f>
        <v>43344</v>
      </c>
      <c r="Y849" s="16">
        <f t="shared" si="13"/>
        <v>2018</v>
      </c>
    </row>
    <row r="850" spans="21:25" ht="16" x14ac:dyDescent="0.2">
      <c r="U850" s="12">
        <v>769</v>
      </c>
      <c r="V850" s="13" t="s">
        <v>38</v>
      </c>
      <c r="W850" s="16" t="str">
        <f>TEXT(VLOOKUP(U850, News!A:C, 3, FALSE), "M/D/YYYY")</f>
        <v>3/21/2018</v>
      </c>
      <c r="X850" s="18">
        <f>DATE(YEAR(W850),MONTH(Metrics!$B$5), DAY(Metrics!$B$5))</f>
        <v>43344</v>
      </c>
      <c r="Y850" s="16">
        <f t="shared" si="13"/>
        <v>2018</v>
      </c>
    </row>
    <row r="851" spans="21:25" ht="16" x14ac:dyDescent="0.2">
      <c r="U851" s="12">
        <v>1343</v>
      </c>
      <c r="V851" s="13" t="s">
        <v>38</v>
      </c>
      <c r="W851" s="16" t="str">
        <f>TEXT(VLOOKUP(U851, News!A:C, 3, FALSE), "M/D/YYYY")</f>
        <v>9/15/2017</v>
      </c>
      <c r="X851" s="18">
        <f>DATE(YEAR(W851),MONTH(Metrics!$B$5), DAY(Metrics!$B$5))</f>
        <v>42979</v>
      </c>
      <c r="Y851" s="16">
        <f t="shared" si="13"/>
        <v>2018</v>
      </c>
    </row>
    <row r="852" spans="21:25" ht="16" x14ac:dyDescent="0.2">
      <c r="U852" s="12">
        <v>1346</v>
      </c>
      <c r="V852" s="13" t="s">
        <v>38</v>
      </c>
      <c r="W852" s="16" t="str">
        <f>TEXT(VLOOKUP(U852, News!A:C, 3, FALSE), "M/D/YYYY")</f>
        <v>5/11/2018</v>
      </c>
      <c r="X852" s="18">
        <f>DATE(YEAR(W852),MONTH(Metrics!$B$5), DAY(Metrics!$B$5))</f>
        <v>43344</v>
      </c>
      <c r="Y852" s="16">
        <f t="shared" si="13"/>
        <v>2018</v>
      </c>
    </row>
    <row r="853" spans="21:25" ht="16" x14ac:dyDescent="0.2">
      <c r="U853" s="12">
        <v>1347</v>
      </c>
      <c r="V853" s="13" t="s">
        <v>38</v>
      </c>
      <c r="W853" s="16" t="str">
        <f>TEXT(VLOOKUP(U853, News!A:C, 3, FALSE), "M/D/YYYY")</f>
        <v>9/18/2017</v>
      </c>
      <c r="X853" s="18">
        <f>DATE(YEAR(W853),MONTH(Metrics!$B$5), DAY(Metrics!$B$5))</f>
        <v>42979</v>
      </c>
      <c r="Y853" s="16">
        <f t="shared" si="13"/>
        <v>2018</v>
      </c>
    </row>
    <row r="854" spans="21:25" ht="16" x14ac:dyDescent="0.2">
      <c r="U854" s="12">
        <v>1352</v>
      </c>
      <c r="V854" s="13" t="s">
        <v>38</v>
      </c>
      <c r="W854" s="16" t="str">
        <f>TEXT(VLOOKUP(U854, News!A:C, 3, FALSE), "M/D/YYYY")</f>
        <v>9/27/2017</v>
      </c>
      <c r="X854" s="18">
        <f>DATE(YEAR(W854),MONTH(Metrics!$B$5), DAY(Metrics!$B$5))</f>
        <v>42979</v>
      </c>
      <c r="Y854" s="16">
        <f t="shared" si="13"/>
        <v>2018</v>
      </c>
    </row>
    <row r="855" spans="21:25" ht="16" x14ac:dyDescent="0.2">
      <c r="U855" s="12">
        <v>1361</v>
      </c>
      <c r="V855" s="13" t="s">
        <v>38</v>
      </c>
      <c r="W855" s="16" t="str">
        <f>TEXT(VLOOKUP(U855, News!A:C, 3, FALSE), "M/D/YYYY")</f>
        <v>10/16/2017</v>
      </c>
      <c r="X855" s="18">
        <f>DATE(YEAR(W855),MONTH(Metrics!$B$5), DAY(Metrics!$B$5))</f>
        <v>42979</v>
      </c>
      <c r="Y855" s="16">
        <f t="shared" si="13"/>
        <v>2018</v>
      </c>
    </row>
    <row r="856" spans="21:25" ht="16" x14ac:dyDescent="0.2">
      <c r="U856" s="12">
        <v>1411</v>
      </c>
      <c r="V856" s="13" t="s">
        <v>38</v>
      </c>
      <c r="W856" s="16" t="str">
        <f>TEXT(VLOOKUP(U856, News!A:C, 3, FALSE), "M/D/YYYY")</f>
        <v>11/1/2017</v>
      </c>
      <c r="X856" s="18">
        <f>DATE(YEAR(W856),MONTH(Metrics!$B$5), DAY(Metrics!$B$5))</f>
        <v>42979</v>
      </c>
      <c r="Y856" s="16">
        <f t="shared" si="13"/>
        <v>2018</v>
      </c>
    </row>
    <row r="857" spans="21:25" ht="16" x14ac:dyDescent="0.2">
      <c r="U857" s="12">
        <v>1448</v>
      </c>
      <c r="V857" s="13" t="s">
        <v>38</v>
      </c>
      <c r="W857" s="16" t="str">
        <f>TEXT(VLOOKUP(U857, News!A:C, 3, FALSE), "M/D/YYYY")</f>
        <v>1/30/2018</v>
      </c>
      <c r="X857" s="18">
        <f>DATE(YEAR(W857),MONTH(Metrics!$B$5), DAY(Metrics!$B$5))</f>
        <v>43344</v>
      </c>
      <c r="Y857" s="16">
        <f t="shared" si="13"/>
        <v>2018</v>
      </c>
    </row>
    <row r="858" spans="21:25" ht="16" x14ac:dyDescent="0.2">
      <c r="U858" s="12">
        <v>1453</v>
      </c>
      <c r="V858" s="13" t="s">
        <v>38</v>
      </c>
      <c r="W858" s="16" t="str">
        <f>TEXT(VLOOKUP(U858, News!A:C, 3, FALSE), "M/D/YYYY")</f>
        <v>1/9/2018</v>
      </c>
      <c r="X858" s="18">
        <f>DATE(YEAR(W858),MONTH(Metrics!$B$5), DAY(Metrics!$B$5))</f>
        <v>43344</v>
      </c>
      <c r="Y858" s="16">
        <f t="shared" si="13"/>
        <v>2018</v>
      </c>
    </row>
    <row r="859" spans="21:25" ht="16" x14ac:dyDescent="0.2">
      <c r="U859" s="12">
        <v>1456</v>
      </c>
      <c r="V859" s="13" t="s">
        <v>38</v>
      </c>
      <c r="W859" s="16" t="str">
        <f>TEXT(VLOOKUP(U859, News!A:C, 3, FALSE), "M/D/YYYY")</f>
        <v>1/9/2018</v>
      </c>
      <c r="X859" s="18">
        <f>DATE(YEAR(W859),MONTH(Metrics!$B$5), DAY(Metrics!$B$5))</f>
        <v>43344</v>
      </c>
      <c r="Y859" s="16">
        <f t="shared" si="13"/>
        <v>2018</v>
      </c>
    </row>
    <row r="860" spans="21:25" ht="16" x14ac:dyDescent="0.2">
      <c r="U860" s="12">
        <v>1465</v>
      </c>
      <c r="V860" s="13" t="s">
        <v>38</v>
      </c>
      <c r="W860" s="16" t="str">
        <f>TEXT(VLOOKUP(U860, News!A:C, 3, FALSE), "M/D/YYYY")</f>
        <v>12/1/2017</v>
      </c>
      <c r="X860" s="18">
        <f>DATE(YEAR(W860),MONTH(Metrics!$B$5), DAY(Metrics!$B$5))</f>
        <v>42979</v>
      </c>
      <c r="Y860" s="16">
        <f t="shared" si="13"/>
        <v>2018</v>
      </c>
    </row>
    <row r="861" spans="21:25" ht="16" x14ac:dyDescent="0.2">
      <c r="U861" s="12">
        <v>1493</v>
      </c>
      <c r="V861" s="13" t="s">
        <v>38</v>
      </c>
      <c r="W861" s="16" t="str">
        <f>TEXT(VLOOKUP(U861, News!A:C, 3, FALSE), "M/D/YYYY")</f>
        <v>8/17/2018</v>
      </c>
      <c r="X861" s="18">
        <f>DATE(YEAR(W861),MONTH(Metrics!$B$5), DAY(Metrics!$B$5))</f>
        <v>43344</v>
      </c>
      <c r="Y861" s="16">
        <f t="shared" si="13"/>
        <v>2018</v>
      </c>
    </row>
    <row r="862" spans="21:25" ht="16" x14ac:dyDescent="0.2">
      <c r="U862" s="12">
        <v>1668</v>
      </c>
      <c r="V862" s="13" t="s">
        <v>38</v>
      </c>
      <c r="W862" s="16" t="str">
        <f>TEXT(VLOOKUP(U862, News!A:C, 3, FALSE), "M/D/YYYY")</f>
        <v>9/20/2018</v>
      </c>
      <c r="X862" s="18">
        <f>DATE(YEAR(W862),MONTH(Metrics!$B$5), DAY(Metrics!$B$5))</f>
        <v>43344</v>
      </c>
      <c r="Y862" s="16">
        <f t="shared" si="13"/>
        <v>2019</v>
      </c>
    </row>
    <row r="863" spans="21:25" ht="16" x14ac:dyDescent="0.2">
      <c r="U863" s="12">
        <v>1950</v>
      </c>
      <c r="V863" s="13" t="s">
        <v>38</v>
      </c>
      <c r="W863" s="16" t="str">
        <f>TEXT(VLOOKUP(U863, News!A:C, 3, FALSE), "M/D/YYYY")</f>
        <v>8/31/2017</v>
      </c>
      <c r="X863" s="18">
        <f>DATE(YEAR(W863),MONTH(Metrics!$B$5), DAY(Metrics!$B$5))</f>
        <v>42979</v>
      </c>
      <c r="Y863" s="16">
        <f t="shared" si="13"/>
        <v>2017</v>
      </c>
    </row>
    <row r="864" spans="21:25" ht="16" x14ac:dyDescent="0.2">
      <c r="U864" s="12">
        <v>2084</v>
      </c>
      <c r="V864" s="13" t="s">
        <v>38</v>
      </c>
      <c r="W864" s="16" t="str">
        <f>TEXT(VLOOKUP(U864, News!A:C, 3, FALSE), "M/D/YYYY")</f>
        <v>7/31/2017</v>
      </c>
      <c r="X864" s="18">
        <f>DATE(YEAR(W864),MONTH(Metrics!$B$5), DAY(Metrics!$B$5))</f>
        <v>42979</v>
      </c>
      <c r="Y864" s="16">
        <f t="shared" si="13"/>
        <v>2017</v>
      </c>
    </row>
    <row r="865" spans="21:25" ht="16" x14ac:dyDescent="0.2">
      <c r="U865" s="12">
        <v>2087</v>
      </c>
      <c r="V865" s="13" t="s">
        <v>38</v>
      </c>
      <c r="W865" s="16" t="str">
        <f>TEXT(VLOOKUP(U865, News!A:C, 3, FALSE), "M/D/YYYY")</f>
        <v>7/31/2017</v>
      </c>
      <c r="X865" s="18">
        <f>DATE(YEAR(W865),MONTH(Metrics!$B$5), DAY(Metrics!$B$5))</f>
        <v>42979</v>
      </c>
      <c r="Y865" s="16">
        <f t="shared" si="13"/>
        <v>2017</v>
      </c>
    </row>
    <row r="866" spans="21:25" ht="16" x14ac:dyDescent="0.2">
      <c r="U866" s="12">
        <v>2111</v>
      </c>
      <c r="V866" s="13" t="s">
        <v>38</v>
      </c>
      <c r="W866" s="16" t="str">
        <f>TEXT(VLOOKUP(U866, News!A:C, 3, FALSE), "M/D/YYYY")</f>
        <v>11/2/2018</v>
      </c>
      <c r="X866" s="18">
        <f>DATE(YEAR(W866),MONTH(Metrics!$B$5), DAY(Metrics!$B$5))</f>
        <v>43344</v>
      </c>
      <c r="Y866" s="16">
        <f t="shared" si="13"/>
        <v>2019</v>
      </c>
    </row>
    <row r="867" spans="21:25" ht="16" x14ac:dyDescent="0.2">
      <c r="U867" s="12">
        <v>2209</v>
      </c>
      <c r="V867" s="13" t="s">
        <v>38</v>
      </c>
      <c r="W867" s="16" t="str">
        <f>TEXT(VLOOKUP(U867, News!A:C, 3, FALSE), "M/D/YYYY")</f>
        <v>6/2/2017</v>
      </c>
      <c r="X867" s="18">
        <f>DATE(YEAR(W867),MONTH(Metrics!$B$5), DAY(Metrics!$B$5))</f>
        <v>42979</v>
      </c>
      <c r="Y867" s="16">
        <f t="shared" si="13"/>
        <v>2017</v>
      </c>
    </row>
    <row r="868" spans="21:25" ht="16" x14ac:dyDescent="0.2">
      <c r="U868" s="12">
        <v>2519</v>
      </c>
      <c r="V868" s="13" t="s">
        <v>38</v>
      </c>
      <c r="W868" s="16" t="str">
        <f>TEXT(VLOOKUP(U868, News!A:C, 3, FALSE), "M/D/YYYY")</f>
        <v>1/31/2017</v>
      </c>
      <c r="X868" s="18">
        <f>DATE(YEAR(W868),MONTH(Metrics!$B$5), DAY(Metrics!$B$5))</f>
        <v>42979</v>
      </c>
      <c r="Y868" s="16">
        <f t="shared" si="13"/>
        <v>2017</v>
      </c>
    </row>
    <row r="869" spans="21:25" ht="16" x14ac:dyDescent="0.2">
      <c r="U869" s="12">
        <v>2523</v>
      </c>
      <c r="V869" s="13" t="s">
        <v>38</v>
      </c>
      <c r="W869" s="16" t="str">
        <f>TEXT(VLOOKUP(U869, News!A:C, 3, FALSE), "M/D/YYYY")</f>
        <v>1/29/2017</v>
      </c>
      <c r="X869" s="18">
        <f>DATE(YEAR(W869),MONTH(Metrics!$B$5), DAY(Metrics!$B$5))</f>
        <v>42979</v>
      </c>
      <c r="Y869" s="16">
        <f t="shared" si="13"/>
        <v>2017</v>
      </c>
    </row>
    <row r="870" spans="21:25" ht="16" x14ac:dyDescent="0.2">
      <c r="U870" s="12">
        <v>2977</v>
      </c>
      <c r="V870" s="13" t="s">
        <v>38</v>
      </c>
      <c r="W870" s="16" t="str">
        <f>TEXT(VLOOKUP(U870, News!A:C, 3, FALSE), "M/D/YYYY")</f>
        <v>12/3/2018</v>
      </c>
      <c r="X870" s="18">
        <f>DATE(YEAR(W870),MONTH(Metrics!$B$5), DAY(Metrics!$B$5))</f>
        <v>43344</v>
      </c>
      <c r="Y870" s="16">
        <f t="shared" si="13"/>
        <v>2019</v>
      </c>
    </row>
    <row r="871" spans="21:25" ht="16" x14ac:dyDescent="0.2">
      <c r="U871" s="12">
        <v>3274</v>
      </c>
      <c r="V871" s="13" t="s">
        <v>38</v>
      </c>
      <c r="W871" s="16" t="str">
        <f>TEXT(VLOOKUP(U871, News!A:C, 3, FALSE), "M/D/YYYY")</f>
        <v>1/10/2019</v>
      </c>
      <c r="X871" s="18">
        <f>DATE(YEAR(W871),MONTH(Metrics!$B$5), DAY(Metrics!$B$5))</f>
        <v>43709</v>
      </c>
      <c r="Y871" s="16">
        <f t="shared" si="13"/>
        <v>2019</v>
      </c>
    </row>
    <row r="872" spans="21:25" ht="16" x14ac:dyDescent="0.2">
      <c r="U872" s="12">
        <v>3336</v>
      </c>
      <c r="V872" s="13" t="s">
        <v>38</v>
      </c>
      <c r="W872" s="16" t="str">
        <f>TEXT(VLOOKUP(U872, News!A:C, 3, FALSE), "M/D/YYYY")</f>
        <v>6/29/2016</v>
      </c>
      <c r="X872" s="18">
        <f>DATE(YEAR(W872),MONTH(Metrics!$B$5), DAY(Metrics!$B$5))</f>
        <v>42614</v>
      </c>
      <c r="Y872" s="16">
        <f t="shared" si="13"/>
        <v>2016</v>
      </c>
    </row>
    <row r="873" spans="21:25" ht="16" x14ac:dyDescent="0.2">
      <c r="U873" s="12">
        <v>3460</v>
      </c>
      <c r="V873" s="13" t="s">
        <v>38</v>
      </c>
      <c r="W873" s="16" t="str">
        <f>TEXT(VLOOKUP(U873, News!A:C, 3, FALSE), "M/D/YYYY")</f>
        <v>5/1/2016</v>
      </c>
      <c r="X873" s="18">
        <f>DATE(YEAR(W873),MONTH(Metrics!$B$5), DAY(Metrics!$B$5))</f>
        <v>42614</v>
      </c>
      <c r="Y873" s="16">
        <f t="shared" si="13"/>
        <v>2016</v>
      </c>
    </row>
    <row r="874" spans="21:25" ht="16" x14ac:dyDescent="0.2">
      <c r="U874" s="12">
        <v>3562</v>
      </c>
      <c r="V874" s="13" t="s">
        <v>38</v>
      </c>
      <c r="W874" s="16" t="str">
        <f>TEXT(VLOOKUP(U874, News!A:C, 3, FALSE), "M/D/YYYY")</f>
        <v>2/15/2016</v>
      </c>
      <c r="X874" s="18">
        <f>DATE(YEAR(W874),MONTH(Metrics!$B$5), DAY(Metrics!$B$5))</f>
        <v>42614</v>
      </c>
      <c r="Y874" s="16">
        <f t="shared" si="13"/>
        <v>2016</v>
      </c>
    </row>
    <row r="875" spans="21:25" ht="16" x14ac:dyDescent="0.2">
      <c r="U875" s="12">
        <v>3791</v>
      </c>
      <c r="V875" s="13" t="s">
        <v>38</v>
      </c>
      <c r="W875" s="16" t="str">
        <f>TEXT(VLOOKUP(U875, News!A:C, 3, FALSE), "M/D/YYYY")</f>
        <v>7/30/2015</v>
      </c>
      <c r="X875" s="18">
        <f>DATE(YEAR(W875),MONTH(Metrics!$B$5), DAY(Metrics!$B$5))</f>
        <v>42248</v>
      </c>
      <c r="Y875" s="16">
        <f t="shared" si="13"/>
        <v>2015</v>
      </c>
    </row>
    <row r="876" spans="21:25" ht="16" x14ac:dyDescent="0.2">
      <c r="U876" s="12">
        <v>3793</v>
      </c>
      <c r="V876" s="13" t="s">
        <v>38</v>
      </c>
      <c r="W876" s="16" t="str">
        <f>TEXT(VLOOKUP(U876, News!A:C, 3, FALSE), "M/D/YYYY")</f>
        <v>7/27/2015</v>
      </c>
      <c r="X876" s="18">
        <f>DATE(YEAR(W876),MONTH(Metrics!$B$5), DAY(Metrics!$B$5))</f>
        <v>42248</v>
      </c>
      <c r="Y876" s="16">
        <f t="shared" si="13"/>
        <v>2015</v>
      </c>
    </row>
    <row r="877" spans="21:25" ht="16" x14ac:dyDescent="0.2">
      <c r="U877" s="12">
        <v>3868</v>
      </c>
      <c r="V877" s="13" t="s">
        <v>38</v>
      </c>
      <c r="W877" s="16" t="str">
        <f>TEXT(VLOOKUP(U877, News!A:C, 3, FALSE), "M/D/YYYY")</f>
        <v>4/1/2019</v>
      </c>
      <c r="X877" s="18">
        <f>DATE(YEAR(W877),MONTH(Metrics!$B$5), DAY(Metrics!$B$5))</f>
        <v>43709</v>
      </c>
      <c r="Y877" s="16">
        <f t="shared" si="13"/>
        <v>2019</v>
      </c>
    </row>
    <row r="878" spans="21:25" ht="16" x14ac:dyDescent="0.2">
      <c r="U878" s="12">
        <v>3934</v>
      </c>
      <c r="V878" s="13" t="s">
        <v>38</v>
      </c>
      <c r="W878" s="16" t="str">
        <f>TEXT(VLOOKUP(U878, News!A:C, 3, FALSE), "M/D/YYYY")</f>
        <v>4/15/2019</v>
      </c>
      <c r="X878" s="18">
        <f>DATE(YEAR(W878),MONTH(Metrics!$B$5), DAY(Metrics!$B$5))</f>
        <v>43709</v>
      </c>
      <c r="Y878" s="16">
        <f t="shared" si="13"/>
        <v>2019</v>
      </c>
    </row>
    <row r="879" spans="21:25" ht="16" x14ac:dyDescent="0.2">
      <c r="U879" s="12">
        <v>3939</v>
      </c>
      <c r="V879" s="13" t="s">
        <v>38</v>
      </c>
      <c r="W879" s="16" t="str">
        <f>TEXT(VLOOKUP(U879, News!A:C, 3, FALSE), "M/D/YYYY")</f>
        <v>4/16/2019</v>
      </c>
      <c r="X879" s="18">
        <f>DATE(YEAR(W879),MONTH(Metrics!$B$5), DAY(Metrics!$B$5))</f>
        <v>43709</v>
      </c>
      <c r="Y879" s="16">
        <f t="shared" si="13"/>
        <v>2019</v>
      </c>
    </row>
    <row r="880" spans="21:25" ht="16" x14ac:dyDescent="0.2">
      <c r="U880" s="12">
        <v>3964</v>
      </c>
      <c r="V880" s="13" t="s">
        <v>38</v>
      </c>
      <c r="W880" s="16" t="str">
        <f>TEXT(VLOOKUP(U880, News!A:C, 3, FALSE), "M/D/YYYY")</f>
        <v>4/19/2019</v>
      </c>
      <c r="X880" s="18">
        <f>DATE(YEAR(W880),MONTH(Metrics!$B$5), DAY(Metrics!$B$5))</f>
        <v>43709</v>
      </c>
      <c r="Y880" s="16">
        <f t="shared" si="13"/>
        <v>2019</v>
      </c>
    </row>
    <row r="881" spans="21:25" ht="16" x14ac:dyDescent="0.2">
      <c r="U881" s="12">
        <v>3991</v>
      </c>
      <c r="V881" s="13" t="s">
        <v>38</v>
      </c>
      <c r="W881" s="16" t="str">
        <f>TEXT(VLOOKUP(U881, News!A:C, 3, FALSE), "M/D/YYYY")</f>
        <v>2/27/2015</v>
      </c>
      <c r="X881" s="18">
        <f>DATE(YEAR(W881),MONTH(Metrics!$B$5), DAY(Metrics!$B$5))</f>
        <v>42248</v>
      </c>
      <c r="Y881" s="16">
        <f t="shared" si="13"/>
        <v>2015</v>
      </c>
    </row>
    <row r="882" spans="21:25" ht="16" x14ac:dyDescent="0.2">
      <c r="U882" s="12">
        <v>4008</v>
      </c>
      <c r="V882" s="13" t="s">
        <v>38</v>
      </c>
      <c r="W882" s="16" t="str">
        <f>TEXT(VLOOKUP(U882, News!A:C, 3, FALSE), "M/D/YYYY")</f>
        <v>2/17/2015</v>
      </c>
      <c r="X882" s="18">
        <f>DATE(YEAR(W882),MONTH(Metrics!$B$5), DAY(Metrics!$B$5))</f>
        <v>42248</v>
      </c>
      <c r="Y882" s="16">
        <f t="shared" si="13"/>
        <v>2015</v>
      </c>
    </row>
    <row r="883" spans="21:25" ht="16" x14ac:dyDescent="0.2">
      <c r="U883" s="12">
        <v>4040</v>
      </c>
      <c r="V883" s="13" t="s">
        <v>38</v>
      </c>
      <c r="W883" s="16" t="str">
        <f>TEXT(VLOOKUP(U883, News!A:C, 3, FALSE), "M/D/YYYY")</f>
        <v>4/29/2019</v>
      </c>
      <c r="X883" s="18">
        <f>DATE(YEAR(W883),MONTH(Metrics!$B$5), DAY(Metrics!$B$5))</f>
        <v>43709</v>
      </c>
      <c r="Y883" s="16">
        <f t="shared" si="13"/>
        <v>2019</v>
      </c>
    </row>
    <row r="884" spans="21:25" ht="16" x14ac:dyDescent="0.2">
      <c r="U884" s="12">
        <v>4096</v>
      </c>
      <c r="V884" s="13" t="s">
        <v>38</v>
      </c>
      <c r="W884" s="16" t="str">
        <f>TEXT(VLOOKUP(U884, News!A:C, 3, FALSE), "M/D/YYYY")</f>
        <v>5/6/2019</v>
      </c>
      <c r="X884" s="18">
        <f>DATE(YEAR(W884),MONTH(Metrics!$B$5), DAY(Metrics!$B$5))</f>
        <v>43709</v>
      </c>
      <c r="Y884" s="16">
        <f t="shared" si="13"/>
        <v>2019</v>
      </c>
    </row>
    <row r="885" spans="21:25" ht="16" x14ac:dyDescent="0.2">
      <c r="U885" s="12">
        <v>4100</v>
      </c>
      <c r="V885" s="13" t="s">
        <v>38</v>
      </c>
      <c r="W885" s="16" t="str">
        <f>TEXT(VLOOKUP(U885, News!A:C, 3, FALSE), "M/D/YYYY")</f>
        <v>5/2/2019</v>
      </c>
      <c r="X885" s="18">
        <f>DATE(YEAR(W885),MONTH(Metrics!$B$5), DAY(Metrics!$B$5))</f>
        <v>43709</v>
      </c>
      <c r="Y885" s="16">
        <f t="shared" si="13"/>
        <v>2019</v>
      </c>
    </row>
    <row r="886" spans="21:25" ht="16" x14ac:dyDescent="0.2">
      <c r="U886" s="12">
        <v>4127</v>
      </c>
      <c r="V886" s="13" t="s">
        <v>38</v>
      </c>
      <c r="W886" s="16" t="str">
        <f>TEXT(VLOOKUP(U886, News!A:C, 3, FALSE), "M/D/YYYY")</f>
        <v>7/27/2014</v>
      </c>
      <c r="X886" s="18">
        <f>DATE(YEAR(W886),MONTH(Metrics!$B$5), DAY(Metrics!$B$5))</f>
        <v>41883</v>
      </c>
      <c r="Y886" s="16">
        <f t="shared" si="13"/>
        <v>2014</v>
      </c>
    </row>
    <row r="887" spans="21:25" ht="16" x14ac:dyDescent="0.2">
      <c r="U887" s="12">
        <v>4172</v>
      </c>
      <c r="V887" s="13" t="s">
        <v>38</v>
      </c>
      <c r="W887" s="16" t="str">
        <f>TEXT(VLOOKUP(U887, News!A:C, 3, FALSE), "M/D/YYYY")</f>
        <v>6/4/2019</v>
      </c>
      <c r="X887" s="18">
        <f>DATE(YEAR(W887),MONTH(Metrics!$B$5), DAY(Metrics!$B$5))</f>
        <v>43709</v>
      </c>
      <c r="Y887" s="16">
        <f t="shared" si="13"/>
        <v>2019</v>
      </c>
    </row>
    <row r="888" spans="21:25" ht="16" x14ac:dyDescent="0.2">
      <c r="U888" s="12">
        <v>4195</v>
      </c>
      <c r="V888" s="13" t="s">
        <v>38</v>
      </c>
      <c r="W888" s="16" t="str">
        <f>TEXT(VLOOKUP(U888, News!A:C, 3, FALSE), "M/D/YYYY")</f>
        <v>6/6/2019</v>
      </c>
      <c r="X888" s="18">
        <f>DATE(YEAR(W888),MONTH(Metrics!$B$5), DAY(Metrics!$B$5))</f>
        <v>43709</v>
      </c>
      <c r="Y888" s="16">
        <f t="shared" si="13"/>
        <v>2019</v>
      </c>
    </row>
    <row r="889" spans="21:25" ht="16" x14ac:dyDescent="0.2">
      <c r="U889" s="12">
        <v>4225</v>
      </c>
      <c r="V889" s="13" t="s">
        <v>38</v>
      </c>
      <c r="W889" s="16" t="str">
        <f>TEXT(VLOOKUP(U889, News!A:C, 3, FALSE), "M/D/YYYY")</f>
        <v>6/19/2019</v>
      </c>
      <c r="X889" s="18">
        <f>DATE(YEAR(W889),MONTH(Metrics!$B$5), DAY(Metrics!$B$5))</f>
        <v>43709</v>
      </c>
      <c r="Y889" s="16">
        <f t="shared" si="13"/>
        <v>2019</v>
      </c>
    </row>
    <row r="890" spans="21:25" ht="16" x14ac:dyDescent="0.2">
      <c r="U890" s="12">
        <v>4283</v>
      </c>
      <c r="V890" s="13" t="s">
        <v>38</v>
      </c>
      <c r="W890" s="16" t="str">
        <f>TEXT(VLOOKUP(U890, News!A:C, 3, FALSE), "M/D/YYYY")</f>
        <v>7/17/2019</v>
      </c>
      <c r="X890" s="18">
        <f>DATE(YEAR(W890),MONTH(Metrics!$B$5), DAY(Metrics!$B$5))</f>
        <v>43709</v>
      </c>
      <c r="Y890" s="16">
        <f t="shared" si="13"/>
        <v>2019</v>
      </c>
    </row>
    <row r="891" spans="21:25" ht="16" x14ac:dyDescent="0.2">
      <c r="U891" s="12">
        <v>4291</v>
      </c>
      <c r="V891" s="13" t="s">
        <v>38</v>
      </c>
      <c r="W891" s="16" t="str">
        <f>TEXT(VLOOKUP(U891, News!A:C, 3, FALSE), "M/D/YYYY")</f>
        <v>7/25/2019</v>
      </c>
      <c r="X891" s="18">
        <f>DATE(YEAR(W891),MONTH(Metrics!$B$5), DAY(Metrics!$B$5))</f>
        <v>43709</v>
      </c>
      <c r="Y891" s="16">
        <f t="shared" si="13"/>
        <v>2019</v>
      </c>
    </row>
    <row r="892" spans="21:25" ht="16" x14ac:dyDescent="0.2">
      <c r="U892" s="12">
        <v>4328</v>
      </c>
      <c r="V892" s="13" t="s">
        <v>38</v>
      </c>
      <c r="W892" s="16" t="str">
        <f>TEXT(VLOOKUP(U892, News!A:C, 3, FALSE), "M/D/YYYY")</f>
        <v>8/15/2019</v>
      </c>
      <c r="X892" s="18">
        <f>DATE(YEAR(W892),MONTH(Metrics!$B$5), DAY(Metrics!$B$5))</f>
        <v>43709</v>
      </c>
      <c r="Y892" s="16">
        <f t="shared" si="13"/>
        <v>2019</v>
      </c>
    </row>
    <row r="893" spans="21:25" ht="16" x14ac:dyDescent="0.2">
      <c r="U893" s="12">
        <v>4336</v>
      </c>
      <c r="V893" s="13" t="s">
        <v>38</v>
      </c>
      <c r="W893" s="16" t="str">
        <f>TEXT(VLOOKUP(U893, News!A:C, 3, FALSE), "M/D/YYYY")</f>
        <v>8/19/2019</v>
      </c>
      <c r="X893" s="18">
        <f>DATE(YEAR(W893),MONTH(Metrics!$B$5), DAY(Metrics!$B$5))</f>
        <v>43709</v>
      </c>
      <c r="Y893" s="16">
        <f t="shared" si="13"/>
        <v>2019</v>
      </c>
    </row>
    <row r="894" spans="21:25" ht="16" x14ac:dyDescent="0.2">
      <c r="U894" s="12">
        <v>4387</v>
      </c>
      <c r="V894" s="13" t="s">
        <v>38</v>
      </c>
      <c r="W894" s="16" t="str">
        <f>TEXT(VLOOKUP(U894, News!A:C, 3, FALSE), "M/D/YYYY")</f>
        <v>9/9/2019</v>
      </c>
      <c r="X894" s="18">
        <f>DATE(YEAR(W894),MONTH(Metrics!$B$5), DAY(Metrics!$B$5))</f>
        <v>43709</v>
      </c>
      <c r="Y894" s="16">
        <f t="shared" si="13"/>
        <v>2020</v>
      </c>
    </row>
    <row r="895" spans="21:25" ht="16" x14ac:dyDescent="0.2">
      <c r="U895" s="12">
        <v>4411</v>
      </c>
      <c r="V895" s="13" t="s">
        <v>38</v>
      </c>
      <c r="W895" s="16" t="str">
        <f>TEXT(VLOOKUP(U895, News!A:C, 3, FALSE), "M/D/YYYY")</f>
        <v>9/12/2019</v>
      </c>
      <c r="X895" s="18">
        <f>DATE(YEAR(W895),MONTH(Metrics!$B$5), DAY(Metrics!$B$5))</f>
        <v>43709</v>
      </c>
      <c r="Y895" s="16">
        <f t="shared" si="13"/>
        <v>2020</v>
      </c>
    </row>
    <row r="896" spans="21:25" ht="16" x14ac:dyDescent="0.2">
      <c r="U896" s="12">
        <v>4531</v>
      </c>
      <c r="V896" s="13" t="s">
        <v>38</v>
      </c>
      <c r="W896" s="16" t="str">
        <f>TEXT(VLOOKUP(U896, News!A:C, 3, FALSE), "M/D/YYYY")</f>
        <v>10/31/2019</v>
      </c>
      <c r="X896" s="18">
        <f>DATE(YEAR(W896),MONTH(Metrics!$B$5), DAY(Metrics!$B$5))</f>
        <v>43709</v>
      </c>
      <c r="Y896" s="16">
        <f t="shared" si="13"/>
        <v>2020</v>
      </c>
    </row>
    <row r="897" spans="21:25" ht="16" x14ac:dyDescent="0.2">
      <c r="U897" s="12">
        <v>4574</v>
      </c>
      <c r="V897" s="13" t="s">
        <v>38</v>
      </c>
      <c r="W897" s="16" t="str">
        <f>TEXT(VLOOKUP(U897, News!A:C, 3, FALSE), "M/D/YYYY")</f>
        <v>11/12/2019</v>
      </c>
      <c r="X897" s="18">
        <f>DATE(YEAR(W897),MONTH(Metrics!$B$5), DAY(Metrics!$B$5))</f>
        <v>43709</v>
      </c>
      <c r="Y897" s="16">
        <f t="shared" si="13"/>
        <v>2020</v>
      </c>
    </row>
    <row r="898" spans="21:25" ht="16" x14ac:dyDescent="0.2">
      <c r="U898" s="12">
        <v>4641</v>
      </c>
      <c r="V898" s="13" t="s">
        <v>38</v>
      </c>
      <c r="W898" s="16" t="str">
        <f>TEXT(VLOOKUP(U898, News!A:C, 3, FALSE), "M/D/YYYY")</f>
        <v>12/2/2019</v>
      </c>
      <c r="X898" s="18">
        <f>DATE(YEAR(W898),MONTH(Metrics!$B$5), DAY(Metrics!$B$5))</f>
        <v>43709</v>
      </c>
      <c r="Y898" s="16">
        <f t="shared" si="13"/>
        <v>2020</v>
      </c>
    </row>
    <row r="899" spans="21:25" ht="16" x14ac:dyDescent="0.2">
      <c r="U899" s="12">
        <v>4650</v>
      </c>
      <c r="V899" s="13" t="s">
        <v>38</v>
      </c>
      <c r="W899" s="16" t="str">
        <f>TEXT(VLOOKUP(U899, News!A:C, 3, FALSE), "M/D/YYYY")</f>
        <v>12/9/2019</v>
      </c>
      <c r="X899" s="18">
        <f>DATE(YEAR(W899),MONTH(Metrics!$B$5), DAY(Metrics!$B$5))</f>
        <v>43709</v>
      </c>
      <c r="Y899" s="16">
        <f t="shared" ref="Y899:Y962" si="14">IF(MONTH(W899) &gt;= MONTH(X899), YEAR(W899)+1, YEAR(W899))</f>
        <v>2020</v>
      </c>
    </row>
    <row r="900" spans="21:25" ht="16" x14ac:dyDescent="0.2">
      <c r="U900" s="12">
        <v>4656</v>
      </c>
      <c r="V900" s="13" t="s">
        <v>38</v>
      </c>
      <c r="W900" s="16" t="str">
        <f>TEXT(VLOOKUP(U900, News!A:C, 3, FALSE), "M/D/YYYY")</f>
        <v>12/8/2019</v>
      </c>
      <c r="X900" s="18">
        <f>DATE(YEAR(W900),MONTH(Metrics!$B$5), DAY(Metrics!$B$5))</f>
        <v>43709</v>
      </c>
      <c r="Y900" s="16">
        <f t="shared" si="14"/>
        <v>2020</v>
      </c>
    </row>
    <row r="901" spans="21:25" ht="16" x14ac:dyDescent="0.2">
      <c r="U901" s="12">
        <v>4659</v>
      </c>
      <c r="V901" s="13" t="s">
        <v>38</v>
      </c>
      <c r="W901" s="16" t="str">
        <f>TEXT(VLOOKUP(U901, News!A:C, 3, FALSE), "M/D/YYYY")</f>
        <v>11/18/2019</v>
      </c>
      <c r="X901" s="18">
        <f>DATE(YEAR(W901),MONTH(Metrics!$B$5), DAY(Metrics!$B$5))</f>
        <v>43709</v>
      </c>
      <c r="Y901" s="16">
        <f t="shared" si="14"/>
        <v>2020</v>
      </c>
    </row>
    <row r="902" spans="21:25" ht="16" x14ac:dyDescent="0.2">
      <c r="U902" s="12">
        <v>4713</v>
      </c>
      <c r="V902" s="13" t="s">
        <v>38</v>
      </c>
      <c r="W902" s="16" t="str">
        <f>TEXT(VLOOKUP(U902, News!A:C, 3, FALSE), "M/D/YYYY")</f>
        <v>1/13/2020</v>
      </c>
      <c r="X902" s="18">
        <f>DATE(YEAR(W902),MONTH(Metrics!$B$5), DAY(Metrics!$B$5))</f>
        <v>44075</v>
      </c>
      <c r="Y902" s="16">
        <f t="shared" si="14"/>
        <v>2020</v>
      </c>
    </row>
    <row r="903" spans="21:25" ht="16" x14ac:dyDescent="0.2">
      <c r="U903" s="12">
        <v>4763</v>
      </c>
      <c r="V903" s="13" t="s">
        <v>38</v>
      </c>
      <c r="W903" s="16" t="str">
        <f>TEXT(VLOOKUP(U903, News!A:C, 3, FALSE), "M/D/YYYY")</f>
        <v>12/9/2019</v>
      </c>
      <c r="X903" s="18">
        <f>DATE(YEAR(W903),MONTH(Metrics!$B$5), DAY(Metrics!$B$5))</f>
        <v>43709</v>
      </c>
      <c r="Y903" s="16">
        <f t="shared" si="14"/>
        <v>2020</v>
      </c>
    </row>
    <row r="904" spans="21:25" ht="16" x14ac:dyDescent="0.2">
      <c r="U904" s="12">
        <v>4794</v>
      </c>
      <c r="V904" s="13" t="s">
        <v>38</v>
      </c>
      <c r="W904" s="16" t="str">
        <f>TEXT(VLOOKUP(U904, News!A:C, 3, FALSE), "M/D/YYYY")</f>
        <v>2/19/2020</v>
      </c>
      <c r="X904" s="18">
        <f>DATE(YEAR(W904),MONTH(Metrics!$B$5), DAY(Metrics!$B$5))</f>
        <v>44075</v>
      </c>
      <c r="Y904" s="16">
        <f t="shared" si="14"/>
        <v>2020</v>
      </c>
    </row>
    <row r="905" spans="21:25" ht="16" x14ac:dyDescent="0.2">
      <c r="U905" s="12">
        <v>4800</v>
      </c>
      <c r="V905" s="13" t="s">
        <v>38</v>
      </c>
      <c r="W905" s="16" t="str">
        <f>TEXT(VLOOKUP(U905, News!A:C, 3, FALSE), "M/D/YYYY")</f>
        <v>12/18/2019</v>
      </c>
      <c r="X905" s="18">
        <f>DATE(YEAR(W905),MONTH(Metrics!$B$5), DAY(Metrics!$B$5))</f>
        <v>43709</v>
      </c>
      <c r="Y905" s="16">
        <f t="shared" si="14"/>
        <v>2020</v>
      </c>
    </row>
    <row r="906" spans="21:25" ht="16" x14ac:dyDescent="0.2">
      <c r="U906" s="12">
        <v>4889</v>
      </c>
      <c r="V906" s="13" t="s">
        <v>38</v>
      </c>
      <c r="W906" s="16" t="str">
        <f>TEXT(VLOOKUP(U906, News!A:C, 3, FALSE), "M/D/YYYY")</f>
        <v>4/13/2020</v>
      </c>
      <c r="X906" s="18">
        <f>DATE(YEAR(W906),MONTH(Metrics!$B$5), DAY(Metrics!$B$5))</f>
        <v>44075</v>
      </c>
      <c r="Y906" s="16">
        <f t="shared" si="14"/>
        <v>2020</v>
      </c>
    </row>
    <row r="907" spans="21:25" ht="16" x14ac:dyDescent="0.2">
      <c r="U907" s="12">
        <v>4899</v>
      </c>
      <c r="V907" s="13" t="s">
        <v>38</v>
      </c>
      <c r="W907" s="16" t="str">
        <f>TEXT(VLOOKUP(U907, News!A:C, 3, FALSE), "M/D/YYYY")</f>
        <v>4/20/2020</v>
      </c>
      <c r="X907" s="18">
        <f>DATE(YEAR(W907),MONTH(Metrics!$B$5), DAY(Metrics!$B$5))</f>
        <v>44075</v>
      </c>
      <c r="Y907" s="16">
        <f t="shared" si="14"/>
        <v>2020</v>
      </c>
    </row>
    <row r="908" spans="21:25" ht="16" x14ac:dyDescent="0.2">
      <c r="U908" s="12">
        <v>4921</v>
      </c>
      <c r="V908" s="13" t="s">
        <v>38</v>
      </c>
      <c r="W908" s="16" t="str">
        <f>TEXT(VLOOKUP(U908, News!A:C, 3, FALSE), "M/D/YYYY")</f>
        <v>5/19/2020</v>
      </c>
      <c r="X908" s="18">
        <f>DATE(YEAR(W908),MONTH(Metrics!$B$5), DAY(Metrics!$B$5))</f>
        <v>44075</v>
      </c>
      <c r="Y908" s="16">
        <f t="shared" si="14"/>
        <v>2020</v>
      </c>
    </row>
    <row r="909" spans="21:25" ht="16" x14ac:dyDescent="0.2">
      <c r="U909" s="12">
        <v>4924</v>
      </c>
      <c r="V909" s="13" t="s">
        <v>38</v>
      </c>
      <c r="W909" s="16" t="str">
        <f>TEXT(VLOOKUP(U909, News!A:C, 3, FALSE), "M/D/YYYY")</f>
        <v>5/26/2020</v>
      </c>
      <c r="X909" s="18">
        <f>DATE(YEAR(W909),MONTH(Metrics!$B$5), DAY(Metrics!$B$5))</f>
        <v>44075</v>
      </c>
      <c r="Y909" s="16">
        <f t="shared" si="14"/>
        <v>2020</v>
      </c>
    </row>
    <row r="910" spans="21:25" ht="16" x14ac:dyDescent="0.2">
      <c r="U910" s="12">
        <v>4964</v>
      </c>
      <c r="V910" s="13" t="s">
        <v>38</v>
      </c>
      <c r="W910" s="16" t="str">
        <f>TEXT(VLOOKUP(U910, News!A:C, 3, FALSE), "M/D/YYYY")</f>
        <v>6/23/2020</v>
      </c>
      <c r="X910" s="18">
        <f>DATE(YEAR(W910),MONTH(Metrics!$B$5), DAY(Metrics!$B$5))</f>
        <v>44075</v>
      </c>
      <c r="Y910" s="16">
        <f t="shared" si="14"/>
        <v>2020</v>
      </c>
    </row>
    <row r="911" spans="21:25" ht="16" x14ac:dyDescent="0.2">
      <c r="U911" s="12">
        <v>4998</v>
      </c>
      <c r="V911" s="13" t="s">
        <v>38</v>
      </c>
      <c r="W911" s="16" t="str">
        <f>TEXT(VLOOKUP(U911, News!A:C, 3, FALSE), "M/D/YYYY")</f>
        <v>7/14/2020</v>
      </c>
      <c r="X911" s="18">
        <f>DATE(YEAR(W911),MONTH(Metrics!$B$5), DAY(Metrics!$B$5))</f>
        <v>44075</v>
      </c>
      <c r="Y911" s="16">
        <f t="shared" si="14"/>
        <v>2020</v>
      </c>
    </row>
    <row r="912" spans="21:25" ht="16" x14ac:dyDescent="0.2">
      <c r="U912" s="12">
        <v>5003</v>
      </c>
      <c r="V912" s="13" t="s">
        <v>38</v>
      </c>
      <c r="W912" s="16" t="str">
        <f>TEXT(VLOOKUP(U912, News!A:C, 3, FALSE), "M/D/YYYY")</f>
        <v>7/23/2020</v>
      </c>
      <c r="X912" s="18">
        <f>DATE(YEAR(W912),MONTH(Metrics!$B$5), DAY(Metrics!$B$5))</f>
        <v>44075</v>
      </c>
      <c r="Y912" s="16">
        <f t="shared" si="14"/>
        <v>2020</v>
      </c>
    </row>
    <row r="913" spans="21:25" ht="16" x14ac:dyDescent="0.2">
      <c r="U913" s="12">
        <v>5016</v>
      </c>
      <c r="V913" s="13" t="s">
        <v>38</v>
      </c>
      <c r="W913" s="16" t="str">
        <f>TEXT(VLOOKUP(U913, News!A:C, 3, FALSE), "M/D/YYYY")</f>
        <v>8/5/2020</v>
      </c>
      <c r="X913" s="18">
        <f>DATE(YEAR(W913),MONTH(Metrics!$B$5), DAY(Metrics!$B$5))</f>
        <v>44075</v>
      </c>
      <c r="Y913" s="16">
        <f t="shared" si="14"/>
        <v>2020</v>
      </c>
    </row>
    <row r="914" spans="21:25" ht="16" x14ac:dyDescent="0.2">
      <c r="U914" s="12">
        <v>5038</v>
      </c>
      <c r="V914" s="13" t="s">
        <v>38</v>
      </c>
      <c r="W914" s="16" t="str">
        <f>TEXT(VLOOKUP(U914, News!A:C, 3, FALSE), "M/D/YYYY")</f>
        <v>9/1/2020</v>
      </c>
      <c r="X914" s="18">
        <f>DATE(YEAR(W914),MONTH(Metrics!$B$5), DAY(Metrics!$B$5))</f>
        <v>44075</v>
      </c>
      <c r="Y914" s="16">
        <f t="shared" si="14"/>
        <v>2021</v>
      </c>
    </row>
    <row r="915" spans="21:25" ht="16" x14ac:dyDescent="0.2">
      <c r="U915" s="12">
        <v>5070</v>
      </c>
      <c r="V915" s="13" t="s">
        <v>38</v>
      </c>
      <c r="W915" s="16" t="str">
        <f>TEXT(VLOOKUP(U915, News!A:C, 3, FALSE), "M/D/YYYY")</f>
        <v>9/2/2020</v>
      </c>
      <c r="X915" s="18">
        <f>DATE(YEAR(W915),MONTH(Metrics!$B$5), DAY(Metrics!$B$5))</f>
        <v>44075</v>
      </c>
      <c r="Y915" s="16">
        <f t="shared" si="14"/>
        <v>2021</v>
      </c>
    </row>
    <row r="916" spans="21:25" ht="16" x14ac:dyDescent="0.2">
      <c r="U916" s="12">
        <v>5094</v>
      </c>
      <c r="V916" s="13" t="s">
        <v>38</v>
      </c>
      <c r="W916" s="16" t="str">
        <f>TEXT(VLOOKUP(U916, News!A:C, 3, FALSE), "M/D/YYYY")</f>
        <v>9/8/2020</v>
      </c>
      <c r="X916" s="18">
        <f>DATE(YEAR(W916),MONTH(Metrics!$B$5), DAY(Metrics!$B$5))</f>
        <v>44075</v>
      </c>
      <c r="Y916" s="16">
        <f t="shared" si="14"/>
        <v>2021</v>
      </c>
    </row>
    <row r="917" spans="21:25" ht="16" x14ac:dyDescent="0.2">
      <c r="U917" s="12">
        <v>5446</v>
      </c>
      <c r="V917" s="13" t="s">
        <v>38</v>
      </c>
      <c r="W917" s="16" t="str">
        <f>TEXT(VLOOKUP(U917, News!A:C, 3, FALSE), "M/D/YYYY")</f>
        <v>10/20/2020</v>
      </c>
      <c r="X917" s="18">
        <f>DATE(YEAR(W917),MONTH(Metrics!$B$5), DAY(Metrics!$B$5))</f>
        <v>44075</v>
      </c>
      <c r="Y917" s="16">
        <f t="shared" si="14"/>
        <v>2021</v>
      </c>
    </row>
    <row r="918" spans="21:25" ht="16" x14ac:dyDescent="0.2">
      <c r="U918" s="12">
        <v>5454</v>
      </c>
      <c r="V918" s="13" t="s">
        <v>38</v>
      </c>
      <c r="W918" s="16" t="str">
        <f>TEXT(VLOOKUP(U918, News!A:C, 3, FALSE), "M/D/YYYY")</f>
        <v>10/12/2020</v>
      </c>
      <c r="X918" s="18">
        <f>DATE(YEAR(W918),MONTH(Metrics!$B$5), DAY(Metrics!$B$5))</f>
        <v>44075</v>
      </c>
      <c r="Y918" s="16">
        <f t="shared" si="14"/>
        <v>2021</v>
      </c>
    </row>
    <row r="919" spans="21:25" ht="16" x14ac:dyDescent="0.2">
      <c r="U919" s="12">
        <v>5523</v>
      </c>
      <c r="V919" s="13" t="s">
        <v>38</v>
      </c>
      <c r="W919" s="16" t="str">
        <f>TEXT(VLOOKUP(U919, News!A:C, 3, FALSE), "M/D/YYYY")</f>
        <v>10/29/2020</v>
      </c>
      <c r="X919" s="18">
        <f>DATE(YEAR(W919),MONTH(Metrics!$B$5), DAY(Metrics!$B$5))</f>
        <v>44075</v>
      </c>
      <c r="Y919" s="16">
        <f t="shared" si="14"/>
        <v>2021</v>
      </c>
    </row>
    <row r="920" spans="21:25" ht="16" x14ac:dyDescent="0.2">
      <c r="U920" s="12">
        <v>5578</v>
      </c>
      <c r="V920" s="13" t="s">
        <v>38</v>
      </c>
      <c r="W920" s="16" t="str">
        <f>TEXT(VLOOKUP(U920, News!A:C, 3, FALSE), "M/D/YYYY")</f>
        <v>11/12/2020</v>
      </c>
      <c r="X920" s="18">
        <f>DATE(YEAR(W920),MONTH(Metrics!$B$5), DAY(Metrics!$B$5))</f>
        <v>44075</v>
      </c>
      <c r="Y920" s="16">
        <f t="shared" si="14"/>
        <v>2021</v>
      </c>
    </row>
    <row r="921" spans="21:25" ht="16" x14ac:dyDescent="0.2">
      <c r="U921" s="12">
        <v>5606</v>
      </c>
      <c r="V921" s="13" t="s">
        <v>38</v>
      </c>
      <c r="W921" s="16" t="str">
        <f>TEXT(VLOOKUP(U921, News!A:C, 3, FALSE), "M/D/YYYY")</f>
        <v>11/23/2020</v>
      </c>
      <c r="X921" s="18">
        <f>DATE(YEAR(W921),MONTH(Metrics!$B$5), DAY(Metrics!$B$5))</f>
        <v>44075</v>
      </c>
      <c r="Y921" s="16">
        <f t="shared" si="14"/>
        <v>2021</v>
      </c>
    </row>
    <row r="922" spans="21:25" ht="16" x14ac:dyDescent="0.2">
      <c r="U922" s="12">
        <v>5761</v>
      </c>
      <c r="V922" s="13" t="s">
        <v>38</v>
      </c>
      <c r="W922" s="16" t="str">
        <f>TEXT(VLOOKUP(U922, News!A:C, 3, FALSE), "M/D/YYYY")</f>
        <v>1/15/2021</v>
      </c>
      <c r="X922" s="18">
        <f>DATE(YEAR(W922),MONTH(Metrics!$B$5), DAY(Metrics!$B$5))</f>
        <v>44440</v>
      </c>
      <c r="Y922" s="16">
        <f t="shared" si="14"/>
        <v>2021</v>
      </c>
    </row>
    <row r="923" spans="21:25" ht="16" x14ac:dyDescent="0.2">
      <c r="U923" s="12">
        <v>5795</v>
      </c>
      <c r="V923" s="13" t="s">
        <v>38</v>
      </c>
      <c r="W923" s="16" t="str">
        <f>TEXT(VLOOKUP(U923, News!A:C, 3, FALSE), "M/D/YYYY")</f>
        <v>1/28/2021</v>
      </c>
      <c r="X923" s="18">
        <f>DATE(YEAR(W923),MONTH(Metrics!$B$5), DAY(Metrics!$B$5))</f>
        <v>44440</v>
      </c>
      <c r="Y923" s="16">
        <f t="shared" si="14"/>
        <v>2021</v>
      </c>
    </row>
    <row r="924" spans="21:25" ht="16" x14ac:dyDescent="0.2">
      <c r="U924" s="12">
        <v>5842</v>
      </c>
      <c r="V924" s="13" t="s">
        <v>38</v>
      </c>
      <c r="W924" s="16" t="str">
        <f>TEXT(VLOOKUP(U924, News!A:C, 3, FALSE), "M/D/YYYY")</f>
        <v>2/18/2021</v>
      </c>
      <c r="X924" s="18">
        <f>DATE(YEAR(W924),MONTH(Metrics!$B$5), DAY(Metrics!$B$5))</f>
        <v>44440</v>
      </c>
      <c r="Y924" s="16">
        <f t="shared" si="14"/>
        <v>2021</v>
      </c>
    </row>
    <row r="925" spans="21:25" ht="16" x14ac:dyDescent="0.2">
      <c r="U925" s="12">
        <v>5864</v>
      </c>
      <c r="V925" s="13" t="s">
        <v>38</v>
      </c>
      <c r="W925" s="16" t="str">
        <f>TEXT(VLOOKUP(U925, News!A:C, 3, FALSE), "M/D/YYYY")</f>
        <v>3/12/2021</v>
      </c>
      <c r="X925" s="18">
        <f>DATE(YEAR(W925),MONTH(Metrics!$B$5), DAY(Metrics!$B$5))</f>
        <v>44440</v>
      </c>
      <c r="Y925" s="16">
        <f t="shared" si="14"/>
        <v>2021</v>
      </c>
    </row>
    <row r="926" spans="21:25" ht="16" x14ac:dyDescent="0.2">
      <c r="U926" s="12">
        <v>6008</v>
      </c>
      <c r="V926" s="13" t="s">
        <v>38</v>
      </c>
      <c r="W926" s="16" t="str">
        <f>TEXT(VLOOKUP(U926, News!A:C, 3, FALSE), "M/D/YYYY")</f>
        <v>4/28/2021</v>
      </c>
      <c r="X926" s="18">
        <f>DATE(YEAR(W926),MONTH(Metrics!$B$5), DAY(Metrics!$B$5))</f>
        <v>44440</v>
      </c>
      <c r="Y926" s="16">
        <f t="shared" si="14"/>
        <v>2021</v>
      </c>
    </row>
    <row r="927" spans="21:25" ht="16" x14ac:dyDescent="0.2">
      <c r="U927" s="12">
        <v>6033</v>
      </c>
      <c r="V927" s="13" t="s">
        <v>38</v>
      </c>
      <c r="W927" s="16" t="str">
        <f>TEXT(VLOOKUP(U927, News!A:C, 3, FALSE), "M/D/YYYY")</f>
        <v>5/5/2021</v>
      </c>
      <c r="X927" s="18">
        <f>DATE(YEAR(W927),MONTH(Metrics!$B$5), DAY(Metrics!$B$5))</f>
        <v>44440</v>
      </c>
      <c r="Y927" s="16">
        <f t="shared" si="14"/>
        <v>2021</v>
      </c>
    </row>
    <row r="928" spans="21:25" ht="16" x14ac:dyDescent="0.2">
      <c r="U928" s="12">
        <v>6094</v>
      </c>
      <c r="V928" s="13" t="s">
        <v>38</v>
      </c>
      <c r="W928" s="16" t="str">
        <f>TEXT(VLOOKUP(U928, News!A:C, 3, FALSE), "M/D/YYYY")</f>
        <v>5/20/2021</v>
      </c>
      <c r="X928" s="18">
        <f>DATE(YEAR(W928),MONTH(Metrics!$B$5), DAY(Metrics!$B$5))</f>
        <v>44440</v>
      </c>
      <c r="Y928" s="16">
        <f t="shared" si="14"/>
        <v>2021</v>
      </c>
    </row>
    <row r="929" spans="21:25" ht="16" x14ac:dyDescent="0.2">
      <c r="U929" s="12">
        <v>6180</v>
      </c>
      <c r="V929" s="13" t="s">
        <v>38</v>
      </c>
      <c r="W929" s="16" t="str">
        <f>TEXT(VLOOKUP(U929, News!A:C, 3, FALSE), "M/D/YYYY")</f>
        <v>6/29/2021</v>
      </c>
      <c r="X929" s="18">
        <f>DATE(YEAR(W929),MONTH(Metrics!$B$5), DAY(Metrics!$B$5))</f>
        <v>44440</v>
      </c>
      <c r="Y929" s="16">
        <f t="shared" si="14"/>
        <v>2021</v>
      </c>
    </row>
    <row r="930" spans="21:25" ht="16" x14ac:dyDescent="0.2">
      <c r="U930" s="12">
        <v>6556</v>
      </c>
      <c r="V930" s="13" t="s">
        <v>38</v>
      </c>
      <c r="W930" s="16" t="str">
        <f>TEXT(VLOOKUP(U930, News!A:C, 3, FALSE), "M/D/YYYY")</f>
        <v>10/20/2021</v>
      </c>
      <c r="X930" s="18">
        <f>DATE(YEAR(W930),MONTH(Metrics!$B$5), DAY(Metrics!$B$5))</f>
        <v>44440</v>
      </c>
      <c r="Y930" s="16">
        <f t="shared" si="14"/>
        <v>2022</v>
      </c>
    </row>
    <row r="931" spans="21:25" ht="16" x14ac:dyDescent="0.2">
      <c r="U931" s="12">
        <v>6642</v>
      </c>
      <c r="V931" s="13" t="s">
        <v>38</v>
      </c>
      <c r="W931" s="16" t="str">
        <f>TEXT(VLOOKUP(U931, News!A:C, 3, FALSE), "M/D/YYYY")</f>
        <v>11/8/2021</v>
      </c>
      <c r="X931" s="18">
        <f>DATE(YEAR(W931),MONTH(Metrics!$B$5), DAY(Metrics!$B$5))</f>
        <v>44440</v>
      </c>
      <c r="Y931" s="16">
        <f t="shared" si="14"/>
        <v>2022</v>
      </c>
    </row>
    <row r="932" spans="21:25" ht="16" x14ac:dyDescent="0.2">
      <c r="U932" s="12">
        <v>6776</v>
      </c>
      <c r="V932" s="13" t="s">
        <v>38</v>
      </c>
      <c r="W932" s="16" t="str">
        <f>TEXT(VLOOKUP(U932, News!A:C, 3, FALSE), "M/D/YYYY")</f>
        <v>1/6/2022</v>
      </c>
      <c r="X932" s="18">
        <f>DATE(YEAR(W932),MONTH(Metrics!$B$5), DAY(Metrics!$B$5))</f>
        <v>44805</v>
      </c>
      <c r="Y932" s="16">
        <f t="shared" si="14"/>
        <v>2022</v>
      </c>
    </row>
    <row r="933" spans="21:25" ht="16" x14ac:dyDescent="0.2">
      <c r="U933" s="12">
        <v>6828</v>
      </c>
      <c r="V933" s="13" t="s">
        <v>38</v>
      </c>
      <c r="W933" s="16" t="str">
        <f>TEXT(VLOOKUP(U933, News!A:C, 3, FALSE), "M/D/YYYY")</f>
        <v>1/26/2022</v>
      </c>
      <c r="X933" s="18">
        <f>DATE(YEAR(W933),MONTH(Metrics!$B$5), DAY(Metrics!$B$5))</f>
        <v>44805</v>
      </c>
      <c r="Y933" s="16">
        <f t="shared" si="14"/>
        <v>2022</v>
      </c>
    </row>
    <row r="934" spans="21:25" ht="16" x14ac:dyDescent="0.2">
      <c r="U934" s="12">
        <v>6944</v>
      </c>
      <c r="V934" s="13" t="s">
        <v>38</v>
      </c>
      <c r="W934" s="16" t="str">
        <f>TEXT(VLOOKUP(U934, News!A:C, 3, FALSE), "M/D/YYYY")</f>
        <v>2/28/2022</v>
      </c>
      <c r="X934" s="18">
        <f>DATE(YEAR(W934),MONTH(Metrics!$B$5), DAY(Metrics!$B$5))</f>
        <v>44805</v>
      </c>
      <c r="Y934" s="16">
        <f t="shared" si="14"/>
        <v>2022</v>
      </c>
    </row>
    <row r="935" spans="21:25" ht="16" x14ac:dyDescent="0.2">
      <c r="U935" s="12">
        <v>7033</v>
      </c>
      <c r="V935" s="13" t="s">
        <v>38</v>
      </c>
      <c r="W935" s="16" t="str">
        <f>TEXT(VLOOKUP(U935, News!A:C, 3, FALSE), "M/D/YYYY")</f>
        <v>4/6/2022</v>
      </c>
      <c r="X935" s="18">
        <f>DATE(YEAR(W935),MONTH(Metrics!$B$5), DAY(Metrics!$B$5))</f>
        <v>44805</v>
      </c>
      <c r="Y935" s="16">
        <f t="shared" si="14"/>
        <v>2022</v>
      </c>
    </row>
    <row r="936" spans="21:25" ht="16" x14ac:dyDescent="0.2">
      <c r="U936" s="12">
        <v>7066</v>
      </c>
      <c r="V936" s="13" t="s">
        <v>38</v>
      </c>
      <c r="W936" s="16" t="str">
        <f>TEXT(VLOOKUP(U936, News!A:C, 3, FALSE), "M/D/YYYY")</f>
        <v>4/20/2022</v>
      </c>
      <c r="X936" s="18">
        <f>DATE(YEAR(W936),MONTH(Metrics!$B$5), DAY(Metrics!$B$5))</f>
        <v>44805</v>
      </c>
      <c r="Y936" s="16">
        <f t="shared" si="14"/>
        <v>2022</v>
      </c>
    </row>
    <row r="937" spans="21:25" ht="16" x14ac:dyDescent="0.2">
      <c r="U937" s="12">
        <v>7177</v>
      </c>
      <c r="V937" s="13" t="s">
        <v>38</v>
      </c>
      <c r="W937" s="16" t="str">
        <f>TEXT(VLOOKUP(U937, News!A:C, 3, FALSE), "M/D/YYYY")</f>
        <v>6/13/2022</v>
      </c>
      <c r="X937" s="18">
        <f>DATE(YEAR(W937),MONTH(Metrics!$B$5), DAY(Metrics!$B$5))</f>
        <v>44805</v>
      </c>
      <c r="Y937" s="16">
        <f t="shared" si="14"/>
        <v>2022</v>
      </c>
    </row>
    <row r="938" spans="21:25" ht="16" x14ac:dyDescent="0.2">
      <c r="U938" s="12">
        <v>7223</v>
      </c>
      <c r="V938" s="13" t="s">
        <v>38</v>
      </c>
      <c r="W938" s="16" t="str">
        <f>TEXT(VLOOKUP(U938, News!A:C, 3, FALSE), "M/D/YYYY")</f>
        <v>6/29/2022</v>
      </c>
      <c r="X938" s="18">
        <f>DATE(YEAR(W938),MONTH(Metrics!$B$5), DAY(Metrics!$B$5))</f>
        <v>44805</v>
      </c>
      <c r="Y938" s="16">
        <f t="shared" si="14"/>
        <v>2022</v>
      </c>
    </row>
    <row r="939" spans="21:25" ht="16" x14ac:dyDescent="0.2">
      <c r="U939" s="12">
        <v>7243</v>
      </c>
      <c r="V939" s="13" t="s">
        <v>38</v>
      </c>
      <c r="W939" s="16" t="str">
        <f>TEXT(VLOOKUP(U939, News!A:C, 3, FALSE), "M/D/YYYY")</f>
        <v>7/8/2022</v>
      </c>
      <c r="X939" s="18">
        <f>DATE(YEAR(W939),MONTH(Metrics!$B$5), DAY(Metrics!$B$5))</f>
        <v>44805</v>
      </c>
      <c r="Y939" s="16">
        <f t="shared" si="14"/>
        <v>2022</v>
      </c>
    </row>
    <row r="940" spans="21:25" ht="16" x14ac:dyDescent="0.2">
      <c r="U940" s="12">
        <v>7285</v>
      </c>
      <c r="V940" s="13" t="s">
        <v>38</v>
      </c>
      <c r="W940" s="16" t="str">
        <f>TEXT(VLOOKUP(U940, News!A:C, 3, FALSE), "M/D/YYYY")</f>
        <v>8/3/2022</v>
      </c>
      <c r="X940" s="18">
        <f>DATE(YEAR(W940),MONTH(Metrics!$B$5), DAY(Metrics!$B$5))</f>
        <v>44805</v>
      </c>
      <c r="Y940" s="16">
        <f t="shared" si="14"/>
        <v>2022</v>
      </c>
    </row>
    <row r="941" spans="21:25" ht="16" x14ac:dyDescent="0.2">
      <c r="U941" s="12">
        <v>7296</v>
      </c>
      <c r="V941" s="13" t="s">
        <v>38</v>
      </c>
      <c r="W941" s="16" t="str">
        <f>TEXT(VLOOKUP(U941, News!A:C, 3, FALSE), "M/D/YYYY")</f>
        <v>8/8/2022</v>
      </c>
      <c r="X941" s="18">
        <f>DATE(YEAR(W941),MONTH(Metrics!$B$5), DAY(Metrics!$B$5))</f>
        <v>44805</v>
      </c>
      <c r="Y941" s="16">
        <f t="shared" si="14"/>
        <v>2022</v>
      </c>
    </row>
    <row r="942" spans="21:25" ht="16" x14ac:dyDescent="0.2">
      <c r="U942" s="12">
        <v>7305</v>
      </c>
      <c r="V942" s="13" t="s">
        <v>38</v>
      </c>
      <c r="W942" s="16" t="str">
        <f>TEXT(VLOOKUP(U942, News!A:C, 3, FALSE), "M/D/YYYY")</f>
        <v>8/12/2022</v>
      </c>
      <c r="X942" s="18">
        <f>DATE(YEAR(W942),MONTH(Metrics!$B$5), DAY(Metrics!$B$5))</f>
        <v>44805</v>
      </c>
      <c r="Y942" s="16">
        <f t="shared" si="14"/>
        <v>2022</v>
      </c>
    </row>
    <row r="943" spans="21:25" ht="16" x14ac:dyDescent="0.2">
      <c r="U943" s="12">
        <v>7359</v>
      </c>
      <c r="V943" s="13" t="s">
        <v>38</v>
      </c>
      <c r="W943" s="16" t="str">
        <f>TEXT(VLOOKUP(U943, News!A:C, 3, FALSE), "M/D/YYYY")</f>
        <v>8/29/2022</v>
      </c>
      <c r="X943" s="18">
        <f>DATE(YEAR(W943),MONTH(Metrics!$B$5), DAY(Metrics!$B$5))</f>
        <v>44805</v>
      </c>
      <c r="Y943" s="16">
        <f t="shared" si="14"/>
        <v>2022</v>
      </c>
    </row>
    <row r="944" spans="21:25" ht="16" x14ac:dyDescent="0.2">
      <c r="U944" s="12">
        <v>7385</v>
      </c>
      <c r="V944" s="13" t="s">
        <v>38</v>
      </c>
      <c r="W944" s="16" t="str">
        <f>TEXT(VLOOKUP(U944, News!A:C, 3, FALSE), "M/D/YYYY")</f>
        <v>9/1/2022</v>
      </c>
      <c r="X944" s="18">
        <f>DATE(YEAR(W944),MONTH(Metrics!$B$5), DAY(Metrics!$B$5))</f>
        <v>44805</v>
      </c>
      <c r="Y944" s="16">
        <f t="shared" si="14"/>
        <v>2023</v>
      </c>
    </row>
    <row r="945" spans="21:25" ht="16" x14ac:dyDescent="0.2">
      <c r="U945" s="12">
        <v>7643</v>
      </c>
      <c r="V945" s="13" t="s">
        <v>38</v>
      </c>
      <c r="W945" s="16" t="str">
        <f>TEXT(VLOOKUP(U945, News!A:C, 3, FALSE), "M/D/YYYY")</f>
        <v>10/18/2022</v>
      </c>
      <c r="X945" s="18">
        <f>DATE(YEAR(W945),MONTH(Metrics!$B$5), DAY(Metrics!$B$5))</f>
        <v>44805</v>
      </c>
      <c r="Y945" s="16">
        <f t="shared" si="14"/>
        <v>2023</v>
      </c>
    </row>
    <row r="946" spans="21:25" ht="16" x14ac:dyDescent="0.2">
      <c r="U946" s="12">
        <v>7711</v>
      </c>
      <c r="V946" s="13" t="s">
        <v>38</v>
      </c>
      <c r="W946" s="16" t="str">
        <f>TEXT(VLOOKUP(U946, News!A:C, 3, FALSE), "M/D/YYYY")</f>
        <v>11/8/2022</v>
      </c>
      <c r="X946" s="18">
        <f>DATE(YEAR(W946),MONTH(Metrics!$B$5), DAY(Metrics!$B$5))</f>
        <v>44805</v>
      </c>
      <c r="Y946" s="16">
        <f t="shared" si="14"/>
        <v>2023</v>
      </c>
    </row>
    <row r="947" spans="21:25" ht="16" x14ac:dyDescent="0.2">
      <c r="U947" s="12">
        <v>7735</v>
      </c>
      <c r="V947" s="13" t="s">
        <v>38</v>
      </c>
      <c r="W947" s="16" t="str">
        <f>TEXT(VLOOKUP(U947, News!A:C, 3, FALSE), "M/D/YYYY")</f>
        <v>11/21/2022</v>
      </c>
      <c r="X947" s="18">
        <f>DATE(YEAR(W947),MONTH(Metrics!$B$5), DAY(Metrics!$B$5))</f>
        <v>44805</v>
      </c>
      <c r="Y947" s="16">
        <f t="shared" si="14"/>
        <v>2023</v>
      </c>
    </row>
    <row r="948" spans="21:25" ht="16" x14ac:dyDescent="0.2">
      <c r="U948" s="12">
        <v>7768</v>
      </c>
      <c r="V948" s="13" t="s">
        <v>38</v>
      </c>
      <c r="W948" s="16" t="str">
        <f>TEXT(VLOOKUP(U948, News!A:C, 3, FALSE), "M/D/YYYY")</f>
        <v>12/7/2022</v>
      </c>
      <c r="X948" s="18">
        <f>DATE(YEAR(W948),MONTH(Metrics!$B$5), DAY(Metrics!$B$5))</f>
        <v>44805</v>
      </c>
      <c r="Y948" s="16">
        <f t="shared" si="14"/>
        <v>2023</v>
      </c>
    </row>
    <row r="949" spans="21:25" ht="16" x14ac:dyDescent="0.2">
      <c r="U949" s="12">
        <v>7918</v>
      </c>
      <c r="V949" s="13" t="s">
        <v>38</v>
      </c>
      <c r="W949" s="16" t="str">
        <f>TEXT(VLOOKUP(U949, News!A:C, 3, FALSE), "M/D/YYYY")</f>
        <v>1/17/2023</v>
      </c>
      <c r="X949" s="18">
        <f>DATE(YEAR(W949),MONTH(Metrics!$B$5), DAY(Metrics!$B$5))</f>
        <v>45170</v>
      </c>
      <c r="Y949" s="16">
        <f t="shared" si="14"/>
        <v>2023</v>
      </c>
    </row>
    <row r="950" spans="21:25" ht="16" x14ac:dyDescent="0.2">
      <c r="U950" s="12">
        <v>7916</v>
      </c>
      <c r="V950" s="13" t="s">
        <v>38</v>
      </c>
      <c r="W950" s="16" t="str">
        <f>TEXT(VLOOKUP(U950, News!A:C, 3, FALSE), "M/D/YYYY")</f>
        <v>1/18/2023</v>
      </c>
      <c r="X950" s="18">
        <f>DATE(YEAR(W950),MONTH(Metrics!$B$5), DAY(Metrics!$B$5))</f>
        <v>45170</v>
      </c>
      <c r="Y950" s="16">
        <f t="shared" si="14"/>
        <v>2023</v>
      </c>
    </row>
    <row r="951" spans="21:25" ht="16" x14ac:dyDescent="0.2">
      <c r="U951" s="12">
        <v>8015</v>
      </c>
      <c r="V951" s="13" t="s">
        <v>38</v>
      </c>
      <c r="W951" s="16" t="str">
        <f>TEXT(VLOOKUP(U951, News!A:C, 3, FALSE), "M/D/YYYY")</f>
        <v>2/3/2023</v>
      </c>
      <c r="X951" s="18">
        <f>DATE(YEAR(W951),MONTH(Metrics!$B$5), DAY(Metrics!$B$5))</f>
        <v>45170</v>
      </c>
      <c r="Y951" s="16">
        <f t="shared" si="14"/>
        <v>2023</v>
      </c>
    </row>
    <row r="952" spans="21:25" ht="16" x14ac:dyDescent="0.2">
      <c r="U952" s="12">
        <v>8250</v>
      </c>
      <c r="V952" s="13" t="s">
        <v>38</v>
      </c>
      <c r="W952" s="16" t="str">
        <f>TEXT(VLOOKUP(U952, News!A:C, 3, FALSE), "M/D/YYYY")</f>
        <v>4/25/2023</v>
      </c>
      <c r="X952" s="18">
        <f>DATE(YEAR(W952),MONTH(Metrics!$B$5), DAY(Metrics!$B$5))</f>
        <v>45170</v>
      </c>
      <c r="Y952" s="16">
        <f t="shared" si="14"/>
        <v>2023</v>
      </c>
    </row>
    <row r="953" spans="21:25" ht="16" x14ac:dyDescent="0.2">
      <c r="U953" s="12">
        <v>2999</v>
      </c>
      <c r="V953" s="13" t="s">
        <v>38</v>
      </c>
      <c r="W953" s="16" t="str">
        <f>TEXT(VLOOKUP(U953, News!A:C, 3, FALSE), "M/D/YYYY")</f>
        <v>11/28/2016</v>
      </c>
      <c r="X953" s="18">
        <f>DATE(YEAR(W953),MONTH(Metrics!$B$5), DAY(Metrics!$B$5))</f>
        <v>42614</v>
      </c>
      <c r="Y953" s="16">
        <f t="shared" si="14"/>
        <v>2017</v>
      </c>
    </row>
    <row r="954" spans="21:25" ht="16" x14ac:dyDescent="0.2">
      <c r="U954" s="12">
        <v>3634</v>
      </c>
      <c r="V954" s="13" t="s">
        <v>38</v>
      </c>
      <c r="W954" s="16" t="str">
        <f>TEXT(VLOOKUP(U954, News!A:C, 3, FALSE), "M/D/YYYY")</f>
        <v>2/20/2019</v>
      </c>
      <c r="X954" s="18">
        <f>DATE(YEAR(W954),MONTH(Metrics!$B$5), DAY(Metrics!$B$5))</f>
        <v>43709</v>
      </c>
      <c r="Y954" s="16">
        <f t="shared" si="14"/>
        <v>2019</v>
      </c>
    </row>
    <row r="955" spans="21:25" ht="16" x14ac:dyDescent="0.2">
      <c r="U955" s="12">
        <v>5732</v>
      </c>
      <c r="V955" s="13" t="s">
        <v>38</v>
      </c>
      <c r="W955" s="16" t="str">
        <f>TEXT(VLOOKUP(U955, News!A:C, 3, FALSE), "M/D/YYYY")</f>
        <v>12/21/2020</v>
      </c>
      <c r="X955" s="18">
        <f>DATE(YEAR(W955),MONTH(Metrics!$B$5), DAY(Metrics!$B$5))</f>
        <v>44075</v>
      </c>
      <c r="Y955" s="16">
        <f t="shared" si="14"/>
        <v>2021</v>
      </c>
    </row>
    <row r="956" spans="21:25" ht="16" x14ac:dyDescent="0.2">
      <c r="U956" s="12">
        <v>7449</v>
      </c>
      <c r="V956" s="13" t="s">
        <v>38</v>
      </c>
      <c r="W956" s="16" t="str">
        <f>TEXT(VLOOKUP(U956, News!A:C, 3, FALSE), "M/D/YYYY")</f>
        <v>8/29/2022</v>
      </c>
      <c r="X956" s="18">
        <f>DATE(YEAR(W956),MONTH(Metrics!$B$5), DAY(Metrics!$B$5))</f>
        <v>44805</v>
      </c>
      <c r="Y956" s="16">
        <f t="shared" si="14"/>
        <v>2022</v>
      </c>
    </row>
    <row r="957" spans="21:25" ht="16" x14ac:dyDescent="0.2">
      <c r="U957" s="12">
        <v>1310</v>
      </c>
      <c r="V957" s="13" t="s">
        <v>38</v>
      </c>
      <c r="W957" s="16" t="str">
        <f>TEXT(VLOOKUP(U957, News!A:C, 3, FALSE), "M/D/YYYY")</f>
        <v>6/4/2018</v>
      </c>
      <c r="X957" s="18">
        <f>DATE(YEAR(W957),MONTH(Metrics!$B$5), DAY(Metrics!$B$5))</f>
        <v>43344</v>
      </c>
      <c r="Y957" s="16">
        <f t="shared" si="14"/>
        <v>2018</v>
      </c>
    </row>
    <row r="958" spans="21:25" ht="16" x14ac:dyDescent="0.2">
      <c r="U958" s="12">
        <v>2203</v>
      </c>
      <c r="V958" s="13" t="s">
        <v>38</v>
      </c>
      <c r="W958" s="16" t="str">
        <f>TEXT(VLOOKUP(U958, News!A:C, 3, FALSE), "M/D/YYYY")</f>
        <v>6/3/2017</v>
      </c>
      <c r="X958" s="18">
        <f>DATE(YEAR(W958),MONTH(Metrics!$B$5), DAY(Metrics!$B$5))</f>
        <v>42979</v>
      </c>
      <c r="Y958" s="16">
        <f t="shared" si="14"/>
        <v>2017</v>
      </c>
    </row>
    <row r="959" spans="21:25" ht="16" x14ac:dyDescent="0.2">
      <c r="U959" s="12">
        <v>2306</v>
      </c>
      <c r="V959" s="13" t="s">
        <v>38</v>
      </c>
      <c r="W959" s="16" t="str">
        <f>TEXT(VLOOKUP(U959, News!A:C, 3, FALSE), "M/D/YYYY")</f>
        <v>5/18/2017</v>
      </c>
      <c r="X959" s="18">
        <f>DATE(YEAR(W959),MONTH(Metrics!$B$5), DAY(Metrics!$B$5))</f>
        <v>42979</v>
      </c>
      <c r="Y959" s="16">
        <f t="shared" si="14"/>
        <v>2017</v>
      </c>
    </row>
    <row r="960" spans="21:25" ht="16" x14ac:dyDescent="0.2">
      <c r="U960" s="12">
        <v>2408</v>
      </c>
      <c r="V960" s="13" t="s">
        <v>38</v>
      </c>
      <c r="W960" s="16" t="str">
        <f>TEXT(VLOOKUP(U960, News!A:C, 3, FALSE), "M/D/YYYY")</f>
        <v>11/12/2018</v>
      </c>
      <c r="X960" s="18">
        <f>DATE(YEAR(W960),MONTH(Metrics!$B$5), DAY(Metrics!$B$5))</f>
        <v>43344</v>
      </c>
      <c r="Y960" s="16">
        <f t="shared" si="14"/>
        <v>2019</v>
      </c>
    </row>
    <row r="961" spans="21:25" ht="16" x14ac:dyDescent="0.2">
      <c r="U961" s="12">
        <v>3534</v>
      </c>
      <c r="V961" s="13" t="s">
        <v>38</v>
      </c>
      <c r="W961" s="16" t="str">
        <f>TEXT(VLOOKUP(U961, News!A:C, 3, FALSE), "M/D/YYYY")</f>
        <v>4/28/2016</v>
      </c>
      <c r="X961" s="18">
        <f>DATE(YEAR(W961),MONTH(Metrics!$B$5), DAY(Metrics!$B$5))</f>
        <v>42614</v>
      </c>
      <c r="Y961" s="16">
        <f t="shared" si="14"/>
        <v>2016</v>
      </c>
    </row>
    <row r="962" spans="21:25" ht="16" x14ac:dyDescent="0.2">
      <c r="U962" s="12">
        <v>4359</v>
      </c>
      <c r="V962" s="13" t="s">
        <v>38</v>
      </c>
      <c r="W962" s="16" t="str">
        <f>TEXT(VLOOKUP(U962, News!A:C, 3, FALSE), "M/D/YYYY")</f>
        <v>8/23/2019</v>
      </c>
      <c r="X962" s="18">
        <f>DATE(YEAR(W962),MONTH(Metrics!$B$5), DAY(Metrics!$B$5))</f>
        <v>43709</v>
      </c>
      <c r="Y962" s="16">
        <f t="shared" si="14"/>
        <v>2019</v>
      </c>
    </row>
    <row r="963" spans="21:25" ht="16" x14ac:dyDescent="0.2">
      <c r="U963" s="12">
        <v>4460</v>
      </c>
      <c r="V963" s="13" t="s">
        <v>38</v>
      </c>
      <c r="W963" s="16" t="str">
        <f>TEXT(VLOOKUP(U963, News!A:C, 3, FALSE), "M/D/YYYY")</f>
        <v>5/8/2014</v>
      </c>
      <c r="X963" s="18">
        <f>DATE(YEAR(W963),MONTH(Metrics!$B$5), DAY(Metrics!$B$5))</f>
        <v>41883</v>
      </c>
      <c r="Y963" s="16">
        <f t="shared" ref="Y963:Y1006" si="15">IF(MONTH(W963) &gt;= MONTH(X963), YEAR(W963)+1, YEAR(W963))</f>
        <v>2014</v>
      </c>
    </row>
    <row r="964" spans="21:25" ht="16" x14ac:dyDescent="0.2">
      <c r="U964" s="12">
        <v>8226</v>
      </c>
      <c r="V964" s="13" t="s">
        <v>38</v>
      </c>
      <c r="W964" s="16" t="str">
        <f>TEXT(VLOOKUP(U964, News!A:C, 3, FALSE), "M/D/YYYY")</f>
        <v>4/20/2023</v>
      </c>
      <c r="X964" s="18">
        <f>DATE(YEAR(W964),MONTH(Metrics!$B$5), DAY(Metrics!$B$5))</f>
        <v>45170</v>
      </c>
      <c r="Y964" s="16">
        <f t="shared" si="15"/>
        <v>2023</v>
      </c>
    </row>
    <row r="965" spans="21:25" ht="16" x14ac:dyDescent="0.2">
      <c r="U965" s="12">
        <v>3978</v>
      </c>
      <c r="V965" s="13" t="s">
        <v>38</v>
      </c>
      <c r="W965" s="16" t="str">
        <f>TEXT(VLOOKUP(U965, News!A:C, 3, FALSE), "M/D/YYYY")</f>
        <v>2/28/2015</v>
      </c>
      <c r="X965" s="18">
        <f>DATE(YEAR(W965),MONTH(Metrics!$B$5), DAY(Metrics!$B$5))</f>
        <v>42248</v>
      </c>
      <c r="Y965" s="16">
        <f t="shared" si="15"/>
        <v>2015</v>
      </c>
    </row>
    <row r="966" spans="21:25" ht="16" x14ac:dyDescent="0.2">
      <c r="U966" s="12">
        <v>2551</v>
      </c>
      <c r="V966" s="13" t="s">
        <v>38</v>
      </c>
      <c r="W966" s="16" t="str">
        <f>TEXT(VLOOKUP(U966, News!A:C, 3, FALSE), "M/D/YYYY")</f>
        <v>1/1/2017</v>
      </c>
      <c r="X966" s="18">
        <f>DATE(YEAR(W966),MONTH(Metrics!$B$5), DAY(Metrics!$B$5))</f>
        <v>42979</v>
      </c>
      <c r="Y966" s="16">
        <f t="shared" si="15"/>
        <v>2017</v>
      </c>
    </row>
    <row r="967" spans="21:25" ht="16" x14ac:dyDescent="0.2">
      <c r="U967" s="12">
        <v>3947</v>
      </c>
      <c r="V967" s="13" t="s">
        <v>38</v>
      </c>
      <c r="W967" s="16" t="str">
        <f>TEXT(VLOOKUP(U967, News!A:C, 3, FALSE), "M/D/YYYY")</f>
        <v>4/10/2015</v>
      </c>
      <c r="X967" s="18">
        <f>DATE(YEAR(W967),MONTH(Metrics!$B$5), DAY(Metrics!$B$5))</f>
        <v>42248</v>
      </c>
      <c r="Y967" s="16">
        <f t="shared" si="15"/>
        <v>2015</v>
      </c>
    </row>
    <row r="968" spans="21:25" ht="16" x14ac:dyDescent="0.2">
      <c r="U968" s="12">
        <v>4242</v>
      </c>
      <c r="V968" s="13" t="s">
        <v>38</v>
      </c>
      <c r="W968" s="16" t="str">
        <f>TEXT(VLOOKUP(U968, News!A:C, 3, FALSE), "M/D/YYYY")</f>
        <v>6/21/2019</v>
      </c>
      <c r="X968" s="18">
        <f>DATE(YEAR(W968),MONTH(Metrics!$B$5), DAY(Metrics!$B$5))</f>
        <v>43709</v>
      </c>
      <c r="Y968" s="16">
        <f t="shared" si="15"/>
        <v>2019</v>
      </c>
    </row>
    <row r="969" spans="21:25" ht="16" x14ac:dyDescent="0.2">
      <c r="U969" s="12">
        <v>4912</v>
      </c>
      <c r="V969" s="13" t="s">
        <v>38</v>
      </c>
      <c r="W969" s="16" t="str">
        <f>TEXT(VLOOKUP(U969, News!A:C, 3, FALSE), "M/D/YYYY")</f>
        <v>3/24/2020</v>
      </c>
      <c r="X969" s="18">
        <f>DATE(YEAR(W969),MONTH(Metrics!$B$5), DAY(Metrics!$B$5))</f>
        <v>44075</v>
      </c>
      <c r="Y969" s="16">
        <f t="shared" si="15"/>
        <v>2020</v>
      </c>
    </row>
    <row r="970" spans="21:25" ht="16" x14ac:dyDescent="0.2">
      <c r="U970" s="12">
        <v>3622</v>
      </c>
      <c r="V970" s="13" t="s">
        <v>38</v>
      </c>
      <c r="W970" s="16" t="str">
        <f>TEXT(VLOOKUP(U970, News!A:C, 3, FALSE), "M/D/YYYY")</f>
        <v>1/1/2016</v>
      </c>
      <c r="X970" s="18">
        <f>DATE(YEAR(W970),MONTH(Metrics!$B$5), DAY(Metrics!$B$5))</f>
        <v>42614</v>
      </c>
      <c r="Y970" s="16">
        <f t="shared" si="15"/>
        <v>2016</v>
      </c>
    </row>
    <row r="971" spans="21:25" ht="16" x14ac:dyDescent="0.2">
      <c r="U971" s="12">
        <v>3329</v>
      </c>
      <c r="V971" s="13" t="s">
        <v>38</v>
      </c>
      <c r="W971" s="16" t="str">
        <f>TEXT(VLOOKUP(U971, News!A:C, 3, FALSE), "M/D/YYYY")</f>
        <v>7/13/2016</v>
      </c>
      <c r="X971" s="18">
        <f>DATE(YEAR(W971),MONTH(Metrics!$B$5), DAY(Metrics!$B$5))</f>
        <v>42614</v>
      </c>
      <c r="Y971" s="16">
        <f t="shared" si="15"/>
        <v>2016</v>
      </c>
    </row>
    <row r="972" spans="21:25" ht="16" x14ac:dyDescent="0.2">
      <c r="U972" s="12">
        <v>3426</v>
      </c>
      <c r="V972" s="13" t="s">
        <v>38</v>
      </c>
      <c r="W972" s="16" t="str">
        <f>TEXT(VLOOKUP(U972, News!A:C, 3, FALSE), "M/D/YYYY")</f>
        <v>5/20/2016</v>
      </c>
      <c r="X972" s="18">
        <f>DATE(YEAR(W972),MONTH(Metrics!$B$5), DAY(Metrics!$B$5))</f>
        <v>42614</v>
      </c>
      <c r="Y972" s="16">
        <f t="shared" si="15"/>
        <v>2016</v>
      </c>
    </row>
    <row r="973" spans="21:25" ht="16" x14ac:dyDescent="0.2">
      <c r="U973" s="12">
        <v>3332</v>
      </c>
      <c r="V973" s="13" t="s">
        <v>38</v>
      </c>
      <c r="W973" s="16" t="str">
        <f>TEXT(VLOOKUP(U973, News!A:C, 3, FALSE), "M/D/YYYY")</f>
        <v>7/12/2016</v>
      </c>
      <c r="X973" s="18">
        <f>DATE(YEAR(W973),MONTH(Metrics!$B$5), DAY(Metrics!$B$5))</f>
        <v>42614</v>
      </c>
      <c r="Y973" s="16">
        <f t="shared" si="15"/>
        <v>2016</v>
      </c>
    </row>
    <row r="974" spans="21:25" ht="16" x14ac:dyDescent="0.2">
      <c r="U974" s="12">
        <v>3311</v>
      </c>
      <c r="V974" s="13" t="s">
        <v>38</v>
      </c>
      <c r="W974" s="16" t="str">
        <f>TEXT(VLOOKUP(U974, News!A:C, 3, FALSE), "M/D/YYYY")</f>
        <v>8/27/2016</v>
      </c>
      <c r="X974" s="18">
        <f>DATE(YEAR(W974),MONTH(Metrics!$B$5), DAY(Metrics!$B$5))</f>
        <v>42614</v>
      </c>
      <c r="Y974" s="16">
        <f t="shared" si="15"/>
        <v>2016</v>
      </c>
    </row>
    <row r="975" spans="21:25" ht="16" x14ac:dyDescent="0.2">
      <c r="U975" s="12">
        <v>3838</v>
      </c>
      <c r="V975" s="13" t="s">
        <v>38</v>
      </c>
      <c r="W975" s="16" t="str">
        <f>TEXT(VLOOKUP(U975, News!A:C, 3, FALSE), "M/D/YYYY")</f>
        <v>3/25/2019</v>
      </c>
      <c r="X975" s="18">
        <f>DATE(YEAR(W975),MONTH(Metrics!$B$5), DAY(Metrics!$B$5))</f>
        <v>43709</v>
      </c>
      <c r="Y975" s="16">
        <f t="shared" si="15"/>
        <v>2019</v>
      </c>
    </row>
    <row r="976" spans="21:25" ht="16" x14ac:dyDescent="0.2">
      <c r="U976" s="12">
        <v>7881</v>
      </c>
      <c r="V976" s="13" t="s">
        <v>38</v>
      </c>
      <c r="W976" s="16" t="str">
        <f>TEXT(VLOOKUP(U976, News!A:C, 3, FALSE), "M/D/YYYY")</f>
        <v>1/10/2023</v>
      </c>
      <c r="X976" s="18">
        <f>DATE(YEAR(W976),MONTH(Metrics!$B$5), DAY(Metrics!$B$5))</f>
        <v>45170</v>
      </c>
      <c r="Y976" s="16">
        <f t="shared" si="15"/>
        <v>2023</v>
      </c>
    </row>
    <row r="977" spans="21:25" ht="16" x14ac:dyDescent="0.2">
      <c r="U977" s="12">
        <v>3278</v>
      </c>
      <c r="V977" s="13" t="s">
        <v>38</v>
      </c>
      <c r="W977" s="16" t="str">
        <f>TEXT(VLOOKUP(U977, News!A:C, 3, FALSE), "M/D/YYYY")</f>
        <v>8/31/2016</v>
      </c>
      <c r="X977" s="18">
        <f>DATE(YEAR(W977),MONTH(Metrics!$B$5), DAY(Metrics!$B$5))</f>
        <v>42614</v>
      </c>
      <c r="Y977" s="16">
        <f t="shared" si="15"/>
        <v>2016</v>
      </c>
    </row>
    <row r="978" spans="21:25" ht="16" x14ac:dyDescent="0.2">
      <c r="U978" s="12">
        <v>3059</v>
      </c>
      <c r="V978" s="13" t="s">
        <v>38</v>
      </c>
      <c r="W978" s="16" t="str">
        <f>TEXT(VLOOKUP(U978, News!A:C, 3, FALSE), "M/D/YYYY")</f>
        <v>10/14/2016</v>
      </c>
      <c r="X978" s="18">
        <f>DATE(YEAR(W978),MONTH(Metrics!$B$5), DAY(Metrics!$B$5))</f>
        <v>42614</v>
      </c>
      <c r="Y978" s="16">
        <f t="shared" si="15"/>
        <v>2017</v>
      </c>
    </row>
    <row r="979" spans="21:25" ht="16" x14ac:dyDescent="0.2">
      <c r="U979" s="12">
        <v>2437</v>
      </c>
      <c r="V979" s="13" t="s">
        <v>38</v>
      </c>
      <c r="W979" s="16" t="str">
        <f>TEXT(VLOOKUP(U979, News!A:C, 3, FALSE), "M/D/YYYY")</f>
        <v>3/15/2017</v>
      </c>
      <c r="X979" s="18">
        <f>DATE(YEAR(W979),MONTH(Metrics!$B$5), DAY(Metrics!$B$5))</f>
        <v>42979</v>
      </c>
      <c r="Y979" s="16">
        <f t="shared" si="15"/>
        <v>2017</v>
      </c>
    </row>
    <row r="980" spans="21:25" ht="16" x14ac:dyDescent="0.2">
      <c r="U980" s="12">
        <v>1309</v>
      </c>
      <c r="V980" s="13" t="s">
        <v>38</v>
      </c>
      <c r="W980" s="16" t="str">
        <f>TEXT(VLOOKUP(U980, News!A:C, 3, FALSE), "M/D/YYYY")</f>
        <v>6/10/2018</v>
      </c>
      <c r="X980" s="18">
        <f>DATE(YEAR(W980),MONTH(Metrics!$B$5), DAY(Metrics!$B$5))</f>
        <v>43344</v>
      </c>
      <c r="Y980" s="16">
        <f t="shared" si="15"/>
        <v>2018</v>
      </c>
    </row>
    <row r="981" spans="21:25" ht="16" x14ac:dyDescent="0.2">
      <c r="U981" s="12">
        <v>2341</v>
      </c>
      <c r="V981" s="13" t="s">
        <v>38</v>
      </c>
      <c r="W981" s="16" t="str">
        <f>TEXT(VLOOKUP(U981, News!A:C, 3, FALSE), "M/D/YYYY")</f>
        <v>4/28/2017</v>
      </c>
      <c r="X981" s="18">
        <f>DATE(YEAR(W981),MONTH(Metrics!$B$5), DAY(Metrics!$B$5))</f>
        <v>42979</v>
      </c>
      <c r="Y981" s="16">
        <f t="shared" si="15"/>
        <v>2017</v>
      </c>
    </row>
    <row r="982" spans="21:25" ht="16" x14ac:dyDescent="0.2">
      <c r="U982" s="12">
        <v>5641</v>
      </c>
      <c r="V982" s="13" t="s">
        <v>38</v>
      </c>
      <c r="W982" s="16" t="str">
        <f>TEXT(VLOOKUP(U982, News!A:C, 3, FALSE), "M/D/YYYY")</f>
        <v>11/16/2020</v>
      </c>
      <c r="X982" s="18">
        <f>DATE(YEAR(W982),MONTH(Metrics!$B$5), DAY(Metrics!$B$5))</f>
        <v>44075</v>
      </c>
      <c r="Y982" s="16">
        <f t="shared" si="15"/>
        <v>2021</v>
      </c>
    </row>
    <row r="983" spans="21:25" ht="16" x14ac:dyDescent="0.2">
      <c r="U983" s="12">
        <v>7155</v>
      </c>
      <c r="V983" s="13" t="s">
        <v>38</v>
      </c>
      <c r="W983" s="16" t="str">
        <f>TEXT(VLOOKUP(U983, News!A:C, 3, FALSE), "M/D/YYYY")</f>
        <v>6/7/2022</v>
      </c>
      <c r="X983" s="18">
        <f>DATE(YEAR(W983),MONTH(Metrics!$B$5), DAY(Metrics!$B$5))</f>
        <v>44805</v>
      </c>
      <c r="Y983" s="16">
        <f t="shared" si="15"/>
        <v>2022</v>
      </c>
    </row>
    <row r="984" spans="21:25" ht="16" x14ac:dyDescent="0.2">
      <c r="U984" s="12">
        <v>2338</v>
      </c>
      <c r="V984" s="13" t="s">
        <v>38</v>
      </c>
      <c r="W984" s="16" t="str">
        <f>TEXT(VLOOKUP(U984, News!A:C, 3, FALSE), "M/D/YYYY")</f>
        <v>4/30/2017</v>
      </c>
      <c r="X984" s="18">
        <f>DATE(YEAR(W984),MONTH(Metrics!$B$5), DAY(Metrics!$B$5))</f>
        <v>42979</v>
      </c>
      <c r="Y984" s="16">
        <f t="shared" si="15"/>
        <v>2017</v>
      </c>
    </row>
    <row r="985" spans="21:25" ht="16" x14ac:dyDescent="0.2">
      <c r="U985" s="12">
        <v>1391</v>
      </c>
      <c r="V985" s="13" t="s">
        <v>38</v>
      </c>
      <c r="W985" s="16" t="str">
        <f>TEXT(VLOOKUP(U985, News!A:C, 3, FALSE), "M/D/YYYY")</f>
        <v>4/10/2018</v>
      </c>
      <c r="X985" s="18">
        <f>DATE(YEAR(W985),MONTH(Metrics!$B$5), DAY(Metrics!$B$5))</f>
        <v>43344</v>
      </c>
      <c r="Y985" s="16">
        <f t="shared" si="15"/>
        <v>2018</v>
      </c>
    </row>
    <row r="986" spans="21:25" ht="16" x14ac:dyDescent="0.2">
      <c r="U986" s="12">
        <v>1626</v>
      </c>
      <c r="V986" s="13" t="s">
        <v>38</v>
      </c>
      <c r="W986" s="16" t="str">
        <f>TEXT(VLOOKUP(U986, News!A:C, 3, FALSE), "M/D/YYYY")</f>
        <v>6/1/2018</v>
      </c>
      <c r="X986" s="18">
        <f>DATE(YEAR(W986),MONTH(Metrics!$B$5), DAY(Metrics!$B$5))</f>
        <v>43344</v>
      </c>
      <c r="Y986" s="16">
        <f t="shared" si="15"/>
        <v>2018</v>
      </c>
    </row>
    <row r="987" spans="21:25" ht="16" x14ac:dyDescent="0.2">
      <c r="U987" s="12">
        <v>3254</v>
      </c>
      <c r="V987" s="13" t="s">
        <v>38</v>
      </c>
      <c r="W987" s="16" t="str">
        <f>TEXT(VLOOKUP(U987, News!A:C, 3, FALSE), "M/D/YYYY")</f>
        <v>12/18/2018</v>
      </c>
      <c r="X987" s="18">
        <f>DATE(YEAR(W987),MONTH(Metrics!$B$5), DAY(Metrics!$B$5))</f>
        <v>43344</v>
      </c>
      <c r="Y987" s="16">
        <f t="shared" si="15"/>
        <v>2019</v>
      </c>
    </row>
    <row r="988" spans="21:25" ht="16" x14ac:dyDescent="0.2">
      <c r="U988" s="12">
        <v>4881</v>
      </c>
      <c r="V988" s="13" t="s">
        <v>38</v>
      </c>
      <c r="W988" s="16" t="str">
        <f>TEXT(VLOOKUP(U988, News!A:C, 3, FALSE), "M/D/YYYY")</f>
        <v>4/9/2020</v>
      </c>
      <c r="X988" s="18">
        <f>DATE(YEAR(W988),MONTH(Metrics!$B$5), DAY(Metrics!$B$5))</f>
        <v>44075</v>
      </c>
      <c r="Y988" s="16">
        <f t="shared" si="15"/>
        <v>2020</v>
      </c>
    </row>
    <row r="989" spans="21:25" ht="16" x14ac:dyDescent="0.2">
      <c r="U989" s="12">
        <v>3507</v>
      </c>
      <c r="V989" s="13" t="s">
        <v>38</v>
      </c>
      <c r="W989" s="16" t="str">
        <f>TEXT(VLOOKUP(U989, News!A:C, 3, FALSE), "M/D/YYYY")</f>
        <v>2/7/2019</v>
      </c>
      <c r="X989" s="18">
        <f>DATE(YEAR(W989),MONTH(Metrics!$B$5), DAY(Metrics!$B$5))</f>
        <v>43709</v>
      </c>
      <c r="Y989" s="16">
        <f t="shared" si="15"/>
        <v>2019</v>
      </c>
    </row>
    <row r="990" spans="21:25" ht="16" x14ac:dyDescent="0.2">
      <c r="U990" s="12">
        <v>3823</v>
      </c>
      <c r="V990" s="13" t="s">
        <v>38</v>
      </c>
      <c r="W990" s="16" t="str">
        <f>TEXT(VLOOKUP(U990, News!A:C, 3, FALSE), "M/D/YYYY")</f>
        <v>3/13/2019</v>
      </c>
      <c r="X990" s="18">
        <f>DATE(YEAR(W990),MONTH(Metrics!$B$5), DAY(Metrics!$B$5))</f>
        <v>43709</v>
      </c>
      <c r="Y990" s="16">
        <f t="shared" si="15"/>
        <v>2019</v>
      </c>
    </row>
    <row r="991" spans="21:25" ht="16" x14ac:dyDescent="0.2">
      <c r="U991" s="12">
        <v>3859</v>
      </c>
      <c r="V991" s="13" t="s">
        <v>38</v>
      </c>
      <c r="W991" s="16" t="str">
        <f>TEXT(VLOOKUP(U991, News!A:C, 3, FALSE), "M/D/YYYY")</f>
        <v>3/29/2019</v>
      </c>
      <c r="X991" s="18">
        <f>DATE(YEAR(W991),MONTH(Metrics!$B$5), DAY(Metrics!$B$5))</f>
        <v>43709</v>
      </c>
      <c r="Y991" s="16">
        <f t="shared" si="15"/>
        <v>2019</v>
      </c>
    </row>
    <row r="992" spans="21:25" ht="16" x14ac:dyDescent="0.2">
      <c r="U992" s="12">
        <v>4769</v>
      </c>
      <c r="V992" s="13" t="s">
        <v>38</v>
      </c>
      <c r="W992" s="16" t="str">
        <f>TEXT(VLOOKUP(U992, News!A:C, 3, FALSE), "M/D/YYYY")</f>
        <v>1/22/2020</v>
      </c>
      <c r="X992" s="18">
        <f>DATE(YEAR(W992),MONTH(Metrics!$B$5), DAY(Metrics!$B$5))</f>
        <v>44075</v>
      </c>
      <c r="Y992" s="16">
        <f t="shared" si="15"/>
        <v>2020</v>
      </c>
    </row>
    <row r="993" spans="21:25" ht="16" x14ac:dyDescent="0.2">
      <c r="U993" s="12">
        <v>4863</v>
      </c>
      <c r="V993" s="13" t="s">
        <v>38</v>
      </c>
      <c r="W993" s="16" t="str">
        <f>TEXT(VLOOKUP(U993, News!A:C, 3, FALSE), "M/D/YYYY")</f>
        <v>2/6/2020</v>
      </c>
      <c r="X993" s="18">
        <f>DATE(YEAR(W993),MONTH(Metrics!$B$5), DAY(Metrics!$B$5))</f>
        <v>44075</v>
      </c>
      <c r="Y993" s="16">
        <f t="shared" si="15"/>
        <v>2020</v>
      </c>
    </row>
    <row r="994" spans="21:25" ht="16" x14ac:dyDescent="0.2">
      <c r="U994" s="12">
        <v>4829</v>
      </c>
      <c r="V994" s="13" t="s">
        <v>38</v>
      </c>
      <c r="W994" s="16" t="str">
        <f>TEXT(VLOOKUP(U994, News!A:C, 3, FALSE), "M/D/YYYY")</f>
        <v>2/18/2020</v>
      </c>
      <c r="X994" s="18">
        <f>DATE(YEAR(W994),MONTH(Metrics!$B$5), DAY(Metrics!$B$5))</f>
        <v>44075</v>
      </c>
      <c r="Y994" s="16">
        <f t="shared" si="15"/>
        <v>2020</v>
      </c>
    </row>
    <row r="995" spans="21:25" ht="16" x14ac:dyDescent="0.2">
      <c r="U995" s="12">
        <v>4373</v>
      </c>
      <c r="V995" s="13" t="s">
        <v>38</v>
      </c>
      <c r="W995" s="16" t="str">
        <f>TEXT(VLOOKUP(U995, News!A:C, 3, FALSE), "M/D/YYYY")</f>
        <v>8/28/2019</v>
      </c>
      <c r="X995" s="18">
        <f>DATE(YEAR(W995),MONTH(Metrics!$B$5), DAY(Metrics!$B$5))</f>
        <v>43709</v>
      </c>
      <c r="Y995" s="16">
        <f t="shared" si="15"/>
        <v>2019</v>
      </c>
    </row>
    <row r="996" spans="21:25" ht="16" x14ac:dyDescent="0.2">
      <c r="U996" s="12">
        <v>7996</v>
      </c>
      <c r="V996" s="13" t="s">
        <v>38</v>
      </c>
      <c r="W996" s="16" t="str">
        <f>TEXT(VLOOKUP(U996, News!A:C, 3, FALSE), "M/D/YYYY")</f>
        <v>1/31/2023</v>
      </c>
      <c r="X996" s="18">
        <f>DATE(YEAR(W996),MONTH(Metrics!$B$5), DAY(Metrics!$B$5))</f>
        <v>45170</v>
      </c>
      <c r="Y996" s="16">
        <f t="shared" si="15"/>
        <v>2023</v>
      </c>
    </row>
    <row r="997" spans="21:25" ht="16" x14ac:dyDescent="0.2">
      <c r="U997" s="12">
        <v>4493</v>
      </c>
      <c r="V997" s="13" t="s">
        <v>38</v>
      </c>
      <c r="W997" s="16" t="str">
        <f>TEXT(VLOOKUP(U997, News!A:C, 3, FALSE), "M/D/YYYY")</f>
        <v>10/10/2019</v>
      </c>
      <c r="X997" s="18">
        <f>DATE(YEAR(W997),MONTH(Metrics!$B$5), DAY(Metrics!$B$5))</f>
        <v>43709</v>
      </c>
      <c r="Y997" s="16">
        <f t="shared" si="15"/>
        <v>2020</v>
      </c>
    </row>
    <row r="998" spans="21:25" ht="16" x14ac:dyDescent="0.2">
      <c r="U998" s="12">
        <v>4579</v>
      </c>
      <c r="V998" s="13" t="s">
        <v>38</v>
      </c>
      <c r="W998" s="16" t="str">
        <f>TEXT(VLOOKUP(U998, News!A:C, 3, FALSE), "M/D/YYYY")</f>
        <v>9/30/2019</v>
      </c>
      <c r="X998" s="18">
        <f>DATE(YEAR(W998),MONTH(Metrics!$B$5), DAY(Metrics!$B$5))</f>
        <v>43709</v>
      </c>
      <c r="Y998" s="16">
        <f t="shared" si="15"/>
        <v>2020</v>
      </c>
    </row>
    <row r="999" spans="21:25" ht="16" x14ac:dyDescent="0.2">
      <c r="U999" s="12">
        <v>7610</v>
      </c>
      <c r="V999" s="13" t="s">
        <v>38</v>
      </c>
      <c r="W999" s="16" t="str">
        <f>TEXT(VLOOKUP(U999, News!A:C, 3, FALSE), "M/D/YYYY")</f>
        <v>10/12/2022</v>
      </c>
      <c r="X999" s="18">
        <f>DATE(YEAR(W999),MONTH(Metrics!$B$5), DAY(Metrics!$B$5))</f>
        <v>44805</v>
      </c>
      <c r="Y999" s="16">
        <f t="shared" si="15"/>
        <v>2023</v>
      </c>
    </row>
    <row r="1000" spans="21:25" ht="16" x14ac:dyDescent="0.2">
      <c r="U1000" s="12">
        <v>8223</v>
      </c>
      <c r="V1000" s="13" t="s">
        <v>38</v>
      </c>
      <c r="W1000" s="16" t="str">
        <f>TEXT(VLOOKUP(U1000, News!A:C, 3, FALSE), "M/D/YYYY")</f>
        <v>4/20/2023</v>
      </c>
      <c r="X1000" s="18">
        <f>DATE(YEAR(W1000),MONTH(Metrics!$B$5), DAY(Metrics!$B$5))</f>
        <v>45170</v>
      </c>
      <c r="Y1000" s="16">
        <f t="shared" si="15"/>
        <v>2023</v>
      </c>
    </row>
    <row r="1001" spans="21:25" ht="16" x14ac:dyDescent="0.2">
      <c r="U1001" s="12">
        <v>6078</v>
      </c>
      <c r="V1001" s="13" t="s">
        <v>38</v>
      </c>
      <c r="W1001" s="16" t="str">
        <f>TEXT(VLOOKUP(U1001, News!A:C, 3, FALSE), "M/D/YYYY")</f>
        <v>5/17/2021</v>
      </c>
      <c r="X1001" s="18">
        <f>DATE(YEAR(W1001),MONTH(Metrics!$B$5), DAY(Metrics!$B$5))</f>
        <v>44440</v>
      </c>
      <c r="Y1001" s="16">
        <f t="shared" si="15"/>
        <v>2021</v>
      </c>
    </row>
    <row r="1002" spans="21:25" ht="16" x14ac:dyDescent="0.2">
      <c r="U1002" s="12">
        <v>6267</v>
      </c>
      <c r="V1002" s="13" t="s">
        <v>38</v>
      </c>
      <c r="W1002" s="16" t="str">
        <f>TEXT(VLOOKUP(U1002, News!A:C, 3, FALSE), "M/D/YYYY")</f>
        <v>8/17/2021</v>
      </c>
      <c r="X1002" s="18">
        <f>DATE(YEAR(W1002),MONTH(Metrics!$B$5), DAY(Metrics!$B$5))</f>
        <v>44440</v>
      </c>
      <c r="Y1002" s="16">
        <f t="shared" si="15"/>
        <v>2021</v>
      </c>
    </row>
    <row r="1003" spans="21:25" ht="16" x14ac:dyDescent="0.2">
      <c r="U1003" s="12">
        <v>6264</v>
      </c>
      <c r="V1003" s="13" t="s">
        <v>38</v>
      </c>
      <c r="W1003" s="16" t="str">
        <f>TEXT(VLOOKUP(U1003, News!A:C, 3, FALSE), "M/D/YYYY")</f>
        <v>8/16/2021</v>
      </c>
      <c r="X1003" s="18">
        <f>DATE(YEAR(W1003),MONTH(Metrics!$B$5), DAY(Metrics!$B$5))</f>
        <v>44440</v>
      </c>
      <c r="Y1003" s="16">
        <f t="shared" si="15"/>
        <v>2021</v>
      </c>
    </row>
    <row r="1004" spans="21:25" ht="16" x14ac:dyDescent="0.2">
      <c r="U1004" s="12">
        <v>6919</v>
      </c>
      <c r="V1004" s="13" t="s">
        <v>38</v>
      </c>
      <c r="W1004" s="16" t="str">
        <f>TEXT(VLOOKUP(U1004, News!A:C, 3, FALSE), "M/D/YYYY")</f>
        <v>2/23/2022</v>
      </c>
      <c r="X1004" s="18">
        <f>DATE(YEAR(W1004),MONTH(Metrics!$B$5), DAY(Metrics!$B$5))</f>
        <v>44805</v>
      </c>
      <c r="Y1004" s="16">
        <f t="shared" si="15"/>
        <v>2022</v>
      </c>
    </row>
    <row r="1005" spans="21:25" ht="16" x14ac:dyDescent="0.2">
      <c r="U1005" s="12">
        <v>8125</v>
      </c>
      <c r="V1005" s="13" t="s">
        <v>38</v>
      </c>
      <c r="W1005" s="16" t="str">
        <f>TEXT(VLOOKUP(U1005, News!A:C, 3, FALSE), "M/D/YYYY")</f>
        <v>3/28/2023</v>
      </c>
      <c r="X1005" s="18">
        <f>DATE(YEAR(W1005),MONTH(Metrics!$B$5), DAY(Metrics!$B$5))</f>
        <v>45170</v>
      </c>
      <c r="Y1005" s="16">
        <f t="shared" si="15"/>
        <v>2023</v>
      </c>
    </row>
    <row r="1006" spans="21:25" ht="16" x14ac:dyDescent="0.2">
      <c r="U1006" s="12">
        <v>8054</v>
      </c>
      <c r="V1006" s="13" t="s">
        <v>38</v>
      </c>
      <c r="W1006" s="16" t="str">
        <f>TEXT(VLOOKUP(U1006, News!A:C, 3, FALSE), "M/D/YYYY")</f>
        <v>2/16/2023</v>
      </c>
      <c r="X1006" s="18">
        <f>DATE(YEAR(W1006),MONTH(Metrics!$B$5), DAY(Metrics!$B$5))</f>
        <v>45170</v>
      </c>
      <c r="Y1006" s="16">
        <f t="shared" si="15"/>
        <v>2023</v>
      </c>
    </row>
    <row r="1007" spans="21:25" ht="16" x14ac:dyDescent="0.2">
      <c r="U1007" s="12"/>
      <c r="V1007" s="13"/>
      <c r="W1007" s="16" t="e">
        <f>TEXT(VLOOKUP(U1007, News!A:C, 3, FALSE), "M/D/YYYY")</f>
        <v>#N/A</v>
      </c>
      <c r="X1007" s="18" t="e">
        <f>DATE(YEAR(W1007),MONTH(Metrics!$B$5), DAY(Metrics!$B$5))</f>
        <v>#N/A</v>
      </c>
      <c r="Y1007" s="16" t="e">
        <f t="shared" ref="Y963:Y1008" si="16">IF(MONTH(W1007) &gt;= MONTH(X1007), YEAR(W1007)+1, YEAR(W1007))</f>
        <v>#N/A</v>
      </c>
    </row>
    <row r="1008" spans="21:25" ht="16" x14ac:dyDescent="0.2">
      <c r="U1008" s="12"/>
      <c r="V1008" s="13"/>
      <c r="W1008" s="16" t="e">
        <f>TEXT(VLOOKUP(U1008, News!A:C, 3, FALSE), "M/D/YYYY")</f>
        <v>#N/A</v>
      </c>
      <c r="X1008" s="18" t="e">
        <f>DATE(YEAR(W1008),MONTH(Metrics!$B$5), DAY(Metrics!$B$5))</f>
        <v>#N/A</v>
      </c>
      <c r="Y1008" s="16" t="e">
        <f t="shared" si="16"/>
        <v>#N/A</v>
      </c>
    </row>
    <row r="1009" spans="21:23" ht="16" x14ac:dyDescent="0.2">
      <c r="U1009" s="12"/>
      <c r="V1009" s="13"/>
      <c r="W1009" s="16"/>
    </row>
    <row r="1010" spans="21:23" ht="16" x14ac:dyDescent="0.2">
      <c r="U1010" s="12"/>
      <c r="V1010" s="13"/>
      <c r="W1010" s="16"/>
    </row>
    <row r="1011" spans="21:23" ht="16" x14ac:dyDescent="0.2">
      <c r="U1011" s="12"/>
      <c r="V1011" s="13"/>
      <c r="W1011" s="16"/>
    </row>
    <row r="1012" spans="21:23" ht="16" x14ac:dyDescent="0.2">
      <c r="U1012" s="12"/>
      <c r="V1012" s="13"/>
      <c r="W1012" s="16"/>
    </row>
    <row r="1013" spans="21:23" ht="16" x14ac:dyDescent="0.2">
      <c r="U1013" s="12"/>
      <c r="V1013" s="13"/>
      <c r="W1013" s="16"/>
    </row>
    <row r="1014" spans="21:23" ht="16" x14ac:dyDescent="0.2">
      <c r="U1014" s="12"/>
      <c r="V1014" s="13"/>
      <c r="W1014" s="16"/>
    </row>
    <row r="1015" spans="21:23" ht="16" x14ac:dyDescent="0.2">
      <c r="U1015" s="12"/>
      <c r="V1015" s="13"/>
      <c r="W1015" s="16"/>
    </row>
    <row r="1016" spans="21:23" ht="16" x14ac:dyDescent="0.2">
      <c r="U1016" s="12"/>
      <c r="V1016" s="13"/>
      <c r="W1016" s="16"/>
    </row>
    <row r="1017" spans="21:23" ht="16" x14ac:dyDescent="0.2">
      <c r="U1017" s="12"/>
      <c r="V1017" s="13"/>
      <c r="W1017" s="16"/>
    </row>
    <row r="1018" spans="21:23" ht="16" x14ac:dyDescent="0.2">
      <c r="U1018" s="12"/>
      <c r="V1018" s="13"/>
      <c r="W1018" s="16"/>
    </row>
    <row r="1019" spans="21:23" ht="16" x14ac:dyDescent="0.2">
      <c r="U1019" s="12"/>
      <c r="V1019" s="13"/>
      <c r="W1019" s="16"/>
    </row>
    <row r="1020" spans="21:23" ht="16" x14ac:dyDescent="0.2">
      <c r="U1020" s="12"/>
      <c r="V1020" s="13"/>
      <c r="W1020" s="16"/>
    </row>
    <row r="1021" spans="21:23" ht="16" x14ac:dyDescent="0.2">
      <c r="U1021" s="12"/>
      <c r="V1021" s="13"/>
      <c r="W1021" s="16"/>
    </row>
    <row r="1022" spans="21:23" ht="16" x14ac:dyDescent="0.2">
      <c r="U1022" s="12"/>
      <c r="V1022" s="13"/>
      <c r="W1022" s="16"/>
    </row>
    <row r="1023" spans="21:23" ht="16" x14ac:dyDescent="0.2">
      <c r="U1023" s="12"/>
      <c r="V1023" s="13"/>
      <c r="W1023" s="16"/>
    </row>
    <row r="1024" spans="21:23" ht="16" x14ac:dyDescent="0.2">
      <c r="U1024" s="12"/>
      <c r="V1024" s="13"/>
      <c r="W1024" s="16"/>
    </row>
    <row r="1025" spans="21:23" ht="16" x14ac:dyDescent="0.2">
      <c r="U1025" s="12"/>
      <c r="V1025" s="13"/>
      <c r="W1025" s="16"/>
    </row>
    <row r="1026" spans="21:23" ht="16" x14ac:dyDescent="0.2">
      <c r="U1026" s="12"/>
      <c r="V1026" s="13"/>
      <c r="W1026" s="16"/>
    </row>
    <row r="1027" spans="21:23" ht="16" x14ac:dyDescent="0.2">
      <c r="U1027" s="12"/>
      <c r="V1027" s="13"/>
      <c r="W1027" s="16"/>
    </row>
    <row r="1028" spans="21:23" ht="16" x14ac:dyDescent="0.2">
      <c r="U1028" s="12"/>
      <c r="V1028" s="13"/>
      <c r="W1028" s="16"/>
    </row>
    <row r="1029" spans="21:23" ht="16" x14ac:dyDescent="0.2">
      <c r="U1029" s="12"/>
      <c r="V1029" s="13"/>
      <c r="W1029" s="16"/>
    </row>
    <row r="1030" spans="21:23" ht="16" x14ac:dyDescent="0.2">
      <c r="U1030" s="12"/>
      <c r="V1030" s="13"/>
      <c r="W1030" s="16"/>
    </row>
    <row r="1031" spans="21:23" ht="16" x14ac:dyDescent="0.2">
      <c r="U1031" s="12"/>
      <c r="V1031" s="13"/>
      <c r="W1031" s="16"/>
    </row>
    <row r="1032" spans="21:23" ht="16" x14ac:dyDescent="0.2">
      <c r="U1032" s="12"/>
      <c r="V1032" s="13"/>
      <c r="W1032" s="16"/>
    </row>
    <row r="1033" spans="21:23" ht="16" x14ac:dyDescent="0.2">
      <c r="U1033" s="12"/>
      <c r="V1033" s="13"/>
      <c r="W1033" s="16"/>
    </row>
    <row r="1034" spans="21:23" ht="16" x14ac:dyDescent="0.2">
      <c r="U1034" s="12"/>
      <c r="V1034" s="13"/>
      <c r="W1034" s="16"/>
    </row>
    <row r="1035" spans="21:23" ht="16" x14ac:dyDescent="0.2">
      <c r="U1035" s="12"/>
      <c r="V1035" s="13"/>
      <c r="W1035" s="16"/>
    </row>
    <row r="1036" spans="21:23" ht="16" x14ac:dyDescent="0.2">
      <c r="U1036" s="12"/>
      <c r="V1036" s="13"/>
      <c r="W1036" s="16"/>
    </row>
    <row r="1037" spans="21:23" ht="16" x14ac:dyDescent="0.2">
      <c r="U1037" s="12"/>
      <c r="V1037" s="13"/>
      <c r="W1037" s="16"/>
    </row>
    <row r="1038" spans="21:23" ht="16" x14ac:dyDescent="0.2">
      <c r="U1038" s="12"/>
      <c r="V1038" s="13"/>
      <c r="W1038" s="16"/>
    </row>
    <row r="1039" spans="21:23" ht="16" x14ac:dyDescent="0.2">
      <c r="U1039" s="12"/>
      <c r="V1039" s="13"/>
      <c r="W1039" s="16"/>
    </row>
    <row r="1040" spans="21:23" ht="16" x14ac:dyDescent="0.2">
      <c r="U1040" s="12"/>
      <c r="V1040" s="13"/>
      <c r="W1040" s="16"/>
    </row>
    <row r="1041" spans="21:23" ht="16" x14ac:dyDescent="0.2">
      <c r="U1041" s="12"/>
      <c r="V1041" s="13"/>
      <c r="W1041" s="16"/>
    </row>
    <row r="1042" spans="21:23" ht="16" x14ac:dyDescent="0.2">
      <c r="U1042" s="12"/>
      <c r="V1042" s="13"/>
      <c r="W1042" s="16"/>
    </row>
    <row r="1043" spans="21:23" ht="16" x14ac:dyDescent="0.2">
      <c r="U1043" s="12"/>
      <c r="V1043" s="13"/>
      <c r="W1043" s="16"/>
    </row>
    <row r="1044" spans="21:23" ht="16" x14ac:dyDescent="0.2">
      <c r="U1044" s="12"/>
      <c r="V1044" s="13"/>
      <c r="W1044" s="16"/>
    </row>
    <row r="1045" spans="21:23" ht="16" x14ac:dyDescent="0.2">
      <c r="U1045" s="12"/>
      <c r="V1045" s="13"/>
      <c r="W1045" s="16"/>
    </row>
    <row r="1046" spans="21:23" ht="16" x14ac:dyDescent="0.2">
      <c r="U1046" s="12"/>
      <c r="V1046" s="13"/>
      <c r="W1046" s="16"/>
    </row>
    <row r="1047" spans="21:23" ht="16" x14ac:dyDescent="0.2">
      <c r="U1047" s="12"/>
      <c r="V1047" s="13"/>
      <c r="W1047" s="16"/>
    </row>
    <row r="1048" spans="21:23" ht="16" x14ac:dyDescent="0.2">
      <c r="U1048" s="12"/>
      <c r="V1048" s="13"/>
      <c r="W1048" s="16"/>
    </row>
    <row r="1049" spans="21:23" ht="16" x14ac:dyDescent="0.2">
      <c r="U1049" s="12"/>
      <c r="V1049" s="13"/>
      <c r="W1049" s="16"/>
    </row>
    <row r="1050" spans="21:23" ht="16" x14ac:dyDescent="0.2">
      <c r="U1050" s="12"/>
      <c r="V1050" s="13"/>
      <c r="W1050" s="16"/>
    </row>
    <row r="1051" spans="21:23" ht="16" x14ac:dyDescent="0.2">
      <c r="U1051" s="12"/>
      <c r="V1051" s="13"/>
      <c r="W1051" s="16"/>
    </row>
    <row r="1052" spans="21:23" ht="16" x14ac:dyDescent="0.2">
      <c r="U1052" s="12"/>
      <c r="V1052" s="13"/>
      <c r="W1052" s="16"/>
    </row>
    <row r="1053" spans="21:23" ht="16" x14ac:dyDescent="0.2">
      <c r="U1053" s="12"/>
      <c r="V1053" s="13"/>
      <c r="W1053" s="16"/>
    </row>
    <row r="1054" spans="21:23" ht="16" x14ac:dyDescent="0.2">
      <c r="U1054" s="12"/>
      <c r="V1054" s="13"/>
      <c r="W1054" s="16"/>
    </row>
    <row r="1055" spans="21:23" ht="16" x14ac:dyDescent="0.2">
      <c r="U1055" s="12"/>
      <c r="V1055" s="13"/>
      <c r="W1055" s="16"/>
    </row>
    <row r="1056" spans="21:23" ht="16" x14ac:dyDescent="0.2">
      <c r="U1056" s="12"/>
      <c r="V1056" s="13"/>
      <c r="W1056" s="16"/>
    </row>
    <row r="1057" spans="21:23" ht="16" x14ac:dyDescent="0.2">
      <c r="U1057" s="12"/>
      <c r="V1057" s="13"/>
      <c r="W1057" s="16"/>
    </row>
    <row r="1058" spans="21:23" ht="16" x14ac:dyDescent="0.2">
      <c r="U1058" s="12"/>
      <c r="V1058" s="13"/>
      <c r="W1058" s="16"/>
    </row>
    <row r="1059" spans="21:23" ht="16" x14ac:dyDescent="0.2">
      <c r="U1059" s="12"/>
      <c r="V1059" s="13"/>
      <c r="W1059" s="16"/>
    </row>
    <row r="1060" spans="21:23" ht="16" x14ac:dyDescent="0.2">
      <c r="U1060" s="12"/>
      <c r="V1060" s="13"/>
      <c r="W1060" s="16"/>
    </row>
    <row r="1061" spans="21:23" ht="16" x14ac:dyDescent="0.2">
      <c r="U1061" s="12"/>
      <c r="V1061" s="13"/>
      <c r="W1061" s="16"/>
    </row>
    <row r="1062" spans="21:23" ht="16" x14ac:dyDescent="0.2">
      <c r="U1062" s="12"/>
      <c r="V1062" s="13"/>
      <c r="W1062" s="16"/>
    </row>
    <row r="1063" spans="21:23" ht="16" x14ac:dyDescent="0.2">
      <c r="U1063" s="12"/>
      <c r="V1063" s="13"/>
      <c r="W1063" s="16"/>
    </row>
    <row r="1064" spans="21:23" ht="16" x14ac:dyDescent="0.2">
      <c r="U1064" s="12"/>
      <c r="V1064" s="13"/>
      <c r="W1064" s="16"/>
    </row>
    <row r="1065" spans="21:23" ht="16" x14ac:dyDescent="0.2">
      <c r="U1065" s="12"/>
      <c r="V1065" s="13"/>
      <c r="W1065" s="16"/>
    </row>
    <row r="1066" spans="21:23" ht="16" x14ac:dyDescent="0.2">
      <c r="U1066" s="12"/>
      <c r="V1066" s="13"/>
      <c r="W1066" s="16"/>
    </row>
    <row r="1067" spans="21:23" ht="16" x14ac:dyDescent="0.2">
      <c r="U1067" s="12"/>
      <c r="V1067" s="13"/>
      <c r="W1067" s="16"/>
    </row>
    <row r="1068" spans="21:23" ht="16" x14ac:dyDescent="0.2">
      <c r="U1068" s="12"/>
      <c r="V1068" s="13"/>
      <c r="W1068" s="16"/>
    </row>
    <row r="1069" spans="21:23" ht="16" x14ac:dyDescent="0.2">
      <c r="U1069" s="12"/>
      <c r="V1069" s="13"/>
      <c r="W1069" s="16"/>
    </row>
    <row r="1070" spans="21:23" ht="16" x14ac:dyDescent="0.2">
      <c r="U1070" s="12"/>
      <c r="V1070" s="13"/>
      <c r="W1070" s="16"/>
    </row>
    <row r="1071" spans="21:23" ht="16" x14ac:dyDescent="0.2">
      <c r="U1071" s="12"/>
      <c r="V1071" s="13"/>
      <c r="W1071" s="16"/>
    </row>
    <row r="1072" spans="21:23" ht="16" x14ac:dyDescent="0.2">
      <c r="U1072" s="12"/>
      <c r="V1072" s="13"/>
      <c r="W1072" s="16"/>
    </row>
    <row r="1073" spans="21:23" ht="16" x14ac:dyDescent="0.2">
      <c r="U1073" s="12"/>
      <c r="V1073" s="13"/>
      <c r="W1073" s="16"/>
    </row>
    <row r="1074" spans="21:23" ht="16" x14ac:dyDescent="0.2">
      <c r="U1074" s="12"/>
      <c r="V1074" s="13"/>
      <c r="W1074" s="16"/>
    </row>
    <row r="1075" spans="21:23" ht="16" x14ac:dyDescent="0.2">
      <c r="U1075" s="12"/>
      <c r="V1075" s="13"/>
      <c r="W1075" s="16"/>
    </row>
    <row r="1076" spans="21:23" ht="16" x14ac:dyDescent="0.2">
      <c r="U1076" s="12"/>
      <c r="V1076" s="13"/>
      <c r="W1076" s="16"/>
    </row>
    <row r="1077" spans="21:23" ht="16" x14ac:dyDescent="0.2">
      <c r="U1077" s="12"/>
      <c r="V1077" s="13"/>
      <c r="W1077" s="16"/>
    </row>
    <row r="1078" spans="21:23" ht="16" x14ac:dyDescent="0.2">
      <c r="U1078" s="12"/>
      <c r="V1078" s="13"/>
      <c r="W1078" s="16"/>
    </row>
    <row r="1079" spans="21:23" ht="16" x14ac:dyDescent="0.2">
      <c r="U1079" s="12"/>
      <c r="V1079" s="13"/>
      <c r="W1079" s="16"/>
    </row>
    <row r="1080" spans="21:23" ht="16" x14ac:dyDescent="0.2">
      <c r="U1080" s="12"/>
      <c r="V1080" s="13"/>
      <c r="W1080" s="16"/>
    </row>
    <row r="1081" spans="21:23" ht="16" x14ac:dyDescent="0.2">
      <c r="U1081" s="12"/>
      <c r="V1081" s="13"/>
      <c r="W1081" s="16"/>
    </row>
    <row r="1082" spans="21:23" ht="16" x14ac:dyDescent="0.2">
      <c r="U1082" s="12"/>
      <c r="V1082" s="13"/>
      <c r="W1082" s="16"/>
    </row>
    <row r="1083" spans="21:23" ht="16" x14ac:dyDescent="0.2">
      <c r="U1083" s="12"/>
      <c r="V1083" s="13"/>
      <c r="W1083" s="16"/>
    </row>
    <row r="1084" spans="21:23" ht="16" x14ac:dyDescent="0.2">
      <c r="U1084" s="12"/>
      <c r="V1084" s="13"/>
      <c r="W1084" s="16"/>
    </row>
    <row r="1085" spans="21:23" ht="16" x14ac:dyDescent="0.2">
      <c r="U1085" s="12"/>
      <c r="V1085" s="13"/>
      <c r="W1085" s="16"/>
    </row>
    <row r="1086" spans="21:23" ht="16" x14ac:dyDescent="0.2">
      <c r="U1086" s="12"/>
      <c r="V1086" s="13"/>
      <c r="W1086" s="16"/>
    </row>
    <row r="1087" spans="21:23" ht="16" x14ac:dyDescent="0.2">
      <c r="U1087" s="12"/>
      <c r="V1087" s="13"/>
      <c r="W1087" s="16"/>
    </row>
    <row r="1088" spans="21:23" ht="16" x14ac:dyDescent="0.2">
      <c r="U1088" s="12"/>
      <c r="V1088" s="13"/>
      <c r="W1088" s="16"/>
    </row>
    <row r="1089" spans="21:23" ht="16" x14ac:dyDescent="0.2">
      <c r="U1089" s="12"/>
      <c r="V1089" s="13"/>
      <c r="W1089" s="16"/>
    </row>
    <row r="1090" spans="21:23" ht="16" x14ac:dyDescent="0.2">
      <c r="U1090" s="12"/>
      <c r="V1090" s="13"/>
      <c r="W1090" s="16"/>
    </row>
    <row r="1091" spans="21:23" ht="16" x14ac:dyDescent="0.2">
      <c r="U1091" s="12"/>
      <c r="V1091" s="13"/>
      <c r="W1091" s="16"/>
    </row>
    <row r="1092" spans="21:23" ht="16" x14ac:dyDescent="0.2">
      <c r="U1092" s="12"/>
      <c r="V1092" s="13"/>
      <c r="W1092" s="16"/>
    </row>
    <row r="1093" spans="21:23" ht="16" x14ac:dyDescent="0.2">
      <c r="U1093" s="12"/>
      <c r="V1093" s="13"/>
      <c r="W1093" s="16"/>
    </row>
    <row r="1094" spans="21:23" ht="16" x14ac:dyDescent="0.2">
      <c r="U1094" s="12"/>
      <c r="V1094" s="13"/>
      <c r="W1094" s="16"/>
    </row>
    <row r="1095" spans="21:23" ht="16" x14ac:dyDescent="0.2">
      <c r="U1095" s="12"/>
      <c r="V1095" s="13"/>
      <c r="W1095" s="16"/>
    </row>
    <row r="1096" spans="21:23" ht="16" x14ac:dyDescent="0.2">
      <c r="U1096" s="12"/>
      <c r="V1096" s="13"/>
      <c r="W1096" s="16"/>
    </row>
    <row r="1097" spans="21:23" ht="16" x14ac:dyDescent="0.2">
      <c r="U1097" s="12"/>
      <c r="V1097" s="13"/>
      <c r="W1097" s="16"/>
    </row>
    <row r="1098" spans="21:23" ht="16" x14ac:dyDescent="0.2">
      <c r="U1098" s="12"/>
      <c r="V1098" s="13"/>
      <c r="W1098" s="16"/>
    </row>
    <row r="1099" spans="21:23" ht="16" x14ac:dyDescent="0.2">
      <c r="U1099" s="12"/>
      <c r="V1099" s="13"/>
      <c r="W1099" s="16"/>
    </row>
    <row r="1100" spans="21:23" ht="16" x14ac:dyDescent="0.2">
      <c r="U1100" s="12"/>
      <c r="V1100" s="13"/>
      <c r="W1100" s="16"/>
    </row>
    <row r="1101" spans="21:23" ht="16" x14ac:dyDescent="0.2">
      <c r="U1101" s="12"/>
      <c r="V1101" s="13"/>
      <c r="W1101" s="16"/>
    </row>
    <row r="1102" spans="21:23" ht="16" x14ac:dyDescent="0.2">
      <c r="U1102" s="12"/>
      <c r="V1102" s="13"/>
      <c r="W1102" s="16"/>
    </row>
    <row r="1103" spans="21:23" ht="16" x14ac:dyDescent="0.2">
      <c r="U1103" s="12"/>
      <c r="V1103" s="13"/>
      <c r="W1103" s="16"/>
    </row>
    <row r="1104" spans="21:23" ht="16" x14ac:dyDescent="0.2">
      <c r="U1104" s="12"/>
      <c r="V1104" s="13"/>
      <c r="W1104" s="16"/>
    </row>
    <row r="1105" spans="21:23" ht="16" x14ac:dyDescent="0.2">
      <c r="U1105" s="12"/>
      <c r="V1105" s="13"/>
      <c r="W1105" s="16"/>
    </row>
    <row r="1106" spans="21:23" ht="16" x14ac:dyDescent="0.2">
      <c r="U1106" s="12"/>
      <c r="V1106" s="13"/>
      <c r="W1106" s="16"/>
    </row>
    <row r="1107" spans="21:23" ht="16" x14ac:dyDescent="0.2">
      <c r="U1107" s="12"/>
      <c r="V1107" s="13"/>
      <c r="W1107" s="16"/>
    </row>
    <row r="1108" spans="21:23" ht="16" x14ac:dyDescent="0.2">
      <c r="U1108" s="12"/>
      <c r="V1108" s="13"/>
      <c r="W1108" s="16"/>
    </row>
    <row r="1109" spans="21:23" ht="16" x14ac:dyDescent="0.2">
      <c r="U1109" s="12"/>
      <c r="V1109" s="13"/>
      <c r="W1109" s="16"/>
    </row>
    <row r="1110" spans="21:23" ht="16" x14ac:dyDescent="0.2">
      <c r="U1110" s="12"/>
      <c r="V1110" s="13"/>
      <c r="W1110" s="16"/>
    </row>
    <row r="1111" spans="21:23" ht="16" x14ac:dyDescent="0.2">
      <c r="U1111" s="12"/>
      <c r="V1111" s="13"/>
      <c r="W1111" s="16"/>
    </row>
    <row r="1112" spans="21:23" ht="16" x14ac:dyDescent="0.2">
      <c r="U1112" s="12"/>
      <c r="V1112" s="13"/>
      <c r="W1112" s="16"/>
    </row>
    <row r="1113" spans="21:23" ht="16" x14ac:dyDescent="0.2">
      <c r="U1113" s="12"/>
      <c r="V1113" s="13"/>
      <c r="W1113" s="16"/>
    </row>
    <row r="1114" spans="21:23" ht="16" x14ac:dyDescent="0.2">
      <c r="U1114" s="12"/>
      <c r="V1114" s="13"/>
      <c r="W1114" s="16"/>
    </row>
    <row r="1115" spans="21:23" ht="16" x14ac:dyDescent="0.2">
      <c r="U1115" s="12"/>
      <c r="V1115" s="13"/>
      <c r="W1115" s="16"/>
    </row>
    <row r="1116" spans="21:23" ht="16" x14ac:dyDescent="0.2">
      <c r="U1116" s="12"/>
      <c r="V1116" s="13"/>
      <c r="W1116" s="16"/>
    </row>
    <row r="1117" spans="21:23" ht="16" x14ac:dyDescent="0.2">
      <c r="U1117" s="12"/>
      <c r="V1117" s="13"/>
      <c r="W1117" s="16"/>
    </row>
    <row r="1118" spans="21:23" ht="16" x14ac:dyDescent="0.2">
      <c r="U1118" s="12"/>
      <c r="V1118" s="13"/>
      <c r="W1118" s="16"/>
    </row>
    <row r="1119" spans="21:23" ht="16" x14ac:dyDescent="0.2">
      <c r="U1119" s="12"/>
      <c r="V1119" s="13"/>
      <c r="W1119" s="16"/>
    </row>
    <row r="1120" spans="21:23" ht="16" x14ac:dyDescent="0.2">
      <c r="U1120" s="12"/>
      <c r="V1120" s="13"/>
      <c r="W1120" s="16"/>
    </row>
    <row r="1121" spans="21:23" ht="16" x14ac:dyDescent="0.2">
      <c r="U1121" s="12"/>
      <c r="V1121" s="13"/>
      <c r="W1121" s="16"/>
    </row>
    <row r="1122" spans="21:23" ht="16" x14ac:dyDescent="0.2">
      <c r="U1122" s="12"/>
      <c r="V1122" s="13"/>
      <c r="W1122" s="16"/>
    </row>
    <row r="1123" spans="21:23" ht="16" x14ac:dyDescent="0.2">
      <c r="U1123" s="12"/>
      <c r="V1123" s="13"/>
      <c r="W1123" s="16"/>
    </row>
    <row r="1124" spans="21:23" ht="16" x14ac:dyDescent="0.2">
      <c r="U1124" s="12"/>
      <c r="V1124" s="13"/>
      <c r="W1124" s="16"/>
    </row>
    <row r="1125" spans="21:23" ht="16" x14ac:dyDescent="0.2">
      <c r="U1125" s="12"/>
      <c r="V1125" s="13"/>
      <c r="W1125" s="16"/>
    </row>
    <row r="1126" spans="21:23" ht="16" x14ac:dyDescent="0.2">
      <c r="U1126" s="12"/>
      <c r="V1126" s="13"/>
      <c r="W1126" s="16"/>
    </row>
    <row r="1127" spans="21:23" ht="16" x14ac:dyDescent="0.2">
      <c r="U1127" s="12"/>
      <c r="V1127" s="13"/>
      <c r="W1127" s="16"/>
    </row>
    <row r="1128" spans="21:23" ht="16" x14ac:dyDescent="0.2">
      <c r="U1128" s="12"/>
      <c r="V1128" s="13"/>
      <c r="W1128" s="16"/>
    </row>
    <row r="1129" spans="21:23" ht="16" x14ac:dyDescent="0.2">
      <c r="U1129" s="12"/>
      <c r="V1129" s="13"/>
      <c r="W1129" s="16"/>
    </row>
    <row r="1130" spans="21:23" ht="16" x14ac:dyDescent="0.2">
      <c r="U1130" s="12"/>
      <c r="V1130" s="13"/>
      <c r="W1130" s="16"/>
    </row>
    <row r="1131" spans="21:23" ht="16" x14ac:dyDescent="0.2">
      <c r="U1131" s="12"/>
      <c r="V1131" s="13"/>
      <c r="W1131" s="16"/>
    </row>
    <row r="1132" spans="21:23" ht="16" x14ac:dyDescent="0.2">
      <c r="U1132" s="12"/>
      <c r="V1132" s="13"/>
      <c r="W1132" s="16"/>
    </row>
    <row r="1133" spans="21:23" ht="16" x14ac:dyDescent="0.2">
      <c r="U1133" s="12"/>
      <c r="V1133" s="13"/>
      <c r="W1133" s="16"/>
    </row>
    <row r="1134" spans="21:23" ht="16" x14ac:dyDescent="0.2">
      <c r="U1134" s="12"/>
      <c r="V1134" s="13"/>
      <c r="W1134" s="16"/>
    </row>
    <row r="1135" spans="21:23" ht="16" x14ac:dyDescent="0.2">
      <c r="U1135" s="12"/>
      <c r="V1135" s="13"/>
      <c r="W1135" s="16"/>
    </row>
    <row r="1136" spans="21:23" ht="16" x14ac:dyDescent="0.2">
      <c r="U1136" s="12"/>
      <c r="V1136" s="13"/>
      <c r="W1136" s="16"/>
    </row>
    <row r="1137" spans="21:23" ht="16" x14ac:dyDescent="0.2">
      <c r="U1137" s="12"/>
      <c r="V1137" s="13"/>
      <c r="W1137" s="16"/>
    </row>
    <row r="1138" spans="21:23" ht="16" x14ac:dyDescent="0.2">
      <c r="U1138" s="12"/>
      <c r="V1138" s="13"/>
      <c r="W1138" s="16"/>
    </row>
    <row r="1139" spans="21:23" ht="16" x14ac:dyDescent="0.2">
      <c r="U1139" s="12"/>
      <c r="V1139" s="13"/>
      <c r="W1139" s="16"/>
    </row>
    <row r="1140" spans="21:23" ht="16" x14ac:dyDescent="0.2">
      <c r="U1140" s="12"/>
      <c r="V1140" s="13"/>
      <c r="W1140" s="16"/>
    </row>
    <row r="1141" spans="21:23" ht="16" x14ac:dyDescent="0.2">
      <c r="U1141" s="12"/>
      <c r="V1141" s="13"/>
      <c r="W1141" s="16"/>
    </row>
    <row r="1142" spans="21:23" ht="16" x14ac:dyDescent="0.2">
      <c r="U1142" s="12"/>
      <c r="V1142" s="13"/>
      <c r="W1142" s="16"/>
    </row>
    <row r="1143" spans="21:23" ht="16" x14ac:dyDescent="0.2">
      <c r="U1143" s="12"/>
      <c r="V1143" s="13"/>
      <c r="W1143" s="16"/>
    </row>
    <row r="1144" spans="21:23" ht="16" x14ac:dyDescent="0.2">
      <c r="U1144" s="12"/>
      <c r="V1144" s="13"/>
      <c r="W1144" s="16"/>
    </row>
    <row r="1145" spans="21:23" ht="16" x14ac:dyDescent="0.2">
      <c r="U1145" s="12"/>
      <c r="V1145" s="13"/>
      <c r="W1145" s="16"/>
    </row>
    <row r="1146" spans="21:23" ht="16" x14ac:dyDescent="0.2">
      <c r="U1146" s="12"/>
      <c r="V1146" s="13"/>
      <c r="W1146" s="16"/>
    </row>
    <row r="1147" spans="21:23" ht="16" x14ac:dyDescent="0.2">
      <c r="U1147" s="12"/>
      <c r="V1147" s="13"/>
      <c r="W1147" s="16"/>
    </row>
    <row r="1148" spans="21:23" ht="16" x14ac:dyDescent="0.2">
      <c r="U1148" s="12"/>
      <c r="V1148" s="13"/>
      <c r="W1148" s="16"/>
    </row>
    <row r="1149" spans="21:23" ht="16" x14ac:dyDescent="0.2">
      <c r="U1149" s="12"/>
      <c r="V1149" s="13"/>
      <c r="W1149" s="16"/>
    </row>
    <row r="1150" spans="21:23" ht="16" x14ac:dyDescent="0.2">
      <c r="U1150" s="12"/>
      <c r="V1150" s="13"/>
      <c r="W1150" s="16"/>
    </row>
    <row r="1151" spans="21:23" ht="16" x14ac:dyDescent="0.2">
      <c r="U1151" s="12"/>
      <c r="V1151" s="13"/>
      <c r="W1151" s="16"/>
    </row>
    <row r="1152" spans="21:23" ht="16" x14ac:dyDescent="0.2">
      <c r="U1152" s="12"/>
      <c r="V1152" s="13"/>
      <c r="W1152" s="16"/>
    </row>
    <row r="1153" spans="21:23" ht="16" x14ac:dyDescent="0.2">
      <c r="U1153" s="12"/>
      <c r="V1153" s="13"/>
      <c r="W1153" s="16"/>
    </row>
    <row r="1154" spans="21:23" ht="16" x14ac:dyDescent="0.2">
      <c r="U1154" s="12"/>
      <c r="V1154" s="13"/>
      <c r="W1154" s="16"/>
    </row>
    <row r="1155" spans="21:23" ht="16" x14ac:dyDescent="0.2">
      <c r="U1155" s="12"/>
      <c r="V1155" s="13"/>
      <c r="W1155" s="16"/>
    </row>
    <row r="1156" spans="21:23" ht="16" x14ac:dyDescent="0.2">
      <c r="U1156" s="12"/>
      <c r="V1156" s="13"/>
      <c r="W1156" s="16"/>
    </row>
    <row r="1157" spans="21:23" ht="16" x14ac:dyDescent="0.2">
      <c r="U1157" s="12"/>
      <c r="V1157" s="13"/>
      <c r="W1157" s="16"/>
    </row>
    <row r="1158" spans="21:23" ht="16" x14ac:dyDescent="0.2">
      <c r="U1158" s="12"/>
      <c r="V1158" s="13"/>
      <c r="W1158" s="16"/>
    </row>
    <row r="1159" spans="21:23" ht="16" x14ac:dyDescent="0.2">
      <c r="U1159" s="12"/>
      <c r="V1159" s="13"/>
      <c r="W1159" s="16"/>
    </row>
    <row r="1160" spans="21:23" ht="16" x14ac:dyDescent="0.2">
      <c r="U1160" s="12"/>
      <c r="V1160" s="13"/>
      <c r="W1160" s="16"/>
    </row>
    <row r="1161" spans="21:23" ht="16" x14ac:dyDescent="0.2">
      <c r="U1161" s="12"/>
      <c r="V1161" s="13"/>
      <c r="W1161" s="16"/>
    </row>
    <row r="1162" spans="21:23" ht="16" x14ac:dyDescent="0.2">
      <c r="U1162" s="12"/>
      <c r="V1162" s="13"/>
      <c r="W1162" s="16"/>
    </row>
    <row r="1163" spans="21:23" ht="16" x14ac:dyDescent="0.2">
      <c r="U1163" s="12"/>
      <c r="V1163" s="13"/>
      <c r="W1163" s="16"/>
    </row>
    <row r="1164" spans="21:23" ht="16" x14ac:dyDescent="0.2">
      <c r="U1164" s="12"/>
      <c r="V1164" s="13"/>
      <c r="W1164" s="16"/>
    </row>
    <row r="1165" spans="21:23" ht="16" x14ac:dyDescent="0.2">
      <c r="U1165" s="12"/>
      <c r="V1165" s="13"/>
      <c r="W1165" s="16"/>
    </row>
    <row r="1166" spans="21:23" ht="16" x14ac:dyDescent="0.2">
      <c r="U1166" s="12"/>
      <c r="V1166" s="13"/>
      <c r="W1166" s="16"/>
    </row>
    <row r="1167" spans="21:23" ht="16" x14ac:dyDescent="0.2">
      <c r="U1167" s="12"/>
      <c r="V1167" s="13"/>
      <c r="W1167" s="16"/>
    </row>
    <row r="1168" spans="21:23" ht="16" x14ac:dyDescent="0.2">
      <c r="U1168" s="12"/>
      <c r="V1168" s="13"/>
      <c r="W1168" s="16"/>
    </row>
    <row r="1169" spans="21:23" ht="16" x14ac:dyDescent="0.2">
      <c r="U1169" s="12"/>
      <c r="V1169" s="13"/>
      <c r="W1169" s="16"/>
    </row>
    <row r="1170" spans="21:23" ht="16" x14ac:dyDescent="0.2">
      <c r="U1170" s="12"/>
      <c r="V1170" s="13"/>
      <c r="W1170" s="16"/>
    </row>
    <row r="1171" spans="21:23" ht="16" x14ac:dyDescent="0.2">
      <c r="U1171" s="12"/>
      <c r="V1171" s="13"/>
      <c r="W1171" s="16"/>
    </row>
    <row r="1172" spans="21:23" ht="16" x14ac:dyDescent="0.2">
      <c r="U1172" s="12"/>
      <c r="V1172" s="13"/>
      <c r="W1172" s="16"/>
    </row>
    <row r="1173" spans="21:23" ht="16" x14ac:dyDescent="0.2">
      <c r="U1173" s="12"/>
      <c r="V1173" s="13"/>
      <c r="W1173" s="16"/>
    </row>
    <row r="1174" spans="21:23" ht="16" x14ac:dyDescent="0.2">
      <c r="U1174" s="12"/>
      <c r="V1174" s="13"/>
      <c r="W1174" s="16"/>
    </row>
    <row r="1175" spans="21:23" ht="16" x14ac:dyDescent="0.2">
      <c r="U1175" s="12"/>
      <c r="V1175" s="13"/>
      <c r="W1175" s="16"/>
    </row>
    <row r="1176" spans="21:23" ht="16" x14ac:dyDescent="0.2">
      <c r="U1176" s="12"/>
      <c r="V1176" s="13"/>
      <c r="W1176" s="16"/>
    </row>
    <row r="1177" spans="21:23" ht="16" x14ac:dyDescent="0.2">
      <c r="U1177" s="12"/>
      <c r="V1177" s="13"/>
      <c r="W1177" s="16"/>
    </row>
    <row r="1178" spans="21:23" ht="16" x14ac:dyDescent="0.2">
      <c r="U1178" s="12"/>
      <c r="V1178" s="13"/>
      <c r="W1178" s="16"/>
    </row>
    <row r="1179" spans="21:23" ht="16" x14ac:dyDescent="0.2">
      <c r="U1179" s="12"/>
      <c r="V1179" s="13"/>
      <c r="W1179" s="16"/>
    </row>
    <row r="1180" spans="21:23" ht="16" x14ac:dyDescent="0.2">
      <c r="U1180" s="12"/>
      <c r="V1180" s="13"/>
      <c r="W1180" s="16"/>
    </row>
    <row r="1181" spans="21:23" ht="16" x14ac:dyDescent="0.2">
      <c r="U1181" s="12"/>
      <c r="V1181" s="13"/>
      <c r="W1181" s="16"/>
    </row>
    <row r="1182" spans="21:23" ht="16" x14ac:dyDescent="0.2">
      <c r="U1182" s="12"/>
      <c r="V1182" s="13"/>
      <c r="W1182" s="16"/>
    </row>
    <row r="1183" spans="21:23" ht="16" x14ac:dyDescent="0.2">
      <c r="U1183" s="12"/>
      <c r="V1183" s="13"/>
      <c r="W1183" s="16"/>
    </row>
    <row r="1184" spans="21:23" ht="16" x14ac:dyDescent="0.2">
      <c r="U1184" s="12"/>
      <c r="V1184" s="13"/>
      <c r="W1184" s="16"/>
    </row>
    <row r="1185" spans="21:23" ht="16" x14ac:dyDescent="0.2">
      <c r="U1185" s="12"/>
      <c r="V1185" s="13"/>
      <c r="W1185" s="16"/>
    </row>
    <row r="1186" spans="21:23" ht="16" x14ac:dyDescent="0.2">
      <c r="U1186" s="12"/>
      <c r="V1186" s="13"/>
      <c r="W1186" s="16"/>
    </row>
    <row r="1187" spans="21:23" ht="16" x14ac:dyDescent="0.2">
      <c r="U1187" s="12"/>
      <c r="V1187" s="13"/>
      <c r="W1187" s="16"/>
    </row>
    <row r="1188" spans="21:23" ht="16" x14ac:dyDescent="0.2">
      <c r="U1188" s="12"/>
      <c r="V1188" s="13"/>
      <c r="W1188" s="16"/>
    </row>
    <row r="1189" spans="21:23" ht="16" x14ac:dyDescent="0.2">
      <c r="U1189" s="12"/>
      <c r="V1189" s="13"/>
      <c r="W1189" s="16"/>
    </row>
    <row r="1190" spans="21:23" ht="16" x14ac:dyDescent="0.2">
      <c r="U1190" s="12"/>
      <c r="V1190" s="13"/>
      <c r="W1190" s="16"/>
    </row>
    <row r="1191" spans="21:23" ht="16" x14ac:dyDescent="0.2">
      <c r="U1191" s="12"/>
      <c r="V1191" s="13"/>
      <c r="W1191" s="16"/>
    </row>
    <row r="1192" spans="21:23" ht="16" x14ac:dyDescent="0.2">
      <c r="U1192" s="12"/>
      <c r="V1192" s="13"/>
      <c r="W1192" s="16"/>
    </row>
    <row r="1193" spans="21:23" ht="16" x14ac:dyDescent="0.2">
      <c r="U1193" s="12"/>
      <c r="V1193" s="13"/>
      <c r="W1193" s="16"/>
    </row>
    <row r="1194" spans="21:23" ht="16" x14ac:dyDescent="0.2">
      <c r="U1194" s="12"/>
      <c r="V1194" s="13"/>
      <c r="W1194" s="16"/>
    </row>
    <row r="1195" spans="21:23" ht="16" x14ac:dyDescent="0.2">
      <c r="U1195" s="12"/>
      <c r="V1195" s="13"/>
      <c r="W1195" s="16"/>
    </row>
    <row r="1196" spans="21:23" ht="16" x14ac:dyDescent="0.2">
      <c r="U1196" s="12"/>
      <c r="V1196" s="13"/>
      <c r="W1196" s="16"/>
    </row>
    <row r="1197" spans="21:23" ht="16" x14ac:dyDescent="0.2">
      <c r="U1197" s="12"/>
      <c r="V1197" s="13"/>
      <c r="W1197" s="16"/>
    </row>
    <row r="1198" spans="21:23" ht="16" x14ac:dyDescent="0.2">
      <c r="U1198" s="12"/>
      <c r="V1198" s="13"/>
      <c r="W1198" s="16"/>
    </row>
    <row r="1199" spans="21:23" ht="16" x14ac:dyDescent="0.2">
      <c r="U1199" s="12"/>
      <c r="V1199" s="13"/>
      <c r="W1199" s="16"/>
    </row>
    <row r="1200" spans="21:23" ht="16" x14ac:dyDescent="0.2">
      <c r="U1200" s="12"/>
      <c r="V1200" s="13"/>
      <c r="W1200" s="16"/>
    </row>
    <row r="1201" spans="21:23" ht="16" x14ac:dyDescent="0.2">
      <c r="U1201" s="12"/>
      <c r="V1201" s="13"/>
      <c r="W1201" s="16"/>
    </row>
    <row r="1202" spans="21:23" ht="16" x14ac:dyDescent="0.2">
      <c r="U1202" s="12"/>
      <c r="V1202" s="13"/>
      <c r="W1202" s="16"/>
    </row>
    <row r="1203" spans="21:23" ht="16" x14ac:dyDescent="0.2">
      <c r="U1203" s="12"/>
      <c r="V1203" s="13"/>
      <c r="W1203" s="16"/>
    </row>
    <row r="1204" spans="21:23" ht="16" x14ac:dyDescent="0.2">
      <c r="U1204" s="12"/>
      <c r="V1204" s="13"/>
      <c r="W1204" s="16"/>
    </row>
    <row r="1205" spans="21:23" ht="16" x14ac:dyDescent="0.2">
      <c r="U1205" s="12"/>
      <c r="V1205" s="13"/>
      <c r="W1205" s="16"/>
    </row>
    <row r="1206" spans="21:23" ht="16" x14ac:dyDescent="0.2">
      <c r="U1206" s="12"/>
      <c r="V1206" s="13"/>
      <c r="W1206" s="16"/>
    </row>
    <row r="1207" spans="21:23" ht="16" x14ac:dyDescent="0.2">
      <c r="U1207" s="12"/>
      <c r="V1207" s="13"/>
      <c r="W1207" s="16"/>
    </row>
    <row r="1208" spans="21:23" ht="16" x14ac:dyDescent="0.2">
      <c r="U1208" s="12"/>
      <c r="V1208" s="13"/>
      <c r="W1208" s="16"/>
    </row>
    <row r="1209" spans="21:23" ht="16" x14ac:dyDescent="0.2">
      <c r="U1209" s="12"/>
      <c r="V1209" s="13"/>
      <c r="W1209" s="16"/>
    </row>
    <row r="1210" spans="21:23" ht="16" x14ac:dyDescent="0.2">
      <c r="U1210" s="12"/>
      <c r="V1210" s="13"/>
      <c r="W1210" s="16"/>
    </row>
    <row r="1211" spans="21:23" ht="16" x14ac:dyDescent="0.2">
      <c r="U1211" s="12"/>
      <c r="V1211" s="13"/>
      <c r="W1211" s="16"/>
    </row>
    <row r="1212" spans="21:23" ht="16" x14ac:dyDescent="0.2">
      <c r="U1212" s="12"/>
      <c r="V1212" s="13"/>
      <c r="W1212" s="16"/>
    </row>
    <row r="1213" spans="21:23" ht="16" x14ac:dyDescent="0.2">
      <c r="U1213" s="12"/>
      <c r="V1213" s="13"/>
      <c r="W1213" s="16"/>
    </row>
    <row r="1214" spans="21:23" ht="16" x14ac:dyDescent="0.2">
      <c r="U1214" s="12"/>
      <c r="V1214" s="13"/>
      <c r="W1214" s="16"/>
    </row>
    <row r="1215" spans="21:23" ht="16" x14ac:dyDescent="0.2">
      <c r="U1215" s="12"/>
      <c r="V1215" s="13"/>
      <c r="W1215" s="16"/>
    </row>
    <row r="1216" spans="21:23" ht="16" x14ac:dyDescent="0.2">
      <c r="U1216" s="12"/>
      <c r="V1216" s="13"/>
      <c r="W1216" s="16"/>
    </row>
    <row r="1217" spans="21:23" ht="16" x14ac:dyDescent="0.2">
      <c r="U1217" s="12"/>
      <c r="V1217" s="13"/>
      <c r="W1217" s="16"/>
    </row>
    <row r="1218" spans="21:23" ht="16" x14ac:dyDescent="0.2">
      <c r="U1218" s="12"/>
      <c r="V1218" s="13"/>
      <c r="W1218" s="16"/>
    </row>
    <row r="1219" spans="21:23" ht="16" x14ac:dyDescent="0.2">
      <c r="U1219" s="12"/>
      <c r="V1219" s="13"/>
      <c r="W1219" s="16"/>
    </row>
    <row r="1220" spans="21:23" ht="16" x14ac:dyDescent="0.2">
      <c r="U1220" s="12"/>
      <c r="V1220" s="13"/>
      <c r="W1220" s="16"/>
    </row>
    <row r="1221" spans="21:23" ht="16" x14ac:dyDescent="0.2">
      <c r="U1221" s="12"/>
      <c r="V1221" s="13"/>
      <c r="W1221" s="16"/>
    </row>
    <row r="1222" spans="21:23" ht="16" x14ac:dyDescent="0.2">
      <c r="U1222" s="12"/>
      <c r="V1222" s="13"/>
      <c r="W1222" s="16"/>
    </row>
    <row r="1223" spans="21:23" ht="16" x14ac:dyDescent="0.2">
      <c r="U1223" s="12"/>
      <c r="V1223" s="13"/>
      <c r="W1223" s="16"/>
    </row>
    <row r="1224" spans="21:23" ht="16" x14ac:dyDescent="0.2">
      <c r="U1224" s="12"/>
      <c r="V1224" s="13"/>
      <c r="W1224" s="16"/>
    </row>
    <row r="1225" spans="21:23" ht="16" x14ac:dyDescent="0.2">
      <c r="U1225" s="12"/>
      <c r="V1225" s="13"/>
      <c r="W1225" s="16"/>
    </row>
    <row r="1226" spans="21:23" ht="16" x14ac:dyDescent="0.2">
      <c r="U1226" s="12"/>
      <c r="V1226" s="13"/>
      <c r="W1226" s="16"/>
    </row>
    <row r="1227" spans="21:23" ht="16" x14ac:dyDescent="0.2">
      <c r="U1227" s="12"/>
      <c r="V1227" s="13"/>
      <c r="W1227" s="16"/>
    </row>
    <row r="1228" spans="21:23" ht="16" x14ac:dyDescent="0.2">
      <c r="U1228" s="12"/>
      <c r="V1228" s="13"/>
      <c r="W1228" s="16"/>
    </row>
    <row r="1229" spans="21:23" ht="16" x14ac:dyDescent="0.2">
      <c r="U1229" s="12"/>
      <c r="V1229" s="13"/>
      <c r="W1229" s="16"/>
    </row>
    <row r="1230" spans="21:23" ht="16" x14ac:dyDescent="0.2">
      <c r="U1230" s="12"/>
      <c r="V1230" s="13"/>
      <c r="W1230" s="16"/>
    </row>
    <row r="1231" spans="21:23" ht="16" x14ac:dyDescent="0.2">
      <c r="U1231" s="12"/>
      <c r="V1231" s="13"/>
      <c r="W1231" s="16"/>
    </row>
    <row r="1232" spans="21:23" ht="16" x14ac:dyDescent="0.2">
      <c r="U1232" s="12"/>
      <c r="V1232" s="13"/>
      <c r="W1232" s="16"/>
    </row>
    <row r="1233" spans="21:23" ht="16" x14ac:dyDescent="0.2">
      <c r="U1233" s="12"/>
      <c r="V1233" s="13"/>
      <c r="W1233" s="16"/>
    </row>
    <row r="1234" spans="21:23" ht="16" x14ac:dyDescent="0.2">
      <c r="U1234" s="12"/>
      <c r="V1234" s="13"/>
      <c r="W1234" s="16"/>
    </row>
    <row r="1235" spans="21:23" ht="16" x14ac:dyDescent="0.2">
      <c r="U1235" s="12"/>
      <c r="V1235" s="13"/>
      <c r="W1235" s="16"/>
    </row>
    <row r="1236" spans="21:23" ht="16" x14ac:dyDescent="0.2">
      <c r="U1236" s="12"/>
      <c r="V1236" s="13"/>
      <c r="W1236" s="16"/>
    </row>
    <row r="1237" spans="21:23" ht="16" x14ac:dyDescent="0.2">
      <c r="U1237" s="12"/>
      <c r="V1237" s="13"/>
      <c r="W1237" s="16"/>
    </row>
    <row r="1238" spans="21:23" ht="16" x14ac:dyDescent="0.2">
      <c r="U1238" s="12"/>
      <c r="V1238" s="13"/>
      <c r="W1238" s="16"/>
    </row>
    <row r="1239" spans="21:23" ht="16" x14ac:dyDescent="0.2">
      <c r="U1239" s="12"/>
      <c r="V1239" s="13"/>
      <c r="W1239" s="16"/>
    </row>
    <row r="1240" spans="21:23" ht="16" x14ac:dyDescent="0.2">
      <c r="U1240" s="12"/>
      <c r="V1240" s="13"/>
      <c r="W1240" s="16"/>
    </row>
    <row r="1241" spans="21:23" ht="16" x14ac:dyDescent="0.2">
      <c r="U1241" s="12"/>
      <c r="V1241" s="13"/>
      <c r="W1241" s="16"/>
    </row>
    <row r="1242" spans="21:23" ht="16" x14ac:dyDescent="0.2">
      <c r="U1242" s="12"/>
      <c r="V1242" s="13"/>
      <c r="W1242" s="16"/>
    </row>
    <row r="1243" spans="21:23" ht="16" x14ac:dyDescent="0.2">
      <c r="U1243" s="12"/>
      <c r="V1243" s="13"/>
      <c r="W1243" s="16"/>
    </row>
    <row r="1244" spans="21:23" ht="16" x14ac:dyDescent="0.2">
      <c r="U1244" s="12"/>
      <c r="V1244" s="13"/>
      <c r="W1244" s="16"/>
    </row>
    <row r="1245" spans="21:23" ht="16" x14ac:dyDescent="0.2">
      <c r="U1245" s="12"/>
      <c r="V1245" s="13"/>
      <c r="W1245" s="16"/>
    </row>
    <row r="1246" spans="21:23" ht="16" x14ac:dyDescent="0.2">
      <c r="U1246" s="12"/>
      <c r="V1246" s="13"/>
      <c r="W1246" s="16"/>
    </row>
    <row r="1247" spans="21:23" ht="16" x14ac:dyDescent="0.2">
      <c r="U1247" s="12"/>
      <c r="V1247" s="13"/>
      <c r="W1247" s="16"/>
    </row>
    <row r="1248" spans="21:23" ht="16" x14ac:dyDescent="0.2">
      <c r="U1248" s="12"/>
      <c r="V1248" s="13"/>
      <c r="W1248" s="16"/>
    </row>
    <row r="1249" spans="21:23" ht="16" x14ac:dyDescent="0.2">
      <c r="U1249" s="12"/>
      <c r="V1249" s="13"/>
      <c r="W1249" s="16"/>
    </row>
    <row r="1250" spans="21:23" ht="16" x14ac:dyDescent="0.2">
      <c r="U1250" s="12"/>
      <c r="V1250" s="13"/>
      <c r="W1250" s="16"/>
    </row>
    <row r="1251" spans="21:23" ht="16" x14ac:dyDescent="0.2">
      <c r="U1251" s="12"/>
      <c r="V1251" s="13"/>
      <c r="W1251" s="16"/>
    </row>
    <row r="1252" spans="21:23" ht="16" x14ac:dyDescent="0.2">
      <c r="U1252" s="12"/>
      <c r="V1252" s="13"/>
      <c r="W1252" s="16"/>
    </row>
    <row r="1253" spans="21:23" ht="16" x14ac:dyDescent="0.2">
      <c r="U1253" s="12"/>
      <c r="V1253" s="13"/>
      <c r="W1253" s="16"/>
    </row>
    <row r="1254" spans="21:23" ht="16" x14ac:dyDescent="0.2">
      <c r="U1254" s="12"/>
      <c r="V1254" s="13"/>
      <c r="W1254" s="16"/>
    </row>
    <row r="1255" spans="21:23" ht="16" x14ac:dyDescent="0.2">
      <c r="U1255" s="12"/>
      <c r="V1255" s="13"/>
      <c r="W1255" s="16"/>
    </row>
    <row r="1256" spans="21:23" ht="16" x14ac:dyDescent="0.2">
      <c r="U1256" s="12"/>
      <c r="V1256" s="13"/>
      <c r="W1256" s="16"/>
    </row>
    <row r="1257" spans="21:23" ht="16" x14ac:dyDescent="0.2">
      <c r="U1257" s="12"/>
      <c r="V1257" s="13"/>
      <c r="W1257" s="16"/>
    </row>
    <row r="1258" spans="21:23" ht="16" x14ac:dyDescent="0.2">
      <c r="U1258" s="12"/>
      <c r="V1258" s="13"/>
      <c r="W1258" s="16"/>
    </row>
    <row r="1259" spans="21:23" ht="16" x14ac:dyDescent="0.2">
      <c r="U1259" s="12"/>
      <c r="V1259" s="13"/>
      <c r="W1259" s="16"/>
    </row>
    <row r="1260" spans="21:23" ht="16" x14ac:dyDescent="0.2">
      <c r="U1260" s="12"/>
      <c r="V1260" s="13"/>
      <c r="W1260" s="16"/>
    </row>
    <row r="1261" spans="21:23" ht="16" x14ac:dyDescent="0.2">
      <c r="U1261" s="12"/>
      <c r="V1261" s="13"/>
      <c r="W1261" s="16"/>
    </row>
    <row r="1262" spans="21:23" ht="16" x14ac:dyDescent="0.2">
      <c r="U1262" s="12"/>
      <c r="V1262" s="13"/>
      <c r="W1262" s="16"/>
    </row>
    <row r="1263" spans="21:23" ht="16" x14ac:dyDescent="0.2">
      <c r="U1263" s="12"/>
      <c r="V1263" s="13"/>
      <c r="W1263" s="16"/>
    </row>
    <row r="1264" spans="21:23" ht="16" x14ac:dyDescent="0.2">
      <c r="U1264" s="12"/>
      <c r="V1264" s="13"/>
      <c r="W1264" s="16"/>
    </row>
    <row r="1265" spans="21:23" ht="16" x14ac:dyDescent="0.2">
      <c r="U1265" s="12"/>
      <c r="V1265" s="13"/>
      <c r="W1265" s="16"/>
    </row>
    <row r="1266" spans="21:23" ht="16" x14ac:dyDescent="0.2">
      <c r="U1266" s="12"/>
      <c r="V1266" s="13"/>
      <c r="W1266" s="16"/>
    </row>
    <row r="1267" spans="21:23" ht="16" x14ac:dyDescent="0.2">
      <c r="U1267" s="12"/>
      <c r="V1267" s="13"/>
      <c r="W1267" s="16"/>
    </row>
    <row r="1268" spans="21:23" ht="16" x14ac:dyDescent="0.2">
      <c r="U1268" s="12"/>
      <c r="V1268" s="13"/>
      <c r="W1268" s="16"/>
    </row>
    <row r="1269" spans="21:23" ht="16" x14ac:dyDescent="0.2">
      <c r="U1269" s="12"/>
      <c r="V1269" s="13"/>
      <c r="W1269" s="16"/>
    </row>
    <row r="1270" spans="21:23" ht="16" x14ac:dyDescent="0.2">
      <c r="U1270" s="12"/>
      <c r="V1270" s="13"/>
      <c r="W1270" s="16"/>
    </row>
    <row r="1271" spans="21:23" ht="16" x14ac:dyDescent="0.2">
      <c r="U1271" s="12"/>
      <c r="V1271" s="13"/>
      <c r="W1271" s="16"/>
    </row>
    <row r="1272" spans="21:23" ht="16" x14ac:dyDescent="0.2">
      <c r="U1272" s="12"/>
      <c r="V1272" s="13"/>
      <c r="W1272" s="16"/>
    </row>
    <row r="1273" spans="21:23" ht="16" x14ac:dyDescent="0.2">
      <c r="U1273" s="12"/>
      <c r="V1273" s="13"/>
      <c r="W1273" s="16"/>
    </row>
    <row r="1274" spans="21:23" ht="16" x14ac:dyDescent="0.2">
      <c r="U1274" s="12"/>
      <c r="V1274" s="13"/>
      <c r="W1274" s="16"/>
    </row>
    <row r="1275" spans="21:23" ht="16" x14ac:dyDescent="0.2">
      <c r="U1275" s="12"/>
      <c r="V1275" s="13"/>
      <c r="W1275" s="16"/>
    </row>
    <row r="1276" spans="21:23" ht="16" x14ac:dyDescent="0.2">
      <c r="U1276" s="12"/>
      <c r="V1276" s="13"/>
      <c r="W1276" s="16"/>
    </row>
    <row r="1277" spans="21:23" ht="16" x14ac:dyDescent="0.2">
      <c r="U1277" s="12"/>
      <c r="V1277" s="13"/>
      <c r="W1277" s="16"/>
    </row>
    <row r="1278" spans="21:23" ht="16" x14ac:dyDescent="0.2">
      <c r="U1278" s="12"/>
      <c r="V1278" s="13"/>
      <c r="W1278" s="16"/>
    </row>
    <row r="1279" spans="21:23" ht="16" x14ac:dyDescent="0.2">
      <c r="U1279" s="12"/>
      <c r="V1279" s="13"/>
      <c r="W1279" s="16"/>
    </row>
    <row r="1280" spans="21:23" ht="16" x14ac:dyDescent="0.2">
      <c r="U1280" s="12"/>
      <c r="V1280" s="13"/>
      <c r="W1280" s="16"/>
    </row>
    <row r="1281" spans="21:23" ht="16" x14ac:dyDescent="0.2">
      <c r="U1281" s="12"/>
      <c r="V1281" s="13"/>
      <c r="W1281" s="16"/>
    </row>
    <row r="1282" spans="21:23" ht="16" x14ac:dyDescent="0.2">
      <c r="U1282" s="12"/>
      <c r="V1282" s="13"/>
      <c r="W1282" s="16"/>
    </row>
    <row r="1283" spans="21:23" ht="16" x14ac:dyDescent="0.2">
      <c r="U1283" s="12"/>
      <c r="V1283" s="13"/>
      <c r="W1283" s="16"/>
    </row>
    <row r="1284" spans="21:23" ht="16" x14ac:dyDescent="0.2">
      <c r="U1284" s="12"/>
      <c r="V1284" s="13"/>
      <c r="W1284" s="16"/>
    </row>
    <row r="1285" spans="21:23" ht="16" x14ac:dyDescent="0.2">
      <c r="U1285" s="12"/>
      <c r="V1285" s="13"/>
      <c r="W1285" s="16"/>
    </row>
    <row r="1286" spans="21:23" ht="16" x14ac:dyDescent="0.2">
      <c r="U1286" s="12"/>
      <c r="V1286" s="13"/>
      <c r="W1286" s="16"/>
    </row>
    <row r="1287" spans="21:23" ht="16" x14ac:dyDescent="0.2">
      <c r="U1287" s="12"/>
      <c r="V1287" s="13"/>
      <c r="W1287" s="16"/>
    </row>
    <row r="1288" spans="21:23" ht="16" x14ac:dyDescent="0.2">
      <c r="U1288" s="12"/>
      <c r="V1288" s="13"/>
      <c r="W1288" s="16"/>
    </row>
    <row r="1289" spans="21:23" ht="16" x14ac:dyDescent="0.2">
      <c r="U1289" s="12"/>
      <c r="V1289" s="13"/>
      <c r="W1289" s="16"/>
    </row>
    <row r="1290" spans="21:23" ht="16" x14ac:dyDescent="0.2">
      <c r="U1290" s="12"/>
      <c r="V1290" s="13"/>
      <c r="W1290" s="16"/>
    </row>
    <row r="1291" spans="21:23" ht="16" x14ac:dyDescent="0.2">
      <c r="U1291" s="12"/>
      <c r="V1291" s="13"/>
      <c r="W1291" s="16"/>
    </row>
    <row r="1292" spans="21:23" ht="16" x14ac:dyDescent="0.2">
      <c r="U1292" s="12"/>
      <c r="V1292" s="13"/>
      <c r="W1292" s="16"/>
    </row>
    <row r="1293" spans="21:23" ht="16" x14ac:dyDescent="0.2">
      <c r="U1293" s="12"/>
      <c r="V1293" s="13"/>
      <c r="W1293" s="16"/>
    </row>
    <row r="1294" spans="21:23" ht="16" x14ac:dyDescent="0.2">
      <c r="U1294" s="12"/>
      <c r="V1294" s="13"/>
      <c r="W1294" s="16"/>
    </row>
    <row r="1295" spans="21:23" ht="16" x14ac:dyDescent="0.2">
      <c r="U1295" s="12"/>
      <c r="V1295" s="13"/>
      <c r="W1295" s="16"/>
    </row>
    <row r="1296" spans="21:23" ht="16" x14ac:dyDescent="0.2">
      <c r="U1296" s="12"/>
      <c r="V1296" s="13"/>
      <c r="W1296" s="16"/>
    </row>
    <row r="1297" spans="21:23" ht="16" x14ac:dyDescent="0.2">
      <c r="U1297" s="12"/>
      <c r="V1297" s="13"/>
      <c r="W1297" s="16"/>
    </row>
    <row r="1298" spans="21:23" ht="16" x14ac:dyDescent="0.2">
      <c r="U1298" s="12"/>
      <c r="V1298" s="13"/>
      <c r="W1298" s="16"/>
    </row>
    <row r="1299" spans="21:23" ht="16" x14ac:dyDescent="0.2">
      <c r="U1299" s="12"/>
      <c r="V1299" s="13"/>
      <c r="W1299" s="16"/>
    </row>
    <row r="1300" spans="21:23" ht="16" x14ac:dyDescent="0.2">
      <c r="U1300" s="12"/>
      <c r="V1300" s="13"/>
      <c r="W1300" s="16"/>
    </row>
    <row r="1301" spans="21:23" ht="16" x14ac:dyDescent="0.2">
      <c r="U1301" s="12"/>
      <c r="V1301" s="13"/>
      <c r="W1301" s="16"/>
    </row>
    <row r="1302" spans="21:23" ht="16" x14ac:dyDescent="0.2">
      <c r="U1302" s="12"/>
      <c r="V1302" s="13"/>
      <c r="W1302" s="16"/>
    </row>
    <row r="1303" spans="21:23" ht="16" x14ac:dyDescent="0.2">
      <c r="U1303" s="12"/>
      <c r="V1303" s="13"/>
      <c r="W1303" s="16"/>
    </row>
    <row r="1304" spans="21:23" ht="16" x14ac:dyDescent="0.2">
      <c r="U1304" s="12"/>
      <c r="V1304" s="13"/>
      <c r="W1304" s="16"/>
    </row>
    <row r="1305" spans="21:23" ht="16" x14ac:dyDescent="0.2">
      <c r="U1305" s="12"/>
      <c r="V1305" s="13"/>
      <c r="W1305" s="16"/>
    </row>
    <row r="1306" spans="21:23" ht="16" x14ac:dyDescent="0.2">
      <c r="U1306" s="12"/>
      <c r="V1306" s="13"/>
      <c r="W1306" s="16"/>
    </row>
    <row r="1307" spans="21:23" ht="16" x14ac:dyDescent="0.2">
      <c r="U1307" s="12"/>
      <c r="V1307" s="13"/>
      <c r="W1307" s="16"/>
    </row>
    <row r="1308" spans="21:23" ht="16" x14ac:dyDescent="0.2">
      <c r="U1308" s="12"/>
      <c r="V1308" s="13"/>
      <c r="W1308" s="16"/>
    </row>
    <row r="1309" spans="21:23" ht="16" x14ac:dyDescent="0.2">
      <c r="U1309" s="12"/>
      <c r="V1309" s="13"/>
      <c r="W1309" s="16"/>
    </row>
    <row r="1310" spans="21:23" ht="16" x14ac:dyDescent="0.2">
      <c r="U1310" s="12"/>
      <c r="V1310" s="13"/>
      <c r="W1310" s="16"/>
    </row>
    <row r="1311" spans="21:23" ht="16" x14ac:dyDescent="0.2">
      <c r="U1311" s="12"/>
      <c r="V1311" s="13"/>
      <c r="W1311" s="16"/>
    </row>
    <row r="1312" spans="21:23" ht="16" x14ac:dyDescent="0.2">
      <c r="U1312" s="12"/>
      <c r="V1312" s="13"/>
      <c r="W1312" s="16"/>
    </row>
    <row r="1313" spans="21:23" ht="16" x14ac:dyDescent="0.2">
      <c r="U1313" s="12"/>
      <c r="V1313" s="13"/>
      <c r="W1313" s="16"/>
    </row>
    <row r="1314" spans="21:23" ht="16" x14ac:dyDescent="0.2">
      <c r="U1314" s="12"/>
      <c r="V1314" s="13"/>
      <c r="W1314" s="16"/>
    </row>
    <row r="1315" spans="21:23" ht="16" x14ac:dyDescent="0.2">
      <c r="U1315" s="12"/>
      <c r="V1315" s="13"/>
      <c r="W1315" s="16"/>
    </row>
    <row r="1316" spans="21:23" ht="16" x14ac:dyDescent="0.2">
      <c r="U1316" s="12"/>
      <c r="V1316" s="13"/>
      <c r="W1316" s="16"/>
    </row>
    <row r="1317" spans="21:23" ht="16" x14ac:dyDescent="0.2">
      <c r="U1317" s="12"/>
      <c r="V1317" s="13"/>
      <c r="W1317" s="16"/>
    </row>
    <row r="1318" spans="21:23" ht="16" x14ac:dyDescent="0.2">
      <c r="U1318" s="12"/>
      <c r="V1318" s="13"/>
      <c r="W1318" s="16"/>
    </row>
    <row r="1319" spans="21:23" ht="16" x14ac:dyDescent="0.2">
      <c r="U1319" s="12"/>
      <c r="V1319" s="13"/>
      <c r="W1319" s="16"/>
    </row>
    <row r="1320" spans="21:23" ht="16" x14ac:dyDescent="0.2">
      <c r="U1320" s="12"/>
      <c r="V1320" s="13"/>
      <c r="W1320" s="16"/>
    </row>
    <row r="1321" spans="21:23" ht="16" x14ac:dyDescent="0.2">
      <c r="U1321" s="12"/>
      <c r="V1321" s="13"/>
      <c r="W1321" s="16"/>
    </row>
    <row r="1322" spans="21:23" ht="16" x14ac:dyDescent="0.2">
      <c r="U1322" s="12"/>
      <c r="V1322" s="13"/>
      <c r="W1322" s="16"/>
    </row>
    <row r="1323" spans="21:23" ht="16" x14ac:dyDescent="0.2">
      <c r="U1323" s="12"/>
      <c r="V1323" s="13"/>
      <c r="W1323" s="16"/>
    </row>
    <row r="1324" spans="21:23" ht="16" x14ac:dyDescent="0.2">
      <c r="U1324" s="12"/>
      <c r="V1324" s="13"/>
      <c r="W1324" s="16"/>
    </row>
    <row r="1325" spans="21:23" ht="16" x14ac:dyDescent="0.2">
      <c r="U1325" s="12"/>
      <c r="V1325" s="13"/>
      <c r="W1325" s="16"/>
    </row>
    <row r="1326" spans="21:23" ht="16" x14ac:dyDescent="0.2">
      <c r="U1326" s="12"/>
      <c r="V1326" s="13"/>
      <c r="W1326" s="16"/>
    </row>
    <row r="1327" spans="21:23" ht="16" x14ac:dyDescent="0.2">
      <c r="U1327" s="12"/>
      <c r="V1327" s="13"/>
      <c r="W1327" s="16"/>
    </row>
    <row r="1328" spans="21:23" ht="16" x14ac:dyDescent="0.2">
      <c r="U1328" s="12"/>
      <c r="V1328" s="13"/>
      <c r="W1328" s="16"/>
    </row>
    <row r="1329" spans="21:23" ht="16" x14ac:dyDescent="0.2">
      <c r="U1329" s="12"/>
      <c r="V1329" s="13"/>
      <c r="W1329" s="16"/>
    </row>
    <row r="1330" spans="21:23" ht="16" x14ac:dyDescent="0.2">
      <c r="U1330" s="12"/>
      <c r="V1330" s="13"/>
      <c r="W1330" s="16"/>
    </row>
    <row r="1331" spans="21:23" ht="16" x14ac:dyDescent="0.2">
      <c r="U1331" s="12"/>
      <c r="V1331" s="13"/>
      <c r="W1331" s="16"/>
    </row>
    <row r="1332" spans="21:23" ht="16" x14ac:dyDescent="0.2">
      <c r="U1332" s="12"/>
      <c r="V1332" s="13"/>
      <c r="W1332" s="16"/>
    </row>
    <row r="1333" spans="21:23" ht="16" x14ac:dyDescent="0.2">
      <c r="U1333" s="12"/>
      <c r="V1333" s="13"/>
      <c r="W1333" s="16"/>
    </row>
    <row r="1334" spans="21:23" ht="16" x14ac:dyDescent="0.2">
      <c r="U1334" s="12"/>
      <c r="V1334" s="13"/>
      <c r="W1334" s="16"/>
    </row>
    <row r="1335" spans="21:23" ht="16" x14ac:dyDescent="0.2">
      <c r="U1335" s="12"/>
      <c r="V1335" s="13"/>
      <c r="W1335" s="16"/>
    </row>
    <row r="1336" spans="21:23" ht="16" x14ac:dyDescent="0.2">
      <c r="U1336" s="12"/>
      <c r="V1336" s="13"/>
      <c r="W1336" s="16"/>
    </row>
    <row r="1337" spans="21:23" ht="16" x14ac:dyDescent="0.2">
      <c r="U1337" s="12"/>
      <c r="V1337" s="13"/>
      <c r="W1337" s="16"/>
    </row>
    <row r="1338" spans="21:23" ht="16" x14ac:dyDescent="0.2">
      <c r="U1338" s="12"/>
      <c r="V1338" s="13"/>
      <c r="W1338" s="16"/>
    </row>
    <row r="1339" spans="21:23" ht="16" x14ac:dyDescent="0.2">
      <c r="U1339" s="12"/>
      <c r="V1339" s="13"/>
      <c r="W1339" s="16"/>
    </row>
    <row r="1340" spans="21:23" ht="16" x14ac:dyDescent="0.2">
      <c r="U1340" s="12"/>
      <c r="V1340" s="13"/>
      <c r="W1340" s="16"/>
    </row>
    <row r="1341" spans="21:23" ht="16" x14ac:dyDescent="0.2">
      <c r="U1341" s="12"/>
      <c r="V1341" s="13"/>
      <c r="W1341" s="16"/>
    </row>
    <row r="1342" spans="21:23" ht="16" x14ac:dyDescent="0.2">
      <c r="U1342" s="12"/>
      <c r="V1342" s="13"/>
      <c r="W1342" s="16"/>
    </row>
    <row r="1343" spans="21:23" ht="16" x14ac:dyDescent="0.2">
      <c r="U1343" s="12"/>
      <c r="V1343" s="13"/>
      <c r="W1343" s="16"/>
    </row>
    <row r="1344" spans="21:23" ht="16" x14ac:dyDescent="0.2">
      <c r="U1344" s="12"/>
      <c r="V1344" s="13"/>
      <c r="W1344" s="16"/>
    </row>
    <row r="1345" spans="21:23" ht="16" x14ac:dyDescent="0.2">
      <c r="U1345" s="12"/>
      <c r="V1345" s="13"/>
      <c r="W1345" s="16"/>
    </row>
    <row r="1346" spans="21:23" ht="16" x14ac:dyDescent="0.2">
      <c r="U1346" s="12"/>
      <c r="V1346" s="13"/>
      <c r="W1346" s="16"/>
    </row>
    <row r="1347" spans="21:23" ht="16" x14ac:dyDescent="0.2">
      <c r="U1347" s="12"/>
      <c r="V1347" s="13"/>
      <c r="W1347" s="16"/>
    </row>
    <row r="1348" spans="21:23" ht="16" x14ac:dyDescent="0.2">
      <c r="U1348" s="12"/>
      <c r="V1348" s="13"/>
      <c r="W1348" s="16"/>
    </row>
    <row r="1349" spans="21:23" ht="16" x14ac:dyDescent="0.2">
      <c r="U1349" s="12"/>
      <c r="V1349" s="13"/>
      <c r="W1349" s="16"/>
    </row>
    <row r="1350" spans="21:23" ht="16" x14ac:dyDescent="0.2">
      <c r="U1350" s="12"/>
      <c r="V1350" s="13"/>
      <c r="W1350" s="16"/>
    </row>
    <row r="1351" spans="21:23" ht="16" x14ac:dyDescent="0.2">
      <c r="U1351" s="12"/>
      <c r="V1351" s="13"/>
      <c r="W1351" s="16"/>
    </row>
    <row r="1352" spans="21:23" ht="16" x14ac:dyDescent="0.2">
      <c r="U1352" s="12"/>
      <c r="V1352" s="13"/>
      <c r="W1352" s="16"/>
    </row>
    <row r="1353" spans="21:23" ht="16" x14ac:dyDescent="0.2">
      <c r="U1353" s="12"/>
      <c r="V1353" s="13"/>
      <c r="W1353" s="16"/>
    </row>
    <row r="1354" spans="21:23" ht="16" x14ac:dyDescent="0.2">
      <c r="U1354" s="12"/>
      <c r="V1354" s="13"/>
      <c r="W1354" s="16"/>
    </row>
    <row r="1355" spans="21:23" ht="16" x14ac:dyDescent="0.2">
      <c r="U1355" s="12"/>
      <c r="V1355" s="13"/>
      <c r="W1355" s="16"/>
    </row>
    <row r="1356" spans="21:23" ht="16" x14ac:dyDescent="0.2">
      <c r="U1356" s="12"/>
      <c r="V1356" s="13"/>
      <c r="W1356" s="16"/>
    </row>
    <row r="1357" spans="21:23" ht="16" x14ac:dyDescent="0.2">
      <c r="U1357" s="12"/>
      <c r="V1357" s="13"/>
      <c r="W1357" s="16"/>
    </row>
    <row r="1358" spans="21:23" ht="16" x14ac:dyDescent="0.2">
      <c r="U1358" s="12"/>
      <c r="V1358" s="13"/>
      <c r="W1358" s="16"/>
    </row>
    <row r="1359" spans="21:23" ht="16" x14ac:dyDescent="0.2">
      <c r="U1359" s="12"/>
      <c r="V1359" s="13"/>
      <c r="W1359" s="16"/>
    </row>
    <row r="1360" spans="21:23" ht="16" x14ac:dyDescent="0.2">
      <c r="U1360" s="12"/>
      <c r="V1360" s="13"/>
      <c r="W1360" s="16"/>
    </row>
    <row r="1361" spans="21:23" ht="16" x14ac:dyDescent="0.2">
      <c r="U1361" s="12"/>
      <c r="V1361" s="13"/>
      <c r="W1361" s="16"/>
    </row>
    <row r="1362" spans="21:23" ht="16" x14ac:dyDescent="0.2">
      <c r="U1362" s="12"/>
      <c r="V1362" s="13"/>
      <c r="W1362" s="16"/>
    </row>
    <row r="1363" spans="21:23" ht="16" x14ac:dyDescent="0.2">
      <c r="U1363" s="12"/>
      <c r="V1363" s="13"/>
      <c r="W1363" s="16"/>
    </row>
    <row r="1364" spans="21:23" ht="16" x14ac:dyDescent="0.2">
      <c r="U1364" s="12"/>
      <c r="V1364" s="13"/>
      <c r="W1364" s="16"/>
    </row>
    <row r="1365" spans="21:23" ht="16" x14ac:dyDescent="0.2">
      <c r="U1365" s="12"/>
      <c r="V1365" s="13"/>
      <c r="W1365" s="16"/>
    </row>
    <row r="1366" spans="21:23" ht="16" x14ac:dyDescent="0.2">
      <c r="U1366" s="12"/>
      <c r="V1366" s="13"/>
      <c r="W1366" s="16"/>
    </row>
    <row r="1367" spans="21:23" ht="16" x14ac:dyDescent="0.2">
      <c r="U1367" s="12"/>
      <c r="V1367" s="13"/>
      <c r="W1367" s="16"/>
    </row>
    <row r="1368" spans="21:23" ht="16" x14ac:dyDescent="0.2">
      <c r="U1368" s="12"/>
      <c r="V1368" s="13"/>
      <c r="W1368" s="16"/>
    </row>
    <row r="1369" spans="21:23" ht="16" x14ac:dyDescent="0.2">
      <c r="U1369" s="12"/>
      <c r="V1369" s="13"/>
      <c r="W1369" s="16"/>
    </row>
    <row r="1370" spans="21:23" ht="16" x14ac:dyDescent="0.2">
      <c r="U1370" s="12"/>
      <c r="V1370" s="13"/>
      <c r="W1370" s="16"/>
    </row>
    <row r="1371" spans="21:23" ht="16" x14ac:dyDescent="0.2">
      <c r="U1371" s="12"/>
      <c r="V1371" s="13"/>
      <c r="W1371" s="16"/>
    </row>
    <row r="1372" spans="21:23" ht="16" x14ac:dyDescent="0.2">
      <c r="U1372" s="12"/>
      <c r="V1372" s="13"/>
      <c r="W1372" s="16"/>
    </row>
    <row r="1373" spans="21:23" ht="16" x14ac:dyDescent="0.2">
      <c r="U1373" s="12"/>
      <c r="V1373" s="13"/>
      <c r="W1373" s="16"/>
    </row>
    <row r="1374" spans="21:23" ht="16" x14ac:dyDescent="0.2">
      <c r="U1374" s="12"/>
      <c r="V1374" s="13"/>
      <c r="W1374" s="16"/>
    </row>
    <row r="1375" spans="21:23" ht="16" x14ac:dyDescent="0.2">
      <c r="U1375" s="12"/>
      <c r="V1375" s="13"/>
      <c r="W1375" s="16"/>
    </row>
    <row r="1376" spans="21:23" ht="16" x14ac:dyDescent="0.2">
      <c r="U1376" s="12"/>
      <c r="V1376" s="13"/>
      <c r="W1376" s="16"/>
    </row>
    <row r="1377" spans="21:23" ht="16" x14ac:dyDescent="0.2">
      <c r="U1377" s="12"/>
      <c r="V1377" s="13"/>
      <c r="W1377" s="16"/>
    </row>
    <row r="1378" spans="21:23" ht="16" x14ac:dyDescent="0.2">
      <c r="U1378" s="12"/>
      <c r="V1378" s="13"/>
      <c r="W1378" s="16"/>
    </row>
    <row r="1379" spans="21:23" ht="16" x14ac:dyDescent="0.2">
      <c r="U1379" s="12"/>
      <c r="V1379" s="13"/>
      <c r="W1379" s="16"/>
    </row>
    <row r="1380" spans="21:23" ht="16" x14ac:dyDescent="0.2">
      <c r="U1380" s="12"/>
      <c r="V1380" s="13"/>
      <c r="W1380" s="16"/>
    </row>
    <row r="1381" spans="21:23" ht="16" x14ac:dyDescent="0.2">
      <c r="U1381" s="12"/>
      <c r="V1381" s="13"/>
      <c r="W1381" s="16"/>
    </row>
    <row r="1382" spans="21:23" ht="16" x14ac:dyDescent="0.2">
      <c r="U1382" s="12"/>
      <c r="V1382" s="13"/>
      <c r="W1382" s="16"/>
    </row>
    <row r="1383" spans="21:23" ht="16" x14ac:dyDescent="0.2">
      <c r="U1383" s="12"/>
      <c r="V1383" s="13"/>
      <c r="W1383" s="16"/>
    </row>
    <row r="1384" spans="21:23" ht="16" x14ac:dyDescent="0.2">
      <c r="U1384" s="12"/>
      <c r="V1384" s="13"/>
      <c r="W1384" s="16"/>
    </row>
    <row r="1385" spans="21:23" ht="16" x14ac:dyDescent="0.2">
      <c r="U1385" s="12"/>
      <c r="V1385" s="13"/>
      <c r="W1385" s="16"/>
    </row>
    <row r="1386" spans="21:23" ht="16" x14ac:dyDescent="0.2">
      <c r="U1386" s="12"/>
      <c r="V1386" s="13"/>
      <c r="W1386" s="16"/>
    </row>
    <row r="1387" spans="21:23" ht="16" x14ac:dyDescent="0.2">
      <c r="U1387" s="12"/>
      <c r="V1387" s="13"/>
      <c r="W1387" s="16"/>
    </row>
    <row r="1388" spans="21:23" ht="16" x14ac:dyDescent="0.2">
      <c r="U1388" s="12"/>
      <c r="V1388" s="13"/>
      <c r="W1388" s="16"/>
    </row>
    <row r="1389" spans="21:23" ht="16" x14ac:dyDescent="0.2">
      <c r="U1389" s="12"/>
      <c r="V1389" s="13"/>
      <c r="W1389" s="16"/>
    </row>
    <row r="1390" spans="21:23" ht="16" x14ac:dyDescent="0.2">
      <c r="U1390" s="12"/>
      <c r="V1390" s="13"/>
      <c r="W1390" s="16"/>
    </row>
    <row r="1391" spans="21:23" ht="16" x14ac:dyDescent="0.2">
      <c r="U1391" s="12"/>
      <c r="V1391" s="13"/>
      <c r="W1391" s="16"/>
    </row>
    <row r="1392" spans="21:23" ht="16" x14ac:dyDescent="0.2">
      <c r="U1392" s="12"/>
      <c r="V1392" s="13"/>
      <c r="W1392" s="16"/>
    </row>
    <row r="1393" spans="21:23" ht="16" x14ac:dyDescent="0.2">
      <c r="U1393" s="12"/>
      <c r="V1393" s="13"/>
      <c r="W1393" s="16"/>
    </row>
    <row r="1394" spans="21:23" ht="16" x14ac:dyDescent="0.2">
      <c r="U1394" s="12"/>
      <c r="V1394" s="13"/>
      <c r="W1394" s="16"/>
    </row>
    <row r="1395" spans="21:23" ht="16" x14ac:dyDescent="0.2">
      <c r="U1395" s="12"/>
      <c r="V1395" s="13"/>
      <c r="W1395" s="16"/>
    </row>
    <row r="1396" spans="21:23" ht="16" x14ac:dyDescent="0.2">
      <c r="U1396" s="12"/>
      <c r="V1396" s="13"/>
      <c r="W1396" s="16"/>
    </row>
    <row r="1397" spans="21:23" ht="16" x14ac:dyDescent="0.2">
      <c r="U1397" s="12"/>
      <c r="V1397" s="13"/>
      <c r="W1397" s="16"/>
    </row>
    <row r="1398" spans="21:23" ht="16" x14ac:dyDescent="0.2">
      <c r="U1398" s="12"/>
      <c r="V1398" s="13"/>
      <c r="W1398" s="16"/>
    </row>
    <row r="1399" spans="21:23" ht="16" x14ac:dyDescent="0.2">
      <c r="U1399" s="12"/>
      <c r="V1399" s="13"/>
      <c r="W1399" s="16"/>
    </row>
    <row r="1400" spans="21:23" ht="16" x14ac:dyDescent="0.2">
      <c r="U1400" s="12"/>
      <c r="V1400" s="13"/>
      <c r="W1400" s="16"/>
    </row>
    <row r="1401" spans="21:23" ht="16" x14ac:dyDescent="0.2">
      <c r="U1401" s="12"/>
      <c r="V1401" s="13"/>
      <c r="W1401" s="16"/>
    </row>
    <row r="1402" spans="21:23" ht="16" x14ac:dyDescent="0.2">
      <c r="U1402" s="12"/>
      <c r="V1402" s="13"/>
      <c r="W1402" s="16"/>
    </row>
    <row r="1403" spans="21:23" ht="16" x14ac:dyDescent="0.2">
      <c r="U1403" s="12"/>
      <c r="V1403" s="13"/>
      <c r="W1403" s="16"/>
    </row>
    <row r="1404" spans="21:23" ht="16" x14ac:dyDescent="0.2">
      <c r="U1404" s="12"/>
      <c r="V1404" s="13"/>
      <c r="W1404" s="16"/>
    </row>
    <row r="1405" spans="21:23" ht="16" x14ac:dyDescent="0.2">
      <c r="U1405" s="12"/>
      <c r="V1405" s="13"/>
      <c r="W1405" s="16"/>
    </row>
    <row r="1406" spans="21:23" ht="16" x14ac:dyDescent="0.2">
      <c r="U1406" s="12"/>
      <c r="V1406" s="13"/>
      <c r="W1406" s="16"/>
    </row>
    <row r="1407" spans="21:23" ht="16" x14ac:dyDescent="0.2">
      <c r="U1407" s="12"/>
      <c r="V1407" s="13"/>
      <c r="W1407" s="16"/>
    </row>
    <row r="1408" spans="21:23" ht="16" x14ac:dyDescent="0.2">
      <c r="U1408" s="12"/>
      <c r="V1408" s="13"/>
      <c r="W1408" s="16"/>
    </row>
    <row r="1409" spans="21:23" ht="16" x14ac:dyDescent="0.2">
      <c r="U1409" s="12"/>
      <c r="V1409" s="13"/>
      <c r="W1409" s="16"/>
    </row>
    <row r="1410" spans="21:23" ht="16" x14ac:dyDescent="0.2">
      <c r="U1410" s="12"/>
      <c r="V1410" s="13"/>
      <c r="W1410" s="16"/>
    </row>
    <row r="1411" spans="21:23" ht="16" x14ac:dyDescent="0.2">
      <c r="U1411" s="12"/>
      <c r="V1411" s="13"/>
      <c r="W1411" s="16"/>
    </row>
    <row r="1412" spans="21:23" ht="16" x14ac:dyDescent="0.2">
      <c r="U1412" s="12"/>
      <c r="V1412" s="13"/>
      <c r="W1412" s="16"/>
    </row>
    <row r="1413" spans="21:23" ht="16" x14ac:dyDescent="0.2">
      <c r="U1413" s="12"/>
      <c r="V1413" s="13"/>
      <c r="W1413" s="16"/>
    </row>
    <row r="1414" spans="21:23" ht="16" x14ac:dyDescent="0.2">
      <c r="U1414" s="12"/>
      <c r="V1414" s="13"/>
      <c r="W1414" s="16"/>
    </row>
    <row r="1415" spans="21:23" ht="16" x14ac:dyDescent="0.2">
      <c r="U1415" s="12"/>
      <c r="V1415" s="13"/>
      <c r="W1415" s="16"/>
    </row>
    <row r="1416" spans="21:23" ht="16" x14ac:dyDescent="0.2">
      <c r="U1416" s="12"/>
      <c r="V1416" s="13"/>
      <c r="W1416" s="16"/>
    </row>
    <row r="1417" spans="21:23" ht="16" x14ac:dyDescent="0.2">
      <c r="U1417" s="12"/>
      <c r="V1417" s="13"/>
      <c r="W1417" s="16"/>
    </row>
    <row r="1418" spans="21:23" ht="16" x14ac:dyDescent="0.2">
      <c r="U1418" s="12"/>
      <c r="V1418" s="13"/>
      <c r="W1418" s="16"/>
    </row>
    <row r="1419" spans="21:23" ht="16" x14ac:dyDescent="0.2">
      <c r="U1419" s="12"/>
      <c r="V1419" s="13"/>
      <c r="W1419" s="16"/>
    </row>
    <row r="1420" spans="21:23" ht="16" x14ac:dyDescent="0.2">
      <c r="U1420" s="12"/>
      <c r="V1420" s="13"/>
      <c r="W1420" s="16"/>
    </row>
    <row r="1421" spans="21:23" ht="16" x14ac:dyDescent="0.2">
      <c r="U1421" s="12"/>
      <c r="V1421" s="13"/>
      <c r="W1421" s="16"/>
    </row>
    <row r="1422" spans="21:23" ht="16" x14ac:dyDescent="0.2">
      <c r="U1422" s="12"/>
      <c r="V1422" s="13"/>
      <c r="W1422" s="16"/>
    </row>
    <row r="1423" spans="21:23" ht="16" x14ac:dyDescent="0.2">
      <c r="U1423" s="12"/>
      <c r="V1423" s="13"/>
      <c r="W1423" s="16"/>
    </row>
    <row r="1424" spans="21:23" ht="16" x14ac:dyDescent="0.2">
      <c r="U1424" s="12"/>
      <c r="V1424" s="13"/>
      <c r="W1424" s="16"/>
    </row>
    <row r="1425" spans="21:23" ht="16" x14ac:dyDescent="0.2">
      <c r="U1425" s="12"/>
      <c r="V1425" s="13"/>
      <c r="W1425" s="16"/>
    </row>
    <row r="1426" spans="21:23" ht="16" x14ac:dyDescent="0.2">
      <c r="U1426" s="12"/>
      <c r="V1426" s="13"/>
      <c r="W1426" s="16"/>
    </row>
    <row r="1427" spans="21:23" ht="16" x14ac:dyDescent="0.2">
      <c r="U1427" s="12"/>
      <c r="V1427" s="13"/>
      <c r="W1427" s="16"/>
    </row>
    <row r="1428" spans="21:23" ht="16" x14ac:dyDescent="0.2">
      <c r="U1428" s="12"/>
      <c r="V1428" s="13"/>
      <c r="W1428" s="16"/>
    </row>
    <row r="1429" spans="21:23" ht="16" x14ac:dyDescent="0.2">
      <c r="U1429" s="12"/>
      <c r="V1429" s="13"/>
      <c r="W1429" s="16"/>
    </row>
    <row r="1430" spans="21:23" ht="16" x14ac:dyDescent="0.2">
      <c r="U1430" s="12"/>
      <c r="V1430" s="13"/>
      <c r="W1430" s="16"/>
    </row>
    <row r="1431" spans="21:23" ht="16" x14ac:dyDescent="0.2">
      <c r="U1431" s="12"/>
      <c r="V1431" s="13"/>
      <c r="W1431" s="16"/>
    </row>
    <row r="1432" spans="21:23" ht="16" x14ac:dyDescent="0.2">
      <c r="U1432" s="12"/>
      <c r="V1432" s="13"/>
      <c r="W1432" s="16"/>
    </row>
    <row r="1433" spans="21:23" ht="16" x14ac:dyDescent="0.2">
      <c r="U1433" s="12"/>
      <c r="V1433" s="13"/>
      <c r="W1433" s="16"/>
    </row>
    <row r="1434" spans="21:23" ht="16" x14ac:dyDescent="0.2">
      <c r="U1434" s="12"/>
      <c r="V1434" s="13"/>
      <c r="W1434" s="16"/>
    </row>
    <row r="1435" spans="21:23" ht="16" x14ac:dyDescent="0.2">
      <c r="U1435" s="12"/>
      <c r="V1435" s="13"/>
      <c r="W1435" s="16"/>
    </row>
    <row r="1436" spans="21:23" ht="16" x14ac:dyDescent="0.2">
      <c r="U1436" s="12"/>
      <c r="V1436" s="13"/>
      <c r="W1436" s="16"/>
    </row>
    <row r="1437" spans="21:23" ht="16" x14ac:dyDescent="0.2">
      <c r="U1437" s="12"/>
      <c r="V1437" s="13"/>
      <c r="W1437" s="16"/>
    </row>
    <row r="1438" spans="21:23" ht="16" x14ac:dyDescent="0.2">
      <c r="U1438" s="12"/>
      <c r="V1438" s="13"/>
      <c r="W1438" s="16"/>
    </row>
    <row r="1439" spans="21:23" ht="16" x14ac:dyDescent="0.2">
      <c r="U1439" s="12"/>
      <c r="V1439" s="13"/>
      <c r="W1439" s="16"/>
    </row>
    <row r="1440" spans="21:23" ht="16" x14ac:dyDescent="0.2">
      <c r="U1440" s="12"/>
      <c r="V1440" s="13"/>
      <c r="W1440" s="16"/>
    </row>
    <row r="1441" spans="21:23" ht="16" x14ac:dyDescent="0.2">
      <c r="U1441" s="12"/>
      <c r="V1441" s="13"/>
      <c r="W1441" s="16"/>
    </row>
    <row r="1442" spans="21:23" ht="16" x14ac:dyDescent="0.2">
      <c r="U1442" s="12"/>
      <c r="V1442" s="13"/>
      <c r="W1442" s="16"/>
    </row>
    <row r="1443" spans="21:23" ht="16" x14ac:dyDescent="0.2">
      <c r="U1443" s="12"/>
      <c r="V1443" s="13"/>
      <c r="W1443" s="16"/>
    </row>
    <row r="1444" spans="21:23" ht="16" x14ac:dyDescent="0.2">
      <c r="U1444" s="12"/>
      <c r="V1444" s="13"/>
      <c r="W1444" s="16"/>
    </row>
    <row r="1445" spans="21:23" ht="16" x14ac:dyDescent="0.2">
      <c r="U1445" s="12"/>
      <c r="V1445" s="13"/>
      <c r="W1445" s="16"/>
    </row>
    <row r="1446" spans="21:23" ht="16" x14ac:dyDescent="0.2">
      <c r="U1446" s="12"/>
      <c r="V1446" s="13"/>
      <c r="W1446" s="16"/>
    </row>
    <row r="1447" spans="21:23" ht="16" x14ac:dyDescent="0.2">
      <c r="U1447" s="12"/>
      <c r="V1447" s="13"/>
      <c r="W1447" s="16"/>
    </row>
    <row r="1448" spans="21:23" ht="16" x14ac:dyDescent="0.2">
      <c r="U1448" s="12"/>
      <c r="V1448" s="13"/>
      <c r="W1448" s="16"/>
    </row>
    <row r="1449" spans="21:23" ht="16" x14ac:dyDescent="0.2">
      <c r="U1449" s="12"/>
      <c r="V1449" s="13"/>
      <c r="W1449" s="16"/>
    </row>
    <row r="1450" spans="21:23" ht="16" x14ac:dyDescent="0.2">
      <c r="U1450" s="12"/>
      <c r="V1450" s="13"/>
      <c r="W1450" s="16"/>
    </row>
    <row r="1451" spans="21:23" ht="16" x14ac:dyDescent="0.2">
      <c r="U1451" s="12"/>
      <c r="V1451" s="13"/>
      <c r="W1451" s="16"/>
    </row>
    <row r="1452" spans="21:23" ht="16" x14ac:dyDescent="0.2">
      <c r="U1452" s="12"/>
      <c r="V1452" s="13"/>
      <c r="W1452" s="16"/>
    </row>
    <row r="1453" spans="21:23" ht="16" x14ac:dyDescent="0.2">
      <c r="U1453" s="12"/>
      <c r="V1453" s="13"/>
      <c r="W1453" s="16"/>
    </row>
    <row r="1454" spans="21:23" ht="16" x14ac:dyDescent="0.2">
      <c r="U1454" s="12"/>
      <c r="V1454" s="13"/>
      <c r="W1454" s="16"/>
    </row>
    <row r="1455" spans="21:23" ht="16" x14ac:dyDescent="0.2">
      <c r="U1455" s="12"/>
      <c r="V1455" s="13"/>
      <c r="W1455" s="16"/>
    </row>
    <row r="1456" spans="21:23" ht="16" x14ac:dyDescent="0.2">
      <c r="U1456" s="12"/>
      <c r="V1456" s="13"/>
      <c r="W1456" s="16"/>
    </row>
    <row r="1457" spans="21:23" ht="16" x14ac:dyDescent="0.2">
      <c r="U1457" s="12"/>
      <c r="V1457" s="13"/>
      <c r="W1457" s="16"/>
    </row>
    <row r="1458" spans="21:23" ht="16" x14ac:dyDescent="0.2">
      <c r="U1458" s="12"/>
      <c r="V1458" s="13"/>
      <c r="W1458" s="16"/>
    </row>
    <row r="1459" spans="21:23" ht="16" x14ac:dyDescent="0.2">
      <c r="U1459" s="12"/>
      <c r="V1459" s="13"/>
      <c r="W1459" s="16"/>
    </row>
    <row r="1460" spans="21:23" ht="16" x14ac:dyDescent="0.2">
      <c r="U1460" s="12"/>
      <c r="V1460" s="13"/>
      <c r="W1460" s="16"/>
    </row>
    <row r="1461" spans="21:23" ht="16" x14ac:dyDescent="0.2">
      <c r="U1461" s="12"/>
      <c r="V1461" s="13"/>
      <c r="W1461" s="16"/>
    </row>
    <row r="1462" spans="21:23" ht="16" x14ac:dyDescent="0.2">
      <c r="U1462" s="12"/>
      <c r="V1462" s="13"/>
      <c r="W1462" s="16"/>
    </row>
    <row r="1463" spans="21:23" ht="16" x14ac:dyDescent="0.2">
      <c r="U1463" s="12"/>
      <c r="V1463" s="13"/>
      <c r="W1463" s="16"/>
    </row>
    <row r="1464" spans="21:23" ht="16" x14ac:dyDescent="0.2">
      <c r="U1464" s="12"/>
      <c r="V1464" s="13"/>
      <c r="W1464" s="16"/>
    </row>
    <row r="1465" spans="21:23" ht="16" x14ac:dyDescent="0.2">
      <c r="U1465" s="12"/>
      <c r="V1465" s="13"/>
      <c r="W1465" s="16"/>
    </row>
    <row r="1466" spans="21:23" ht="16" x14ac:dyDescent="0.2">
      <c r="U1466" s="12"/>
      <c r="V1466" s="13"/>
      <c r="W1466" s="16"/>
    </row>
    <row r="1467" spans="21:23" ht="16" x14ac:dyDescent="0.2">
      <c r="U1467" s="12"/>
      <c r="V1467" s="13"/>
      <c r="W1467" s="16"/>
    </row>
    <row r="1468" spans="21:23" ht="16" x14ac:dyDescent="0.2">
      <c r="U1468" s="12"/>
      <c r="V1468" s="13"/>
      <c r="W1468" s="16"/>
    </row>
    <row r="1469" spans="21:23" ht="16" x14ac:dyDescent="0.2">
      <c r="U1469" s="12"/>
      <c r="V1469" s="13"/>
      <c r="W1469" s="16"/>
    </row>
    <row r="1470" spans="21:23" ht="16" x14ac:dyDescent="0.2">
      <c r="U1470" s="12"/>
      <c r="V1470" s="13"/>
      <c r="W1470" s="16"/>
    </row>
    <row r="1471" spans="21:23" ht="16" x14ac:dyDescent="0.2">
      <c r="U1471" s="12"/>
      <c r="V1471" s="13"/>
      <c r="W1471" s="16"/>
    </row>
    <row r="1472" spans="21:23" ht="16" x14ac:dyDescent="0.2">
      <c r="U1472" s="12"/>
      <c r="V1472" s="13"/>
      <c r="W1472" s="16"/>
    </row>
    <row r="1473" spans="21:23" ht="16" x14ac:dyDescent="0.2">
      <c r="U1473" s="12"/>
      <c r="V1473" s="13"/>
      <c r="W1473" s="16"/>
    </row>
    <row r="1474" spans="21:23" ht="16" x14ac:dyDescent="0.2">
      <c r="U1474" s="12"/>
      <c r="V1474" s="13"/>
      <c r="W1474" s="16"/>
    </row>
    <row r="1475" spans="21:23" ht="16" x14ac:dyDescent="0.2">
      <c r="U1475" s="12"/>
      <c r="V1475" s="13"/>
      <c r="W1475" s="16"/>
    </row>
    <row r="1476" spans="21:23" ht="16" x14ac:dyDescent="0.2">
      <c r="U1476" s="12"/>
      <c r="V1476" s="13"/>
      <c r="W1476" s="16"/>
    </row>
    <row r="1477" spans="21:23" ht="16" x14ac:dyDescent="0.2">
      <c r="U1477" s="12"/>
      <c r="V1477" s="13"/>
      <c r="W1477" s="16"/>
    </row>
    <row r="1478" spans="21:23" ht="16" x14ac:dyDescent="0.2">
      <c r="U1478" s="12"/>
      <c r="V1478" s="13"/>
      <c r="W1478" s="16"/>
    </row>
    <row r="1479" spans="21:23" ht="16" x14ac:dyDescent="0.2">
      <c r="U1479" s="12"/>
      <c r="V1479" s="13"/>
      <c r="W1479" s="16"/>
    </row>
    <row r="1480" spans="21:23" ht="16" x14ac:dyDescent="0.2">
      <c r="U1480" s="12"/>
      <c r="V1480" s="13"/>
      <c r="W1480" s="16"/>
    </row>
    <row r="1481" spans="21:23" ht="16" x14ac:dyDescent="0.2">
      <c r="U1481" s="12"/>
      <c r="V1481" s="13"/>
      <c r="W1481" s="16"/>
    </row>
    <row r="1482" spans="21:23" ht="16" x14ac:dyDescent="0.2">
      <c r="U1482" s="12"/>
      <c r="V1482" s="13"/>
      <c r="W1482" s="16"/>
    </row>
    <row r="1483" spans="21:23" ht="16" x14ac:dyDescent="0.2">
      <c r="U1483" s="12"/>
      <c r="V1483" s="13"/>
      <c r="W1483" s="16"/>
    </row>
    <row r="1484" spans="21:23" ht="16" x14ac:dyDescent="0.2">
      <c r="U1484" s="12"/>
      <c r="V1484" s="13"/>
      <c r="W1484" s="16"/>
    </row>
    <row r="1485" spans="21:23" ht="16" x14ac:dyDescent="0.2">
      <c r="U1485" s="12"/>
      <c r="V1485" s="13"/>
      <c r="W1485" s="16"/>
    </row>
    <row r="1486" spans="21:23" ht="16" x14ac:dyDescent="0.2">
      <c r="U1486" s="12"/>
      <c r="V1486" s="13"/>
      <c r="W1486" s="16"/>
    </row>
    <row r="1487" spans="21:23" ht="16" x14ac:dyDescent="0.2">
      <c r="U1487" s="12"/>
      <c r="V1487" s="13"/>
      <c r="W1487" s="16"/>
    </row>
    <row r="1488" spans="21:23" ht="16" x14ac:dyDescent="0.2">
      <c r="U1488" s="12"/>
      <c r="V1488" s="13"/>
      <c r="W1488" s="16"/>
    </row>
    <row r="1489" spans="21:23" ht="16" x14ac:dyDescent="0.2">
      <c r="U1489" s="12"/>
      <c r="V1489" s="13"/>
      <c r="W1489" s="16"/>
    </row>
    <row r="1490" spans="21:23" ht="16" x14ac:dyDescent="0.2">
      <c r="U1490" s="12"/>
      <c r="V1490" s="13"/>
      <c r="W1490" s="16"/>
    </row>
    <row r="1491" spans="21:23" ht="16" x14ac:dyDescent="0.2">
      <c r="U1491" s="12"/>
      <c r="V1491" s="13"/>
      <c r="W1491" s="16"/>
    </row>
    <row r="1492" spans="21:23" ht="16" x14ac:dyDescent="0.2">
      <c r="U1492" s="12"/>
      <c r="V1492" s="13"/>
      <c r="W1492" s="16"/>
    </row>
    <row r="1493" spans="21:23" ht="16" x14ac:dyDescent="0.2">
      <c r="U1493" s="12"/>
      <c r="V1493" s="13"/>
      <c r="W1493" s="16"/>
    </row>
    <row r="1494" spans="21:23" ht="16" x14ac:dyDescent="0.2">
      <c r="U1494" s="12"/>
      <c r="V1494" s="13"/>
      <c r="W1494" s="16"/>
    </row>
    <row r="1495" spans="21:23" ht="16" x14ac:dyDescent="0.2">
      <c r="U1495" s="12"/>
      <c r="V1495" s="13"/>
      <c r="W1495" s="16"/>
    </row>
    <row r="1496" spans="21:23" ht="16" x14ac:dyDescent="0.2">
      <c r="U1496" s="12"/>
      <c r="V1496" s="13"/>
      <c r="W1496" s="16"/>
    </row>
    <row r="1497" spans="21:23" ht="16" x14ac:dyDescent="0.2">
      <c r="U1497" s="12"/>
      <c r="V1497" s="13"/>
      <c r="W1497" s="16"/>
    </row>
    <row r="1498" spans="21:23" ht="16" x14ac:dyDescent="0.2">
      <c r="U1498" s="12"/>
      <c r="V1498" s="13"/>
      <c r="W1498" s="16"/>
    </row>
    <row r="1499" spans="21:23" ht="16" x14ac:dyDescent="0.2">
      <c r="U1499" s="12"/>
      <c r="V1499" s="13"/>
      <c r="W1499" s="16"/>
    </row>
    <row r="1500" spans="21:23" ht="16" x14ac:dyDescent="0.2">
      <c r="U1500" s="12"/>
      <c r="V1500" s="13"/>
      <c r="W1500" s="16"/>
    </row>
    <row r="1501" spans="21:23" ht="16" x14ac:dyDescent="0.2">
      <c r="U1501" s="12"/>
      <c r="V1501" s="13"/>
      <c r="W1501" s="16"/>
    </row>
    <row r="1502" spans="21:23" ht="16" x14ac:dyDescent="0.2">
      <c r="U1502" s="12"/>
      <c r="V1502" s="13"/>
      <c r="W1502" s="16"/>
    </row>
    <row r="1503" spans="21:23" ht="16" x14ac:dyDescent="0.2">
      <c r="U1503" s="12"/>
      <c r="V1503" s="13"/>
      <c r="W1503" s="16"/>
    </row>
    <row r="1504" spans="21:23" ht="16" x14ac:dyDescent="0.2">
      <c r="U1504" s="12"/>
      <c r="V1504" s="13"/>
      <c r="W1504" s="16"/>
    </row>
    <row r="1505" spans="21:23" ht="16" x14ac:dyDescent="0.2">
      <c r="U1505" s="12"/>
      <c r="V1505" s="13"/>
      <c r="W1505" s="16"/>
    </row>
    <row r="1506" spans="21:23" ht="16" x14ac:dyDescent="0.2">
      <c r="U1506" s="12"/>
      <c r="V1506" s="13"/>
      <c r="W1506" s="16"/>
    </row>
    <row r="1507" spans="21:23" ht="16" x14ac:dyDescent="0.2">
      <c r="U1507" s="12"/>
      <c r="V1507" s="13"/>
      <c r="W1507" s="16"/>
    </row>
    <row r="1508" spans="21:23" ht="16" x14ac:dyDescent="0.2">
      <c r="U1508" s="12"/>
      <c r="V1508" s="13"/>
      <c r="W1508" s="16"/>
    </row>
    <row r="1509" spans="21:23" ht="16" x14ac:dyDescent="0.2">
      <c r="U1509" s="12"/>
      <c r="V1509" s="13"/>
      <c r="W1509" s="16"/>
    </row>
    <row r="1510" spans="21:23" ht="16" x14ac:dyDescent="0.2">
      <c r="U1510" s="12"/>
      <c r="V1510" s="13"/>
      <c r="W1510" s="16"/>
    </row>
    <row r="1511" spans="21:23" ht="16" x14ac:dyDescent="0.2">
      <c r="U1511" s="12"/>
      <c r="V1511" s="13"/>
      <c r="W1511" s="16"/>
    </row>
    <row r="1512" spans="21:23" ht="16" x14ac:dyDescent="0.2">
      <c r="U1512" s="12"/>
      <c r="V1512" s="13"/>
      <c r="W1512" s="16"/>
    </row>
    <row r="1513" spans="21:23" ht="16" x14ac:dyDescent="0.2">
      <c r="U1513" s="12"/>
      <c r="V1513" s="13"/>
      <c r="W1513" s="16"/>
    </row>
    <row r="1514" spans="21:23" ht="16" x14ac:dyDescent="0.2">
      <c r="U1514" s="12"/>
      <c r="V1514" s="13"/>
      <c r="W1514" s="16"/>
    </row>
    <row r="1515" spans="21:23" ht="16" x14ac:dyDescent="0.2">
      <c r="U1515" s="12"/>
      <c r="V1515" s="13"/>
      <c r="W1515" s="16"/>
    </row>
    <row r="1516" spans="21:23" ht="16" x14ac:dyDescent="0.2">
      <c r="U1516" s="12"/>
      <c r="V1516" s="13"/>
      <c r="W1516" s="16"/>
    </row>
    <row r="1517" spans="21:23" ht="16" x14ac:dyDescent="0.2">
      <c r="U1517" s="12"/>
      <c r="V1517" s="13"/>
      <c r="W1517" s="16"/>
    </row>
    <row r="1518" spans="21:23" ht="16" x14ac:dyDescent="0.2">
      <c r="U1518" s="12"/>
      <c r="V1518" s="13"/>
      <c r="W1518" s="16"/>
    </row>
    <row r="1519" spans="21:23" ht="16" x14ac:dyDescent="0.2">
      <c r="U1519" s="12"/>
      <c r="V1519" s="13"/>
      <c r="W1519" s="16"/>
    </row>
    <row r="1520" spans="21:23" ht="16" x14ac:dyDescent="0.2">
      <c r="U1520" s="12"/>
      <c r="V1520" s="13"/>
      <c r="W1520" s="16"/>
    </row>
    <row r="1521" spans="21:23" ht="16" x14ac:dyDescent="0.2">
      <c r="U1521" s="12"/>
      <c r="V1521" s="13"/>
      <c r="W1521" s="16"/>
    </row>
    <row r="1522" spans="21:23" ht="16" x14ac:dyDescent="0.2">
      <c r="U1522" s="12"/>
      <c r="V1522" s="13"/>
      <c r="W1522" s="16"/>
    </row>
    <row r="1523" spans="21:23" ht="16" x14ac:dyDescent="0.2">
      <c r="U1523" s="12"/>
      <c r="V1523" s="13"/>
      <c r="W1523" s="16"/>
    </row>
    <row r="1524" spans="21:23" ht="16" x14ac:dyDescent="0.2">
      <c r="U1524" s="12"/>
      <c r="V1524" s="13"/>
      <c r="W1524" s="16"/>
    </row>
    <row r="1525" spans="21:23" ht="16" x14ac:dyDescent="0.2">
      <c r="U1525" s="12"/>
      <c r="V1525" s="13"/>
      <c r="W1525" s="16"/>
    </row>
    <row r="1526" spans="21:23" ht="16" x14ac:dyDescent="0.2">
      <c r="U1526" s="12"/>
      <c r="V1526" s="13"/>
      <c r="W1526" s="16"/>
    </row>
    <row r="1527" spans="21:23" ht="16" x14ac:dyDescent="0.2">
      <c r="U1527" s="12"/>
      <c r="V1527" s="13"/>
      <c r="W1527" s="16"/>
    </row>
    <row r="1528" spans="21:23" ht="16" x14ac:dyDescent="0.2">
      <c r="U1528" s="12"/>
      <c r="V1528" s="13"/>
      <c r="W1528" s="16"/>
    </row>
    <row r="1529" spans="21:23" ht="16" x14ac:dyDescent="0.2">
      <c r="U1529" s="12"/>
      <c r="V1529" s="13"/>
      <c r="W1529" s="16"/>
    </row>
    <row r="1530" spans="21:23" ht="16" x14ac:dyDescent="0.2">
      <c r="U1530" s="12"/>
      <c r="V1530" s="13"/>
      <c r="W1530" s="16"/>
    </row>
    <row r="1531" spans="21:23" ht="16" x14ac:dyDescent="0.2">
      <c r="U1531" s="12"/>
      <c r="V1531" s="13"/>
      <c r="W1531" s="16"/>
    </row>
    <row r="1532" spans="21:23" ht="16" x14ac:dyDescent="0.2">
      <c r="U1532" s="12"/>
      <c r="V1532" s="13"/>
      <c r="W1532" s="16"/>
    </row>
    <row r="1533" spans="21:23" ht="16" x14ac:dyDescent="0.2">
      <c r="U1533" s="12"/>
      <c r="V1533" s="13"/>
      <c r="W1533" s="16"/>
    </row>
    <row r="1534" spans="21:23" ht="16" x14ac:dyDescent="0.2">
      <c r="U1534" s="12"/>
      <c r="V1534" s="13"/>
      <c r="W1534" s="16"/>
    </row>
    <row r="1535" spans="21:23" ht="16" x14ac:dyDescent="0.2">
      <c r="U1535" s="12"/>
      <c r="V1535" s="13"/>
      <c r="W1535" s="16"/>
    </row>
    <row r="1536" spans="21:23" ht="16" x14ac:dyDescent="0.2">
      <c r="U1536" s="12"/>
      <c r="V1536" s="13"/>
      <c r="W1536" s="16"/>
    </row>
    <row r="1537" spans="21:23" ht="16" x14ac:dyDescent="0.2">
      <c r="U1537" s="12"/>
      <c r="V1537" s="13"/>
      <c r="W1537" s="16"/>
    </row>
    <row r="1538" spans="21:23" ht="16" x14ac:dyDescent="0.2">
      <c r="U1538" s="12"/>
      <c r="V1538" s="13"/>
      <c r="W1538" s="16"/>
    </row>
    <row r="1539" spans="21:23" ht="16" x14ac:dyDescent="0.2">
      <c r="U1539" s="12"/>
      <c r="V1539" s="13"/>
      <c r="W1539" s="16"/>
    </row>
    <row r="1540" spans="21:23" ht="16" x14ac:dyDescent="0.2">
      <c r="U1540" s="12"/>
      <c r="V1540" s="13"/>
      <c r="W1540" s="16"/>
    </row>
    <row r="1541" spans="21:23" ht="16" x14ac:dyDescent="0.2">
      <c r="U1541" s="12"/>
      <c r="V1541" s="13"/>
      <c r="W1541" s="16"/>
    </row>
    <row r="1542" spans="21:23" ht="16" x14ac:dyDescent="0.2">
      <c r="U1542" s="12"/>
      <c r="V1542" s="13"/>
      <c r="W1542" s="16"/>
    </row>
    <row r="1543" spans="21:23" ht="16" x14ac:dyDescent="0.2">
      <c r="U1543" s="12"/>
      <c r="V1543" s="13"/>
      <c r="W1543" s="16"/>
    </row>
    <row r="1544" spans="21:23" ht="16" x14ac:dyDescent="0.2">
      <c r="U1544" s="12"/>
      <c r="V1544" s="13"/>
      <c r="W1544" s="16"/>
    </row>
    <row r="1545" spans="21:23" ht="16" x14ac:dyDescent="0.2">
      <c r="U1545" s="12"/>
      <c r="V1545" s="13"/>
      <c r="W1545" s="16"/>
    </row>
    <row r="1546" spans="21:23" ht="16" x14ac:dyDescent="0.2">
      <c r="U1546" s="12"/>
      <c r="V1546" s="13"/>
      <c r="W1546" s="16"/>
    </row>
    <row r="1547" spans="21:23" ht="16" x14ac:dyDescent="0.2">
      <c r="U1547" s="12"/>
      <c r="V1547" s="13"/>
      <c r="W1547" s="16"/>
    </row>
    <row r="1548" spans="21:23" ht="16" x14ac:dyDescent="0.2">
      <c r="U1548" s="12"/>
      <c r="V1548" s="13"/>
      <c r="W1548" s="16"/>
    </row>
    <row r="1549" spans="21:23" ht="16" x14ac:dyDescent="0.2">
      <c r="U1549" s="12"/>
      <c r="V1549" s="13"/>
      <c r="W1549" s="16"/>
    </row>
    <row r="1550" spans="21:23" ht="16" x14ac:dyDescent="0.2">
      <c r="U1550" s="12"/>
      <c r="V1550" s="13"/>
      <c r="W1550" s="16"/>
    </row>
    <row r="1551" spans="21:23" ht="16" x14ac:dyDescent="0.2">
      <c r="U1551" s="12"/>
      <c r="V1551" s="13"/>
      <c r="W1551" s="16"/>
    </row>
    <row r="1552" spans="21:23" ht="16" x14ac:dyDescent="0.2">
      <c r="U1552" s="12"/>
      <c r="V1552" s="13"/>
      <c r="W1552" s="16"/>
    </row>
    <row r="1553" spans="21:23" ht="16" x14ac:dyDescent="0.2">
      <c r="U1553" s="12"/>
      <c r="V1553" s="13"/>
      <c r="W1553" s="16"/>
    </row>
    <row r="1554" spans="21:23" ht="16" x14ac:dyDescent="0.2">
      <c r="U1554" s="12"/>
      <c r="V1554" s="13"/>
      <c r="W1554" s="16"/>
    </row>
    <row r="1555" spans="21:23" ht="16" x14ac:dyDescent="0.2">
      <c r="U1555" s="12"/>
      <c r="V1555" s="13"/>
      <c r="W1555" s="16"/>
    </row>
    <row r="1556" spans="21:23" ht="16" x14ac:dyDescent="0.2">
      <c r="U1556" s="12"/>
      <c r="V1556" s="13"/>
      <c r="W1556" s="16"/>
    </row>
    <row r="1557" spans="21:23" ht="16" x14ac:dyDescent="0.2">
      <c r="U1557" s="12"/>
      <c r="V1557" s="13"/>
      <c r="W1557" s="16"/>
    </row>
    <row r="1558" spans="21:23" ht="16" x14ac:dyDescent="0.2">
      <c r="U1558" s="12"/>
      <c r="V1558" s="13"/>
      <c r="W1558" s="16"/>
    </row>
    <row r="1559" spans="21:23" ht="16" x14ac:dyDescent="0.2">
      <c r="U1559" s="12"/>
      <c r="V1559" s="13"/>
      <c r="W1559" s="16"/>
    </row>
    <row r="1560" spans="21:23" ht="16" x14ac:dyDescent="0.2">
      <c r="U1560" s="12"/>
      <c r="V1560" s="13"/>
      <c r="W1560" s="16"/>
    </row>
    <row r="1561" spans="21:23" ht="16" x14ac:dyDescent="0.2">
      <c r="U1561" s="12"/>
      <c r="V1561" s="13"/>
      <c r="W1561" s="16"/>
    </row>
    <row r="1562" spans="21:23" ht="16" x14ac:dyDescent="0.2">
      <c r="U1562" s="12"/>
      <c r="V1562" s="13"/>
      <c r="W1562" s="16"/>
    </row>
    <row r="1563" spans="21:23" ht="16" x14ac:dyDescent="0.2">
      <c r="U1563" s="12"/>
      <c r="V1563" s="13"/>
      <c r="W1563" s="16"/>
    </row>
    <row r="1564" spans="21:23" ht="16" x14ac:dyDescent="0.2">
      <c r="U1564" s="12"/>
      <c r="V1564" s="13"/>
      <c r="W1564" s="16"/>
    </row>
    <row r="1565" spans="21:23" ht="16" x14ac:dyDescent="0.2">
      <c r="U1565" s="12"/>
      <c r="V1565" s="13"/>
      <c r="W1565" s="16"/>
    </row>
    <row r="1566" spans="21:23" ht="16" x14ac:dyDescent="0.2">
      <c r="U1566" s="12"/>
      <c r="V1566" s="13"/>
      <c r="W1566" s="16"/>
    </row>
    <row r="1567" spans="21:23" ht="16" x14ac:dyDescent="0.2">
      <c r="U1567" s="12"/>
      <c r="V1567" s="13"/>
      <c r="W1567" s="16"/>
    </row>
    <row r="1568" spans="21:23" ht="16" x14ac:dyDescent="0.2">
      <c r="U1568" s="12"/>
      <c r="V1568" s="13"/>
      <c r="W1568" s="16"/>
    </row>
    <row r="1569" spans="21:23" ht="16" x14ac:dyDescent="0.2">
      <c r="U1569" s="12"/>
      <c r="V1569" s="13"/>
      <c r="W1569" s="16"/>
    </row>
    <row r="1570" spans="21:23" ht="16" x14ac:dyDescent="0.2">
      <c r="U1570" s="12"/>
      <c r="V1570" s="13"/>
      <c r="W1570" s="16"/>
    </row>
    <row r="1571" spans="21:23" ht="16" x14ac:dyDescent="0.2">
      <c r="U1571" s="12"/>
      <c r="V1571" s="13"/>
      <c r="W1571" s="16"/>
    </row>
    <row r="1572" spans="21:23" ht="16" x14ac:dyDescent="0.2">
      <c r="U1572" s="12"/>
      <c r="V1572" s="13"/>
      <c r="W1572" s="16"/>
    </row>
    <row r="1573" spans="21:23" ht="16" x14ac:dyDescent="0.2">
      <c r="U1573" s="12"/>
      <c r="V1573" s="13"/>
      <c r="W1573" s="16"/>
    </row>
    <row r="1574" spans="21:23" ht="16" x14ac:dyDescent="0.2">
      <c r="U1574" s="12"/>
      <c r="V1574" s="13"/>
      <c r="W1574" s="16"/>
    </row>
    <row r="1575" spans="21:23" ht="16" x14ac:dyDescent="0.2">
      <c r="U1575" s="12"/>
      <c r="V1575" s="13"/>
      <c r="W1575" s="16"/>
    </row>
    <row r="1576" spans="21:23" ht="16" x14ac:dyDescent="0.2">
      <c r="U1576" s="12"/>
      <c r="V1576" s="13"/>
      <c r="W1576" s="16"/>
    </row>
    <row r="1577" spans="21:23" ht="16" x14ac:dyDescent="0.2">
      <c r="U1577" s="12"/>
      <c r="V1577" s="13"/>
      <c r="W1577" s="16"/>
    </row>
    <row r="1578" spans="21:23" ht="16" x14ac:dyDescent="0.2">
      <c r="U1578" s="12"/>
      <c r="V1578" s="13"/>
      <c r="W1578" s="16"/>
    </row>
    <row r="1579" spans="21:23" ht="16" x14ac:dyDescent="0.2">
      <c r="U1579" s="12"/>
      <c r="V1579" s="13"/>
      <c r="W1579" s="16"/>
    </row>
    <row r="1580" spans="21:23" ht="16" x14ac:dyDescent="0.2">
      <c r="U1580" s="12"/>
      <c r="V1580" s="13"/>
      <c r="W1580" s="16"/>
    </row>
    <row r="1581" spans="21:23" ht="16" x14ac:dyDescent="0.2">
      <c r="U1581" s="12"/>
      <c r="V1581" s="13"/>
      <c r="W1581" s="16"/>
    </row>
    <row r="1582" spans="21:23" ht="16" x14ac:dyDescent="0.2">
      <c r="U1582" s="12"/>
      <c r="V1582" s="13"/>
      <c r="W1582" s="16"/>
    </row>
    <row r="1583" spans="21:23" ht="16" x14ac:dyDescent="0.2">
      <c r="U1583" s="12"/>
      <c r="V1583" s="13"/>
      <c r="W1583" s="16"/>
    </row>
    <row r="1584" spans="21:23" ht="16" x14ac:dyDescent="0.2">
      <c r="U1584" s="12"/>
      <c r="V1584" s="13"/>
      <c r="W1584" s="16"/>
    </row>
    <row r="1585" spans="21:23" ht="16" x14ac:dyDescent="0.2">
      <c r="U1585" s="12"/>
      <c r="V1585" s="13"/>
      <c r="W1585" s="16"/>
    </row>
    <row r="1586" spans="21:23" ht="16" x14ac:dyDescent="0.2">
      <c r="U1586" s="12"/>
      <c r="V1586" s="13"/>
      <c r="W1586" s="16"/>
    </row>
    <row r="1587" spans="21:23" ht="16" x14ac:dyDescent="0.2">
      <c r="U1587" s="12"/>
      <c r="V1587" s="13"/>
      <c r="W1587" s="16"/>
    </row>
    <row r="1588" spans="21:23" ht="16" x14ac:dyDescent="0.2">
      <c r="U1588" s="12"/>
      <c r="V1588" s="13"/>
      <c r="W1588" s="16"/>
    </row>
    <row r="1589" spans="21:23" ht="16" x14ac:dyDescent="0.2">
      <c r="U1589" s="12"/>
      <c r="V1589" s="13"/>
      <c r="W1589" s="16"/>
    </row>
    <row r="1590" spans="21:23" ht="16" x14ac:dyDescent="0.2">
      <c r="U1590" s="12"/>
      <c r="V1590" s="13"/>
      <c r="W1590" s="16"/>
    </row>
    <row r="1591" spans="21:23" ht="16" x14ac:dyDescent="0.2">
      <c r="U1591" s="12"/>
      <c r="V1591" s="13"/>
      <c r="W1591" s="16"/>
    </row>
    <row r="1592" spans="21:23" ht="16" x14ac:dyDescent="0.2">
      <c r="U1592" s="12"/>
      <c r="V1592" s="13"/>
      <c r="W1592" s="16"/>
    </row>
    <row r="1593" spans="21:23" ht="16" x14ac:dyDescent="0.2">
      <c r="U1593" s="12"/>
      <c r="V1593" s="13"/>
      <c r="W1593" s="16"/>
    </row>
    <row r="1594" spans="21:23" ht="16" x14ac:dyDescent="0.2">
      <c r="U1594" s="12"/>
      <c r="V1594" s="13"/>
      <c r="W1594" s="16"/>
    </row>
    <row r="1595" spans="21:23" ht="16" x14ac:dyDescent="0.2">
      <c r="U1595" s="12"/>
      <c r="V1595" s="13"/>
      <c r="W1595" s="16"/>
    </row>
    <row r="1596" spans="21:23" ht="16" x14ac:dyDescent="0.2">
      <c r="U1596" s="12"/>
      <c r="V1596" s="13"/>
      <c r="W1596" s="16"/>
    </row>
    <row r="1597" spans="21:23" ht="16" x14ac:dyDescent="0.2">
      <c r="U1597" s="12"/>
      <c r="V1597" s="13"/>
      <c r="W1597" s="16"/>
    </row>
    <row r="1598" spans="21:23" ht="16" x14ac:dyDescent="0.2">
      <c r="U1598" s="12"/>
      <c r="V1598" s="13"/>
      <c r="W1598" s="16"/>
    </row>
    <row r="1599" spans="21:23" ht="16" x14ac:dyDescent="0.2">
      <c r="U1599" s="12"/>
      <c r="V1599" s="13"/>
      <c r="W1599" s="16"/>
    </row>
    <row r="1600" spans="21:23" ht="16" x14ac:dyDescent="0.2">
      <c r="U1600" s="12"/>
      <c r="V1600" s="13"/>
      <c r="W1600" s="16"/>
    </row>
    <row r="1601" spans="21:23" ht="16" x14ac:dyDescent="0.2">
      <c r="U1601" s="12"/>
      <c r="V1601" s="13"/>
      <c r="W1601" s="16"/>
    </row>
    <row r="1602" spans="21:23" ht="16" x14ac:dyDescent="0.2">
      <c r="U1602" s="12"/>
      <c r="V1602" s="13"/>
      <c r="W1602" s="16"/>
    </row>
    <row r="1603" spans="21:23" ht="16" x14ac:dyDescent="0.2">
      <c r="U1603" s="12"/>
      <c r="V1603" s="13"/>
      <c r="W1603" s="16"/>
    </row>
    <row r="1604" spans="21:23" ht="16" x14ac:dyDescent="0.2">
      <c r="U1604" s="12"/>
      <c r="V1604" s="13"/>
      <c r="W1604" s="16"/>
    </row>
    <row r="1605" spans="21:23" ht="16" x14ac:dyDescent="0.2">
      <c r="U1605" s="12"/>
      <c r="V1605" s="13"/>
      <c r="W1605" s="16"/>
    </row>
    <row r="1606" spans="21:23" ht="16" x14ac:dyDescent="0.2">
      <c r="U1606" s="12"/>
      <c r="V1606" s="13"/>
      <c r="W1606" s="16"/>
    </row>
    <row r="1607" spans="21:23" ht="16" x14ac:dyDescent="0.2">
      <c r="U1607" s="12"/>
      <c r="V1607" s="13"/>
      <c r="W1607" s="16"/>
    </row>
    <row r="1608" spans="21:23" ht="16" x14ac:dyDescent="0.2">
      <c r="U1608" s="12"/>
      <c r="V1608" s="13"/>
      <c r="W1608" s="16"/>
    </row>
    <row r="1609" spans="21:23" ht="16" x14ac:dyDescent="0.2">
      <c r="U1609" s="12"/>
      <c r="V1609" s="13"/>
      <c r="W1609" s="16"/>
    </row>
    <row r="1610" spans="21:23" ht="16" x14ac:dyDescent="0.2">
      <c r="U1610" s="12"/>
      <c r="V1610" s="13"/>
      <c r="W1610" s="16"/>
    </row>
    <row r="1611" spans="21:23" ht="16" x14ac:dyDescent="0.2">
      <c r="U1611" s="12"/>
      <c r="V1611" s="13"/>
      <c r="W1611" s="16"/>
    </row>
    <row r="1612" spans="21:23" ht="16" x14ac:dyDescent="0.2">
      <c r="U1612" s="12"/>
      <c r="V1612" s="13"/>
      <c r="W1612" s="16"/>
    </row>
    <row r="1613" spans="21:23" ht="16" x14ac:dyDescent="0.2">
      <c r="U1613" s="12"/>
      <c r="V1613" s="13"/>
      <c r="W1613" s="16"/>
    </row>
    <row r="1614" spans="21:23" ht="16" x14ac:dyDescent="0.2">
      <c r="U1614" s="12"/>
      <c r="V1614" s="13"/>
      <c r="W1614" s="16"/>
    </row>
    <row r="1615" spans="21:23" ht="16" x14ac:dyDescent="0.2">
      <c r="U1615" s="12"/>
      <c r="V1615" s="13"/>
      <c r="W1615" s="16"/>
    </row>
    <row r="1616" spans="21:23" ht="16" x14ac:dyDescent="0.2">
      <c r="U1616" s="12"/>
      <c r="V1616" s="13"/>
      <c r="W1616" s="16"/>
    </row>
    <row r="1617" spans="21:23" ht="16" x14ac:dyDescent="0.2">
      <c r="U1617" s="12"/>
      <c r="V1617" s="13"/>
      <c r="W1617" s="16"/>
    </row>
    <row r="1618" spans="21:23" ht="16" x14ac:dyDescent="0.2">
      <c r="U1618" s="12"/>
      <c r="V1618" s="13"/>
      <c r="W1618" s="16"/>
    </row>
    <row r="1619" spans="21:23" ht="16" x14ac:dyDescent="0.2">
      <c r="U1619" s="12"/>
      <c r="V1619" s="13"/>
      <c r="W1619" s="16"/>
    </row>
    <row r="1620" spans="21:23" ht="16" x14ac:dyDescent="0.2">
      <c r="U1620" s="12"/>
      <c r="V1620" s="13"/>
      <c r="W1620" s="16"/>
    </row>
    <row r="1621" spans="21:23" ht="16" x14ac:dyDescent="0.2">
      <c r="U1621" s="12"/>
      <c r="V1621" s="13"/>
      <c r="W1621" s="16"/>
    </row>
    <row r="1622" spans="21:23" ht="16" x14ac:dyDescent="0.2">
      <c r="U1622" s="12"/>
      <c r="V1622" s="13"/>
      <c r="W1622" s="16"/>
    </row>
    <row r="1623" spans="21:23" ht="16" x14ac:dyDescent="0.2">
      <c r="U1623" s="12"/>
      <c r="V1623" s="13"/>
      <c r="W1623" s="16"/>
    </row>
    <row r="1624" spans="21:23" ht="16" x14ac:dyDescent="0.2">
      <c r="U1624" s="12"/>
      <c r="V1624" s="13"/>
      <c r="W1624" s="16"/>
    </row>
    <row r="1625" spans="21:23" ht="16" x14ac:dyDescent="0.2">
      <c r="U1625" s="12"/>
      <c r="V1625" s="13"/>
      <c r="W1625" s="16"/>
    </row>
    <row r="1626" spans="21:23" ht="16" x14ac:dyDescent="0.2">
      <c r="U1626" s="12"/>
      <c r="V1626" s="13"/>
      <c r="W1626" s="16"/>
    </row>
    <row r="1627" spans="21:23" ht="16" x14ac:dyDescent="0.2">
      <c r="U1627" s="12"/>
      <c r="V1627" s="13"/>
      <c r="W1627" s="16"/>
    </row>
    <row r="1628" spans="21:23" ht="16" x14ac:dyDescent="0.2">
      <c r="U1628" s="12"/>
      <c r="V1628" s="13"/>
      <c r="W1628" s="16"/>
    </row>
    <row r="1629" spans="21:23" ht="16" x14ac:dyDescent="0.2">
      <c r="U1629" s="12"/>
      <c r="V1629" s="13"/>
      <c r="W1629" s="16"/>
    </row>
    <row r="1630" spans="21:23" ht="16" x14ac:dyDescent="0.2">
      <c r="U1630" s="12"/>
      <c r="V1630" s="13"/>
      <c r="W1630" s="16"/>
    </row>
    <row r="1631" spans="21:23" ht="16" x14ac:dyDescent="0.2">
      <c r="U1631" s="12"/>
      <c r="V1631" s="13"/>
      <c r="W1631" s="16"/>
    </row>
    <row r="1632" spans="21:23" ht="16" x14ac:dyDescent="0.2">
      <c r="U1632" s="12"/>
      <c r="V1632" s="13"/>
      <c r="W1632" s="16"/>
    </row>
    <row r="1633" spans="21:23" ht="16" x14ac:dyDescent="0.2">
      <c r="U1633" s="12"/>
      <c r="V1633" s="13"/>
      <c r="W1633" s="16"/>
    </row>
    <row r="1634" spans="21:23" ht="16" x14ac:dyDescent="0.2">
      <c r="U1634" s="12"/>
      <c r="V1634" s="13"/>
      <c r="W1634" s="16"/>
    </row>
    <row r="1635" spans="21:23" ht="16" x14ac:dyDescent="0.2">
      <c r="U1635" s="12"/>
      <c r="V1635" s="13"/>
      <c r="W1635" s="16"/>
    </row>
    <row r="1636" spans="21:23" ht="16" x14ac:dyDescent="0.2">
      <c r="U1636" s="12"/>
      <c r="V1636" s="13"/>
      <c r="W1636" s="16"/>
    </row>
    <row r="1637" spans="21:23" ht="16" x14ac:dyDescent="0.2">
      <c r="U1637" s="12"/>
      <c r="V1637" s="13"/>
      <c r="W1637" s="16"/>
    </row>
    <row r="1638" spans="21:23" ht="16" x14ac:dyDescent="0.2">
      <c r="U1638" s="12"/>
      <c r="V1638" s="13"/>
      <c r="W1638" s="16"/>
    </row>
    <row r="1639" spans="21:23" ht="16" x14ac:dyDescent="0.2">
      <c r="U1639" s="12"/>
      <c r="V1639" s="13"/>
      <c r="W1639" s="16"/>
    </row>
    <row r="1640" spans="21:23" ht="16" x14ac:dyDescent="0.2">
      <c r="U1640" s="12"/>
      <c r="V1640" s="13"/>
      <c r="W1640" s="16"/>
    </row>
    <row r="1641" spans="21:23" ht="16" x14ac:dyDescent="0.2">
      <c r="U1641" s="12"/>
      <c r="V1641" s="13"/>
      <c r="W1641" s="16"/>
    </row>
    <row r="1642" spans="21:23" ht="16" x14ac:dyDescent="0.2">
      <c r="U1642" s="12"/>
      <c r="V1642" s="13"/>
      <c r="W1642" s="16"/>
    </row>
    <row r="1643" spans="21:23" ht="16" x14ac:dyDescent="0.2">
      <c r="U1643" s="12"/>
      <c r="V1643" s="13"/>
      <c r="W1643" s="16"/>
    </row>
    <row r="1644" spans="21:23" ht="16" x14ac:dyDescent="0.2">
      <c r="U1644" s="12"/>
      <c r="V1644" s="13"/>
      <c r="W1644" s="16"/>
    </row>
    <row r="1645" spans="21:23" ht="16" x14ac:dyDescent="0.2">
      <c r="U1645" s="12"/>
      <c r="V1645" s="13"/>
      <c r="W1645" s="16"/>
    </row>
    <row r="1646" spans="21:23" ht="16" x14ac:dyDescent="0.2">
      <c r="U1646" s="12"/>
      <c r="V1646" s="13"/>
      <c r="W1646" s="16"/>
    </row>
    <row r="1647" spans="21:23" ht="16" x14ac:dyDescent="0.2">
      <c r="U1647" s="12"/>
      <c r="V1647" s="13"/>
      <c r="W1647" s="16"/>
    </row>
    <row r="1648" spans="21:23" ht="16" x14ac:dyDescent="0.2">
      <c r="U1648" s="12"/>
      <c r="V1648" s="13"/>
      <c r="W1648" s="16"/>
    </row>
    <row r="1649" spans="21:23" ht="16" x14ac:dyDescent="0.2">
      <c r="U1649" s="12"/>
      <c r="V1649" s="13"/>
      <c r="W1649" s="16"/>
    </row>
    <row r="1650" spans="21:23" ht="16" x14ac:dyDescent="0.2">
      <c r="U1650" s="12"/>
      <c r="V1650" s="13"/>
      <c r="W1650" s="16"/>
    </row>
    <row r="1651" spans="21:23" ht="16" x14ac:dyDescent="0.2">
      <c r="U1651" s="12"/>
      <c r="V1651" s="13"/>
      <c r="W1651" s="16"/>
    </row>
    <row r="1652" spans="21:23" ht="16" x14ac:dyDescent="0.2">
      <c r="U1652" s="12"/>
      <c r="V1652" s="13"/>
      <c r="W1652" s="16"/>
    </row>
    <row r="1653" spans="21:23" ht="16" x14ac:dyDescent="0.2">
      <c r="U1653" s="12"/>
      <c r="V1653" s="13"/>
      <c r="W1653" s="16"/>
    </row>
    <row r="1654" spans="21:23" ht="16" x14ac:dyDescent="0.2">
      <c r="U1654" s="12"/>
      <c r="V1654" s="13"/>
      <c r="W1654" s="16"/>
    </row>
    <row r="1655" spans="21:23" ht="16" x14ac:dyDescent="0.2">
      <c r="U1655" s="12"/>
      <c r="V1655" s="13"/>
      <c r="W1655" s="16"/>
    </row>
    <row r="1656" spans="21:23" ht="16" x14ac:dyDescent="0.2">
      <c r="U1656" s="12"/>
      <c r="V1656" s="13"/>
      <c r="W1656" s="16"/>
    </row>
    <row r="1657" spans="21:23" ht="16" x14ac:dyDescent="0.2">
      <c r="U1657" s="12"/>
      <c r="V1657" s="13"/>
      <c r="W1657" s="16"/>
    </row>
    <row r="1658" spans="21:23" ht="16" x14ac:dyDescent="0.2">
      <c r="U1658" s="12"/>
      <c r="V1658" s="13"/>
      <c r="W1658" s="16"/>
    </row>
    <row r="1659" spans="21:23" ht="16" x14ac:dyDescent="0.2">
      <c r="U1659" s="12"/>
      <c r="V1659" s="13"/>
      <c r="W1659" s="16"/>
    </row>
    <row r="1660" spans="21:23" ht="16" x14ac:dyDescent="0.2">
      <c r="U1660" s="12"/>
      <c r="V1660" s="13"/>
      <c r="W1660" s="16"/>
    </row>
    <row r="1661" spans="21:23" ht="16" x14ac:dyDescent="0.2">
      <c r="U1661" s="12"/>
      <c r="V1661" s="13"/>
      <c r="W1661" s="16"/>
    </row>
    <row r="1662" spans="21:23" ht="16" x14ac:dyDescent="0.2">
      <c r="U1662" s="12"/>
      <c r="V1662" s="13"/>
      <c r="W1662" s="16"/>
    </row>
    <row r="1663" spans="21:23" ht="16" x14ac:dyDescent="0.2">
      <c r="U1663" s="12"/>
      <c r="V1663" s="13"/>
      <c r="W1663" s="16"/>
    </row>
    <row r="1664" spans="21:23" ht="16" x14ac:dyDescent="0.2">
      <c r="U1664" s="12"/>
      <c r="V1664" s="13"/>
      <c r="W1664" s="16"/>
    </row>
    <row r="1665" spans="21:23" ht="16" x14ac:dyDescent="0.2">
      <c r="U1665" s="12"/>
      <c r="V1665" s="13"/>
      <c r="W1665" s="16"/>
    </row>
    <row r="1666" spans="21:23" ht="16" x14ac:dyDescent="0.2">
      <c r="U1666" s="12"/>
      <c r="V1666" s="13"/>
      <c r="W1666" s="16"/>
    </row>
    <row r="1667" spans="21:23" ht="16" x14ac:dyDescent="0.2">
      <c r="U1667" s="12"/>
      <c r="V1667" s="13"/>
      <c r="W1667" s="16"/>
    </row>
    <row r="1668" spans="21:23" ht="16" x14ac:dyDescent="0.2">
      <c r="U1668" s="12"/>
      <c r="V1668" s="13"/>
      <c r="W1668" s="16"/>
    </row>
    <row r="1669" spans="21:23" ht="16" x14ac:dyDescent="0.2">
      <c r="U1669" s="12"/>
      <c r="V1669" s="13"/>
      <c r="W1669" s="16"/>
    </row>
    <row r="1670" spans="21:23" ht="16" x14ac:dyDescent="0.2">
      <c r="U1670" s="12"/>
      <c r="V1670" s="13"/>
      <c r="W1670" s="16"/>
    </row>
    <row r="1671" spans="21:23" ht="16" x14ac:dyDescent="0.2">
      <c r="U1671" s="12"/>
      <c r="V1671" s="13"/>
      <c r="W1671" s="16"/>
    </row>
    <row r="1672" spans="21:23" ht="16" x14ac:dyDescent="0.2">
      <c r="U1672" s="12"/>
      <c r="V1672" s="13"/>
      <c r="W1672" s="16"/>
    </row>
    <row r="1673" spans="21:23" ht="16" x14ac:dyDescent="0.2">
      <c r="U1673" s="12"/>
      <c r="V1673" s="13"/>
      <c r="W1673" s="16"/>
    </row>
    <row r="1674" spans="21:23" ht="16" x14ac:dyDescent="0.2">
      <c r="U1674" s="12"/>
      <c r="V1674" s="13"/>
      <c r="W1674" s="16"/>
    </row>
    <row r="1675" spans="21:23" ht="16" x14ac:dyDescent="0.2">
      <c r="U1675" s="12"/>
      <c r="V1675" s="13"/>
      <c r="W1675" s="16"/>
    </row>
    <row r="1676" spans="21:23" ht="16" x14ac:dyDescent="0.2">
      <c r="U1676" s="12"/>
      <c r="V1676" s="13"/>
      <c r="W1676" s="16"/>
    </row>
    <row r="1677" spans="21:23" ht="16" x14ac:dyDescent="0.2">
      <c r="U1677" s="12"/>
      <c r="V1677" s="13"/>
      <c r="W1677" s="16"/>
    </row>
    <row r="1678" spans="21:23" ht="16" x14ac:dyDescent="0.2">
      <c r="U1678" s="12"/>
      <c r="V1678" s="13"/>
      <c r="W1678" s="16"/>
    </row>
    <row r="1679" spans="21:23" ht="16" x14ac:dyDescent="0.2">
      <c r="U1679" s="12"/>
      <c r="V1679" s="13"/>
      <c r="W1679" s="16"/>
    </row>
    <row r="1680" spans="21:23" ht="16" x14ac:dyDescent="0.2">
      <c r="U1680" s="12"/>
      <c r="V1680" s="13"/>
      <c r="W1680" s="16"/>
    </row>
    <row r="1681" spans="21:23" ht="16" x14ac:dyDescent="0.2">
      <c r="U1681" s="12"/>
      <c r="V1681" s="13"/>
      <c r="W1681" s="16"/>
    </row>
    <row r="1682" spans="21:23" ht="16" x14ac:dyDescent="0.2">
      <c r="U1682" s="12"/>
      <c r="V1682" s="13"/>
      <c r="W1682" s="16"/>
    </row>
    <row r="1683" spans="21:23" ht="16" x14ac:dyDescent="0.2">
      <c r="U1683" s="12"/>
      <c r="V1683" s="13"/>
      <c r="W1683" s="16"/>
    </row>
    <row r="1684" spans="21:23" ht="16" x14ac:dyDescent="0.2">
      <c r="U1684" s="12"/>
      <c r="V1684" s="13"/>
      <c r="W1684" s="16"/>
    </row>
    <row r="1685" spans="21:23" ht="16" x14ac:dyDescent="0.2">
      <c r="U1685" s="12"/>
      <c r="V1685" s="13"/>
      <c r="W1685" s="16"/>
    </row>
    <row r="1686" spans="21:23" ht="16" x14ac:dyDescent="0.2">
      <c r="U1686" s="12"/>
      <c r="V1686" s="13"/>
      <c r="W1686" s="16"/>
    </row>
    <row r="1687" spans="21:23" ht="16" x14ac:dyDescent="0.2">
      <c r="U1687" s="12"/>
      <c r="V1687" s="13"/>
      <c r="W1687" s="16"/>
    </row>
    <row r="1688" spans="21:23" ht="16" x14ac:dyDescent="0.2">
      <c r="U1688" s="12"/>
      <c r="V1688" s="13"/>
      <c r="W1688" s="16"/>
    </row>
    <row r="1689" spans="21:23" ht="16" x14ac:dyDescent="0.2">
      <c r="U1689" s="12"/>
      <c r="V1689" s="13"/>
      <c r="W1689" s="16"/>
    </row>
    <row r="1690" spans="21:23" ht="16" x14ac:dyDescent="0.2">
      <c r="U1690" s="12"/>
      <c r="V1690" s="13"/>
      <c r="W1690" s="16"/>
    </row>
    <row r="1691" spans="21:23" ht="16" x14ac:dyDescent="0.2">
      <c r="U1691" s="12"/>
      <c r="V1691" s="13"/>
      <c r="W1691" s="16"/>
    </row>
    <row r="1692" spans="21:23" ht="16" x14ac:dyDescent="0.2">
      <c r="U1692" s="12"/>
      <c r="V1692" s="13"/>
      <c r="W1692" s="16"/>
    </row>
    <row r="1693" spans="21:23" ht="16" x14ac:dyDescent="0.2">
      <c r="U1693" s="12"/>
      <c r="V1693" s="13"/>
      <c r="W1693" s="16"/>
    </row>
    <row r="1694" spans="21:23" ht="16" x14ac:dyDescent="0.2">
      <c r="U1694" s="12"/>
      <c r="V1694" s="13"/>
      <c r="W1694" s="16"/>
    </row>
    <row r="1695" spans="21:23" ht="16" x14ac:dyDescent="0.2">
      <c r="U1695" s="12"/>
      <c r="V1695" s="13"/>
      <c r="W1695" s="16"/>
    </row>
    <row r="1696" spans="21:23" ht="16" x14ac:dyDescent="0.2">
      <c r="U1696" s="12"/>
      <c r="V1696" s="13"/>
      <c r="W1696" s="16"/>
    </row>
    <row r="1697" spans="21:23" ht="16" x14ac:dyDescent="0.2">
      <c r="U1697" s="12"/>
      <c r="V1697" s="13"/>
      <c r="W1697" s="16"/>
    </row>
    <row r="1698" spans="21:23" ht="16" x14ac:dyDescent="0.2">
      <c r="U1698" s="12"/>
      <c r="V1698" s="13"/>
      <c r="W1698" s="16"/>
    </row>
    <row r="1699" spans="21:23" ht="16" x14ac:dyDescent="0.2">
      <c r="U1699" s="12"/>
      <c r="V1699" s="13"/>
      <c r="W1699" s="16"/>
    </row>
    <row r="1700" spans="21:23" ht="16" x14ac:dyDescent="0.2">
      <c r="U1700" s="12"/>
      <c r="V1700" s="13"/>
      <c r="W1700" s="16"/>
    </row>
    <row r="1701" spans="21:23" ht="16" x14ac:dyDescent="0.2">
      <c r="U1701" s="12"/>
      <c r="V1701" s="13"/>
      <c r="W1701" s="16"/>
    </row>
    <row r="1702" spans="21:23" ht="16" x14ac:dyDescent="0.2">
      <c r="U1702" s="12"/>
      <c r="V1702" s="13"/>
      <c r="W1702" s="16"/>
    </row>
    <row r="1703" spans="21:23" ht="16" x14ac:dyDescent="0.2">
      <c r="U1703" s="12"/>
      <c r="V1703" s="13"/>
      <c r="W1703" s="16"/>
    </row>
    <row r="1704" spans="21:23" ht="16" x14ac:dyDescent="0.2">
      <c r="U1704" s="12"/>
      <c r="V1704" s="13"/>
      <c r="W1704" s="16"/>
    </row>
    <row r="1705" spans="21:23" ht="16" x14ac:dyDescent="0.2">
      <c r="U1705" s="12"/>
      <c r="V1705" s="13"/>
      <c r="W1705" s="16"/>
    </row>
    <row r="1706" spans="21:23" ht="16" x14ac:dyDescent="0.2">
      <c r="U1706" s="12"/>
      <c r="V1706" s="13"/>
      <c r="W1706" s="16"/>
    </row>
    <row r="1707" spans="21:23" ht="16" x14ac:dyDescent="0.2">
      <c r="U1707" s="12"/>
      <c r="V1707" s="13"/>
      <c r="W1707" s="16"/>
    </row>
    <row r="1708" spans="21:23" ht="16" x14ac:dyDescent="0.2">
      <c r="U1708" s="12"/>
      <c r="V1708" s="13"/>
      <c r="W1708" s="16"/>
    </row>
    <row r="1709" spans="21:23" ht="16" x14ac:dyDescent="0.2">
      <c r="U1709" s="12"/>
      <c r="V1709" s="13"/>
      <c r="W1709" s="16"/>
    </row>
    <row r="1710" spans="21:23" ht="16" x14ac:dyDescent="0.2">
      <c r="U1710" s="12"/>
      <c r="V1710" s="13"/>
      <c r="W1710" s="16"/>
    </row>
    <row r="1711" spans="21:23" ht="16" x14ac:dyDescent="0.2">
      <c r="U1711" s="12"/>
      <c r="V1711" s="13"/>
      <c r="W1711" s="16"/>
    </row>
    <row r="1712" spans="21:23" ht="16" x14ac:dyDescent="0.2">
      <c r="U1712" s="12"/>
      <c r="V1712" s="13"/>
      <c r="W1712" s="16"/>
    </row>
    <row r="1713" spans="21:23" ht="16" x14ac:dyDescent="0.2">
      <c r="U1713" s="12"/>
      <c r="V1713" s="13"/>
      <c r="W1713" s="16"/>
    </row>
    <row r="1714" spans="21:23" ht="16" x14ac:dyDescent="0.2">
      <c r="U1714" s="12"/>
      <c r="V1714" s="13"/>
      <c r="W1714" s="16"/>
    </row>
    <row r="1715" spans="21:23" ht="16" x14ac:dyDescent="0.2">
      <c r="U1715" s="12"/>
      <c r="V1715" s="13"/>
      <c r="W1715" s="16"/>
    </row>
    <row r="1716" spans="21:23" ht="16" x14ac:dyDescent="0.2">
      <c r="U1716" s="12"/>
      <c r="V1716" s="13"/>
      <c r="W1716" s="16"/>
    </row>
    <row r="1717" spans="21:23" ht="16" x14ac:dyDescent="0.2">
      <c r="U1717" s="12"/>
      <c r="V1717" s="13"/>
      <c r="W1717" s="16"/>
    </row>
    <row r="1718" spans="21:23" ht="16" x14ac:dyDescent="0.2">
      <c r="U1718" s="12"/>
      <c r="V1718" s="13"/>
      <c r="W1718" s="16"/>
    </row>
    <row r="1719" spans="21:23" ht="16" x14ac:dyDescent="0.2">
      <c r="U1719" s="12"/>
      <c r="V1719" s="13"/>
      <c r="W1719" s="16"/>
    </row>
    <row r="1720" spans="21:23" ht="16" x14ac:dyDescent="0.2">
      <c r="U1720" s="12"/>
      <c r="V1720" s="13"/>
      <c r="W1720" s="16"/>
    </row>
    <row r="1721" spans="21:23" ht="16" x14ac:dyDescent="0.2">
      <c r="U1721" s="12"/>
      <c r="V1721" s="13"/>
      <c r="W1721" s="16"/>
    </row>
    <row r="1722" spans="21:23" ht="16" x14ac:dyDescent="0.2">
      <c r="U1722" s="12"/>
      <c r="V1722" s="13"/>
      <c r="W1722" s="16"/>
    </row>
    <row r="1723" spans="21:23" ht="16" x14ac:dyDescent="0.2">
      <c r="U1723" s="12"/>
      <c r="V1723" s="13"/>
      <c r="W1723" s="16"/>
    </row>
    <row r="1724" spans="21:23" ht="16" x14ac:dyDescent="0.2">
      <c r="U1724" s="12"/>
      <c r="V1724" s="13"/>
      <c r="W1724" s="16"/>
    </row>
    <row r="1725" spans="21:23" ht="16" x14ac:dyDescent="0.2">
      <c r="U1725" s="12"/>
      <c r="V1725" s="13"/>
      <c r="W1725" s="16"/>
    </row>
    <row r="1726" spans="21:23" ht="16" x14ac:dyDescent="0.2">
      <c r="U1726" s="12"/>
      <c r="V1726" s="13"/>
      <c r="W1726" s="16"/>
    </row>
    <row r="1727" spans="21:23" ht="16" x14ac:dyDescent="0.2">
      <c r="U1727" s="12"/>
      <c r="V1727" s="13"/>
      <c r="W1727" s="16"/>
    </row>
    <row r="1728" spans="21:23" ht="16" x14ac:dyDescent="0.2">
      <c r="U1728" s="12"/>
      <c r="V1728" s="13"/>
      <c r="W1728" s="16"/>
    </row>
    <row r="1729" spans="21:23" ht="16" x14ac:dyDescent="0.2">
      <c r="U1729" s="12"/>
      <c r="V1729" s="13"/>
      <c r="W1729" s="16"/>
    </row>
    <row r="1730" spans="21:23" ht="16" x14ac:dyDescent="0.2">
      <c r="U1730" s="12"/>
      <c r="V1730" s="13"/>
      <c r="W1730" s="16"/>
    </row>
    <row r="1731" spans="21:23" ht="16" x14ac:dyDescent="0.2">
      <c r="U1731" s="12"/>
      <c r="V1731" s="13"/>
      <c r="W1731" s="16"/>
    </row>
    <row r="1732" spans="21:23" ht="16" x14ac:dyDescent="0.2">
      <c r="U1732" s="12"/>
      <c r="V1732" s="13"/>
      <c r="W1732" s="16"/>
    </row>
    <row r="1733" spans="21:23" ht="16" x14ac:dyDescent="0.2">
      <c r="U1733" s="12"/>
      <c r="V1733" s="13"/>
      <c r="W1733" s="16"/>
    </row>
    <row r="1734" spans="21:23" ht="16" x14ac:dyDescent="0.2">
      <c r="U1734" s="12"/>
      <c r="V1734" s="13"/>
      <c r="W1734" s="16"/>
    </row>
    <row r="1735" spans="21:23" ht="16" x14ac:dyDescent="0.2">
      <c r="U1735" s="12"/>
      <c r="V1735" s="13"/>
      <c r="W1735" s="16"/>
    </row>
    <row r="1736" spans="21:23" ht="16" x14ac:dyDescent="0.2">
      <c r="U1736" s="12"/>
      <c r="V1736" s="13"/>
      <c r="W1736" s="16"/>
    </row>
    <row r="1737" spans="21:23" ht="16" x14ac:dyDescent="0.2">
      <c r="U1737" s="12"/>
      <c r="V1737" s="13"/>
      <c r="W1737" s="16"/>
    </row>
    <row r="1738" spans="21:23" ht="16" x14ac:dyDescent="0.2">
      <c r="U1738" s="12"/>
      <c r="V1738" s="13"/>
      <c r="W1738" s="16"/>
    </row>
    <row r="1739" spans="21:23" ht="16" x14ac:dyDescent="0.2">
      <c r="U1739" s="12"/>
      <c r="V1739" s="13"/>
      <c r="W1739" s="16"/>
    </row>
    <row r="1740" spans="21:23" ht="16" x14ac:dyDescent="0.2">
      <c r="U1740" s="12"/>
      <c r="V1740" s="13"/>
      <c r="W1740" s="16"/>
    </row>
    <row r="1741" spans="21:23" ht="16" x14ac:dyDescent="0.2">
      <c r="U1741" s="12"/>
      <c r="V1741" s="13"/>
      <c r="W1741" s="16"/>
    </row>
    <row r="1742" spans="21:23" ht="16" x14ac:dyDescent="0.2">
      <c r="U1742" s="12"/>
      <c r="V1742" s="13"/>
      <c r="W1742" s="16"/>
    </row>
    <row r="1743" spans="21:23" ht="16" x14ac:dyDescent="0.2">
      <c r="U1743" s="12"/>
      <c r="V1743" s="13"/>
      <c r="W1743" s="16"/>
    </row>
    <row r="1744" spans="21:23" ht="16" x14ac:dyDescent="0.2">
      <c r="U1744" s="12"/>
      <c r="V1744" s="13"/>
      <c r="W1744" s="16"/>
    </row>
    <row r="1745" spans="21:23" ht="16" x14ac:dyDescent="0.2">
      <c r="U1745" s="12"/>
      <c r="V1745" s="13"/>
      <c r="W1745" s="16"/>
    </row>
    <row r="1746" spans="21:23" ht="16" x14ac:dyDescent="0.2">
      <c r="U1746" s="12"/>
      <c r="V1746" s="13"/>
      <c r="W1746" s="16"/>
    </row>
    <row r="1747" spans="21:23" ht="16" x14ac:dyDescent="0.2">
      <c r="U1747" s="12"/>
      <c r="V1747" s="13"/>
      <c r="W1747" s="16"/>
    </row>
    <row r="1748" spans="21:23" ht="16" x14ac:dyDescent="0.2">
      <c r="U1748" s="12"/>
      <c r="V1748" s="13"/>
      <c r="W1748" s="16"/>
    </row>
    <row r="1749" spans="21:23" ht="16" x14ac:dyDescent="0.2">
      <c r="U1749" s="12"/>
      <c r="V1749" s="13"/>
      <c r="W1749" s="16"/>
    </row>
    <row r="1750" spans="21:23" ht="16" x14ac:dyDescent="0.2">
      <c r="U1750" s="12"/>
      <c r="V1750" s="13"/>
      <c r="W1750" s="16"/>
    </row>
    <row r="1751" spans="21:23" ht="16" x14ac:dyDescent="0.2">
      <c r="U1751" s="12"/>
      <c r="V1751" s="13"/>
      <c r="W1751" s="16"/>
    </row>
    <row r="1752" spans="21:23" ht="16" x14ac:dyDescent="0.2">
      <c r="U1752" s="12"/>
      <c r="V1752" s="13"/>
      <c r="W1752" s="16"/>
    </row>
    <row r="1753" spans="21:23" ht="16" x14ac:dyDescent="0.2">
      <c r="U1753" s="12"/>
      <c r="V1753" s="13"/>
      <c r="W1753" s="16"/>
    </row>
    <row r="1754" spans="21:23" ht="16" x14ac:dyDescent="0.2">
      <c r="U1754" s="12"/>
      <c r="V1754" s="13"/>
      <c r="W1754" s="16"/>
    </row>
    <row r="1755" spans="21:23" ht="16" x14ac:dyDescent="0.2">
      <c r="U1755" s="12"/>
      <c r="V1755" s="13"/>
      <c r="W1755" s="16"/>
    </row>
    <row r="1756" spans="21:23" ht="16" x14ac:dyDescent="0.2">
      <c r="U1756" s="12"/>
      <c r="V1756" s="13"/>
      <c r="W1756" s="16"/>
    </row>
    <row r="1757" spans="21:23" ht="16" x14ac:dyDescent="0.2">
      <c r="U1757" s="12"/>
      <c r="V1757" s="13"/>
      <c r="W1757" s="16"/>
    </row>
    <row r="1758" spans="21:23" ht="16" x14ac:dyDescent="0.2">
      <c r="U1758" s="12"/>
      <c r="V1758" s="13"/>
      <c r="W1758" s="16"/>
    </row>
    <row r="1759" spans="21:23" ht="16" x14ac:dyDescent="0.2">
      <c r="U1759" s="12"/>
      <c r="V1759" s="13"/>
      <c r="W1759" s="16"/>
    </row>
    <row r="1760" spans="21:23" ht="16" x14ac:dyDescent="0.2">
      <c r="U1760" s="12"/>
      <c r="V1760" s="13"/>
      <c r="W1760" s="16"/>
    </row>
    <row r="1761" spans="21:23" ht="16" x14ac:dyDescent="0.2">
      <c r="U1761" s="12"/>
      <c r="V1761" s="13"/>
      <c r="W1761" s="16"/>
    </row>
    <row r="1762" spans="21:23" ht="16" x14ac:dyDescent="0.2">
      <c r="U1762" s="12"/>
      <c r="V1762" s="13"/>
      <c r="W1762" s="16"/>
    </row>
    <row r="1763" spans="21:23" ht="16" x14ac:dyDescent="0.2">
      <c r="U1763" s="12"/>
      <c r="V1763" s="13"/>
      <c r="W1763" s="16"/>
    </row>
    <row r="1764" spans="21:23" ht="16" x14ac:dyDescent="0.2">
      <c r="U1764" s="12"/>
      <c r="V1764" s="13"/>
      <c r="W1764" s="16"/>
    </row>
    <row r="1765" spans="21:23" ht="16" x14ac:dyDescent="0.2">
      <c r="U1765" s="12"/>
      <c r="V1765" s="13"/>
      <c r="W1765" s="16"/>
    </row>
    <row r="1766" spans="21:23" ht="16" x14ac:dyDescent="0.2">
      <c r="U1766" s="12"/>
      <c r="V1766" s="13"/>
      <c r="W1766" s="16"/>
    </row>
    <row r="1767" spans="21:23" ht="16" x14ac:dyDescent="0.2">
      <c r="U1767" s="12"/>
      <c r="V1767" s="13"/>
      <c r="W1767" s="16"/>
    </row>
    <row r="1768" spans="21:23" ht="16" x14ac:dyDescent="0.2">
      <c r="U1768" s="12"/>
      <c r="V1768" s="13"/>
      <c r="W1768" s="16"/>
    </row>
    <row r="1769" spans="21:23" ht="16" x14ac:dyDescent="0.2">
      <c r="U1769" s="12"/>
      <c r="V1769" s="13"/>
      <c r="W1769" s="16"/>
    </row>
    <row r="1770" spans="21:23" ht="16" x14ac:dyDescent="0.2">
      <c r="U1770" s="12"/>
      <c r="V1770" s="13"/>
      <c r="W1770" s="16"/>
    </row>
    <row r="1771" spans="21:23" ht="16" x14ac:dyDescent="0.2">
      <c r="U1771" s="12"/>
      <c r="V1771" s="13"/>
      <c r="W1771" s="16"/>
    </row>
    <row r="1772" spans="21:23" ht="16" x14ac:dyDescent="0.2">
      <c r="U1772" s="12"/>
      <c r="V1772" s="13"/>
      <c r="W1772" s="16"/>
    </row>
    <row r="1773" spans="21:23" ht="16" x14ac:dyDescent="0.2">
      <c r="U1773" s="12"/>
      <c r="V1773" s="13"/>
      <c r="W1773" s="16"/>
    </row>
    <row r="1774" spans="21:23" ht="16" x14ac:dyDescent="0.2">
      <c r="U1774" s="12"/>
      <c r="V1774" s="13"/>
      <c r="W1774" s="16"/>
    </row>
    <row r="1775" spans="21:23" ht="16" x14ac:dyDescent="0.2">
      <c r="U1775" s="12"/>
      <c r="V1775" s="13"/>
      <c r="W1775" s="16"/>
    </row>
    <row r="1776" spans="21:23" ht="16" x14ac:dyDescent="0.2">
      <c r="U1776" s="12"/>
      <c r="V1776" s="13"/>
      <c r="W1776" s="16"/>
    </row>
    <row r="1777" spans="21:23" ht="16" x14ac:dyDescent="0.2">
      <c r="U1777" s="12"/>
      <c r="V1777" s="13"/>
      <c r="W1777" s="16"/>
    </row>
    <row r="1778" spans="21:23" ht="16" x14ac:dyDescent="0.2">
      <c r="U1778" s="12"/>
      <c r="V1778" s="13"/>
      <c r="W1778" s="16"/>
    </row>
    <row r="1779" spans="21:23" ht="16" x14ac:dyDescent="0.2">
      <c r="U1779" s="12"/>
      <c r="V1779" s="13"/>
      <c r="W1779" s="16"/>
    </row>
    <row r="1780" spans="21:23" ht="16" x14ac:dyDescent="0.2">
      <c r="U1780" s="12"/>
      <c r="V1780" s="13"/>
      <c r="W1780" s="16"/>
    </row>
    <row r="1781" spans="21:23" ht="16" x14ac:dyDescent="0.2">
      <c r="U1781" s="12"/>
      <c r="V1781" s="13"/>
      <c r="W1781" s="16"/>
    </row>
    <row r="1782" spans="21:23" ht="16" x14ac:dyDescent="0.2">
      <c r="U1782" s="12"/>
      <c r="V1782" s="13"/>
      <c r="W1782" s="16"/>
    </row>
    <row r="1783" spans="21:23" ht="16" x14ac:dyDescent="0.2">
      <c r="U1783" s="12"/>
      <c r="V1783" s="13"/>
      <c r="W1783" s="16"/>
    </row>
    <row r="1784" spans="21:23" ht="16" x14ac:dyDescent="0.2">
      <c r="U1784" s="12"/>
      <c r="V1784" s="13"/>
      <c r="W1784" s="16"/>
    </row>
    <row r="1785" spans="21:23" ht="16" x14ac:dyDescent="0.2">
      <c r="U1785" s="12"/>
      <c r="V1785" s="13"/>
      <c r="W1785" s="16"/>
    </row>
    <row r="1786" spans="21:23" ht="16" x14ac:dyDescent="0.2">
      <c r="U1786" s="12"/>
      <c r="V1786" s="13"/>
      <c r="W1786" s="16"/>
    </row>
    <row r="1787" spans="21:23" ht="16" x14ac:dyDescent="0.2">
      <c r="U1787" s="12"/>
      <c r="V1787" s="13"/>
      <c r="W1787" s="16"/>
    </row>
    <row r="1788" spans="21:23" ht="16" x14ac:dyDescent="0.2">
      <c r="U1788" s="12"/>
      <c r="V1788" s="13"/>
      <c r="W1788" s="16"/>
    </row>
    <row r="1789" spans="21:23" ht="16" x14ac:dyDescent="0.2">
      <c r="U1789" s="12"/>
      <c r="V1789" s="13"/>
      <c r="W1789" s="16"/>
    </row>
    <row r="1790" spans="21:23" ht="16" x14ac:dyDescent="0.2">
      <c r="U1790" s="12"/>
      <c r="V1790" s="13"/>
      <c r="W1790" s="16"/>
    </row>
    <row r="1791" spans="21:23" ht="16" x14ac:dyDescent="0.2">
      <c r="U1791" s="12"/>
      <c r="V1791" s="13"/>
      <c r="W1791" s="16"/>
    </row>
    <row r="1792" spans="21:23" ht="16" x14ac:dyDescent="0.2">
      <c r="U1792" s="12"/>
      <c r="V1792" s="13"/>
      <c r="W1792" s="16"/>
    </row>
    <row r="1793" spans="21:23" ht="16" x14ac:dyDescent="0.2">
      <c r="U1793" s="12"/>
      <c r="V1793" s="13"/>
      <c r="W1793" s="16"/>
    </row>
    <row r="1794" spans="21:23" ht="16" x14ac:dyDescent="0.2">
      <c r="U1794" s="12"/>
      <c r="V1794" s="13"/>
      <c r="W1794" s="16"/>
    </row>
    <row r="1795" spans="21:23" ht="16" x14ac:dyDescent="0.2">
      <c r="U1795" s="12"/>
      <c r="V1795" s="13"/>
      <c r="W1795" s="16"/>
    </row>
    <row r="1796" spans="21:23" ht="16" x14ac:dyDescent="0.2">
      <c r="U1796" s="12"/>
      <c r="V1796" s="13"/>
      <c r="W1796" s="16"/>
    </row>
    <row r="1797" spans="21:23" ht="16" x14ac:dyDescent="0.2">
      <c r="U1797" s="12"/>
      <c r="V1797" s="13"/>
      <c r="W1797" s="16"/>
    </row>
    <row r="1798" spans="21:23" ht="16" x14ac:dyDescent="0.2">
      <c r="U1798" s="12"/>
      <c r="V1798" s="13"/>
      <c r="W1798" s="16"/>
    </row>
    <row r="1799" spans="21:23" ht="16" x14ac:dyDescent="0.2">
      <c r="U1799" s="12"/>
      <c r="V1799" s="13"/>
      <c r="W1799" s="16"/>
    </row>
    <row r="1800" spans="21:23" ht="16" x14ac:dyDescent="0.2">
      <c r="U1800" s="12"/>
      <c r="V1800" s="13"/>
      <c r="W1800" s="16"/>
    </row>
    <row r="1801" spans="21:23" ht="16" x14ac:dyDescent="0.2">
      <c r="U1801" s="12"/>
      <c r="V1801" s="13"/>
      <c r="W1801" s="16"/>
    </row>
    <row r="1802" spans="21:23" ht="16" x14ac:dyDescent="0.2">
      <c r="U1802" s="12"/>
      <c r="V1802" s="13"/>
      <c r="W1802" s="16"/>
    </row>
    <row r="1803" spans="21:23" ht="16" x14ac:dyDescent="0.2">
      <c r="U1803" s="12"/>
      <c r="V1803" s="13"/>
      <c r="W1803" s="16"/>
    </row>
    <row r="1804" spans="21:23" ht="16" x14ac:dyDescent="0.2">
      <c r="U1804" s="12"/>
      <c r="V1804" s="13"/>
      <c r="W1804" s="16"/>
    </row>
    <row r="1805" spans="21:23" ht="16" x14ac:dyDescent="0.2">
      <c r="U1805" s="12"/>
      <c r="V1805" s="13"/>
      <c r="W1805" s="16"/>
    </row>
    <row r="1806" spans="21:23" ht="16" x14ac:dyDescent="0.2">
      <c r="U1806" s="12"/>
      <c r="V1806" s="13"/>
      <c r="W1806" s="16"/>
    </row>
    <row r="1807" spans="21:23" ht="16" x14ac:dyDescent="0.2">
      <c r="U1807" s="12"/>
      <c r="V1807" s="13"/>
      <c r="W1807" s="16"/>
    </row>
    <row r="1808" spans="21:23" ht="16" x14ac:dyDescent="0.2">
      <c r="U1808" s="12"/>
      <c r="V1808" s="13"/>
      <c r="W1808" s="16"/>
    </row>
    <row r="1809" spans="21:23" ht="16" x14ac:dyDescent="0.2">
      <c r="U1809" s="12"/>
      <c r="V1809" s="13"/>
      <c r="W1809" s="16"/>
    </row>
    <row r="1810" spans="21:23" ht="16" x14ac:dyDescent="0.2">
      <c r="U1810" s="12"/>
      <c r="V1810" s="13"/>
      <c r="W1810" s="16"/>
    </row>
    <row r="1811" spans="21:23" ht="16" x14ac:dyDescent="0.2">
      <c r="U1811" s="12"/>
      <c r="V1811" s="13"/>
      <c r="W1811" s="16"/>
    </row>
    <row r="1812" spans="21:23" ht="16" x14ac:dyDescent="0.2">
      <c r="U1812" s="12"/>
      <c r="V1812" s="13"/>
      <c r="W1812" s="16"/>
    </row>
    <row r="1813" spans="21:23" ht="16" x14ac:dyDescent="0.2">
      <c r="U1813" s="12"/>
      <c r="V1813" s="13"/>
      <c r="W1813" s="16"/>
    </row>
    <row r="1814" spans="21:23" ht="16" x14ac:dyDescent="0.2">
      <c r="U1814" s="12"/>
      <c r="V1814" s="13"/>
      <c r="W1814" s="16"/>
    </row>
    <row r="1815" spans="21:23" ht="16" x14ac:dyDescent="0.2">
      <c r="U1815" s="12"/>
      <c r="V1815" s="13"/>
      <c r="W1815" s="16"/>
    </row>
    <row r="1816" spans="21:23" ht="16" x14ac:dyDescent="0.2">
      <c r="U1816" s="12"/>
      <c r="V1816" s="13"/>
      <c r="W1816" s="16"/>
    </row>
    <row r="1817" spans="21:23" ht="16" x14ac:dyDescent="0.2">
      <c r="U1817" s="12"/>
      <c r="V1817" s="13"/>
      <c r="W1817" s="16"/>
    </row>
    <row r="1818" spans="21:23" ht="16" x14ac:dyDescent="0.2">
      <c r="U1818" s="12"/>
      <c r="V1818" s="13"/>
      <c r="W1818" s="16"/>
    </row>
    <row r="1819" spans="21:23" ht="16" x14ac:dyDescent="0.2">
      <c r="U1819" s="12"/>
      <c r="V1819" s="13"/>
      <c r="W1819" s="16"/>
    </row>
    <row r="1820" spans="21:23" ht="16" x14ac:dyDescent="0.2">
      <c r="U1820" s="12"/>
      <c r="V1820" s="13"/>
      <c r="W1820" s="16"/>
    </row>
    <row r="1821" spans="21:23" ht="16" x14ac:dyDescent="0.2">
      <c r="U1821" s="12"/>
      <c r="V1821" s="13"/>
      <c r="W1821" s="16"/>
    </row>
    <row r="1822" spans="21:23" ht="16" x14ac:dyDescent="0.2">
      <c r="U1822" s="12"/>
      <c r="V1822" s="13"/>
      <c r="W1822" s="16"/>
    </row>
    <row r="1823" spans="21:23" ht="16" x14ac:dyDescent="0.2">
      <c r="U1823" s="12"/>
      <c r="V1823" s="13"/>
      <c r="W1823" s="16"/>
    </row>
    <row r="1824" spans="21:23" ht="16" x14ac:dyDescent="0.2">
      <c r="U1824" s="12"/>
      <c r="V1824" s="13"/>
      <c r="W1824" s="16"/>
    </row>
    <row r="1825" spans="21:23" ht="16" x14ac:dyDescent="0.2">
      <c r="U1825" s="12"/>
      <c r="V1825" s="13"/>
      <c r="W1825" s="16"/>
    </row>
    <row r="1826" spans="21:23" ht="16" x14ac:dyDescent="0.2">
      <c r="U1826" s="12"/>
      <c r="V1826" s="13"/>
      <c r="W1826" s="16"/>
    </row>
    <row r="1827" spans="21:23" ht="16" x14ac:dyDescent="0.2">
      <c r="U1827" s="12"/>
      <c r="V1827" s="13"/>
      <c r="W1827" s="16"/>
    </row>
    <row r="1828" spans="21:23" ht="16" x14ac:dyDescent="0.2">
      <c r="U1828" s="12"/>
      <c r="V1828" s="13"/>
      <c r="W1828" s="16"/>
    </row>
    <row r="1829" spans="21:23" ht="16" x14ac:dyDescent="0.2">
      <c r="U1829" s="12"/>
      <c r="V1829" s="13"/>
      <c r="W1829" s="16"/>
    </row>
    <row r="1830" spans="21:23" ht="16" x14ac:dyDescent="0.2">
      <c r="U1830" s="12"/>
      <c r="V1830" s="13"/>
      <c r="W1830" s="16"/>
    </row>
    <row r="1831" spans="21:23" ht="16" x14ac:dyDescent="0.2">
      <c r="U1831" s="12"/>
      <c r="V1831" s="13"/>
      <c r="W1831" s="16"/>
    </row>
    <row r="1832" spans="21:23" ht="16" x14ac:dyDescent="0.2">
      <c r="U1832" s="12"/>
      <c r="V1832" s="13"/>
      <c r="W1832" s="16"/>
    </row>
    <row r="1833" spans="21:23" ht="16" x14ac:dyDescent="0.2">
      <c r="U1833" s="12"/>
      <c r="V1833" s="13"/>
      <c r="W1833" s="16"/>
    </row>
    <row r="1834" spans="21:23" ht="16" x14ac:dyDescent="0.2">
      <c r="U1834" s="12"/>
      <c r="V1834" s="13"/>
      <c r="W1834" s="16"/>
    </row>
    <row r="1835" spans="21:23" ht="16" x14ac:dyDescent="0.2">
      <c r="U1835" s="12"/>
      <c r="V1835" s="13"/>
      <c r="W1835" s="16"/>
    </row>
    <row r="1836" spans="21:23" ht="16" x14ac:dyDescent="0.2">
      <c r="U1836" s="12"/>
      <c r="V1836" s="13"/>
      <c r="W1836" s="16"/>
    </row>
    <row r="1837" spans="21:23" ht="16" x14ac:dyDescent="0.2">
      <c r="U1837" s="12"/>
      <c r="V1837" s="13"/>
      <c r="W1837" s="16"/>
    </row>
    <row r="1838" spans="21:23" ht="16" x14ac:dyDescent="0.2">
      <c r="U1838" s="12"/>
      <c r="V1838" s="13"/>
      <c r="W1838" s="16"/>
    </row>
    <row r="1839" spans="21:23" ht="16" x14ac:dyDescent="0.2">
      <c r="U1839" s="12"/>
      <c r="V1839" s="13"/>
      <c r="W1839" s="16"/>
    </row>
    <row r="1840" spans="21:23" ht="16" x14ac:dyDescent="0.2">
      <c r="U1840" s="12"/>
      <c r="V1840" s="13"/>
      <c r="W1840" s="16"/>
    </row>
    <row r="1841" spans="21:23" ht="16" x14ac:dyDescent="0.2">
      <c r="U1841" s="12"/>
      <c r="V1841" s="13"/>
      <c r="W1841" s="16"/>
    </row>
    <row r="1842" spans="21:23" ht="16" x14ac:dyDescent="0.2">
      <c r="U1842" s="12"/>
      <c r="V1842" s="13"/>
      <c r="W1842" s="16"/>
    </row>
    <row r="1843" spans="21:23" ht="16" x14ac:dyDescent="0.2">
      <c r="U1843" s="12"/>
      <c r="V1843" s="13"/>
      <c r="W1843" s="16"/>
    </row>
    <row r="1844" spans="21:23" ht="16" x14ac:dyDescent="0.2">
      <c r="U1844" s="12"/>
      <c r="V1844" s="13"/>
      <c r="W1844" s="16"/>
    </row>
    <row r="1845" spans="21:23" ht="16" x14ac:dyDescent="0.2">
      <c r="U1845" s="12"/>
      <c r="V1845" s="13"/>
      <c r="W1845" s="16"/>
    </row>
    <row r="1846" spans="21:23" ht="16" x14ac:dyDescent="0.2">
      <c r="U1846" s="12"/>
      <c r="V1846" s="13"/>
      <c r="W1846" s="16"/>
    </row>
    <row r="1847" spans="21:23" ht="16" x14ac:dyDescent="0.2">
      <c r="U1847" s="12"/>
      <c r="V1847" s="13"/>
      <c r="W1847" s="16"/>
    </row>
    <row r="1848" spans="21:23" ht="16" x14ac:dyDescent="0.2">
      <c r="U1848" s="12"/>
      <c r="V1848" s="13"/>
      <c r="W1848" s="16"/>
    </row>
    <row r="1849" spans="21:23" ht="16" x14ac:dyDescent="0.2">
      <c r="U1849" s="12"/>
      <c r="V1849" s="13"/>
      <c r="W1849" s="16"/>
    </row>
    <row r="1850" spans="21:23" ht="16" x14ac:dyDescent="0.2">
      <c r="U1850" s="12"/>
      <c r="V1850" s="13"/>
      <c r="W1850" s="16"/>
    </row>
    <row r="1851" spans="21:23" ht="16" x14ac:dyDescent="0.2">
      <c r="U1851" s="12"/>
      <c r="V1851" s="13"/>
      <c r="W1851" s="16"/>
    </row>
    <row r="1852" spans="21:23" ht="16" x14ac:dyDescent="0.2">
      <c r="U1852" s="12"/>
      <c r="V1852" s="13"/>
      <c r="W1852" s="16"/>
    </row>
    <row r="1853" spans="21:23" ht="16" x14ac:dyDescent="0.2">
      <c r="U1853" s="12"/>
      <c r="V1853" s="13"/>
      <c r="W1853" s="16"/>
    </row>
    <row r="1854" spans="21:23" ht="16" x14ac:dyDescent="0.2">
      <c r="U1854" s="12"/>
      <c r="V1854" s="13"/>
      <c r="W1854" s="16"/>
    </row>
    <row r="1855" spans="21:23" ht="16" x14ac:dyDescent="0.2">
      <c r="U1855" s="12"/>
      <c r="V1855" s="13"/>
      <c r="W1855" s="16"/>
    </row>
    <row r="1856" spans="21:23" ht="16" x14ac:dyDescent="0.2">
      <c r="U1856" s="12"/>
      <c r="V1856" s="13"/>
      <c r="W1856" s="16"/>
    </row>
    <row r="1857" spans="21:23" ht="16" x14ac:dyDescent="0.2">
      <c r="U1857" s="12"/>
      <c r="V1857" s="13"/>
      <c r="W1857" s="16"/>
    </row>
    <row r="1858" spans="21:23" ht="16" x14ac:dyDescent="0.2">
      <c r="U1858" s="12"/>
      <c r="V1858" s="13"/>
      <c r="W1858" s="16"/>
    </row>
    <row r="1859" spans="21:23" ht="16" x14ac:dyDescent="0.2">
      <c r="U1859" s="12"/>
      <c r="V1859" s="13"/>
      <c r="W1859" s="16"/>
    </row>
    <row r="1860" spans="21:23" ht="16" x14ac:dyDescent="0.2">
      <c r="U1860" s="12"/>
      <c r="V1860" s="13"/>
      <c r="W1860" s="16"/>
    </row>
    <row r="1861" spans="21:23" ht="16" x14ac:dyDescent="0.2">
      <c r="U1861" s="12"/>
      <c r="V1861" s="13"/>
      <c r="W1861" s="16"/>
    </row>
    <row r="1862" spans="21:23" ht="16" x14ac:dyDescent="0.2">
      <c r="U1862" s="12"/>
      <c r="V1862" s="13"/>
      <c r="W1862" s="16"/>
    </row>
    <row r="1863" spans="21:23" ht="16" x14ac:dyDescent="0.2">
      <c r="U1863" s="12"/>
      <c r="V1863" s="13"/>
      <c r="W1863" s="16"/>
    </row>
    <row r="1864" spans="21:23" ht="16" x14ac:dyDescent="0.2">
      <c r="U1864" s="12"/>
      <c r="V1864" s="13"/>
      <c r="W1864" s="16"/>
    </row>
    <row r="1865" spans="21:23" ht="16" x14ac:dyDescent="0.2">
      <c r="U1865" s="12"/>
      <c r="V1865" s="13"/>
      <c r="W1865" s="16"/>
    </row>
    <row r="1866" spans="21:23" ht="16" x14ac:dyDescent="0.2">
      <c r="U1866" s="12"/>
      <c r="V1866" s="13"/>
      <c r="W1866" s="16"/>
    </row>
    <row r="1867" spans="21:23" ht="16" x14ac:dyDescent="0.2">
      <c r="U1867" s="12"/>
      <c r="V1867" s="13"/>
      <c r="W1867" s="16"/>
    </row>
    <row r="1868" spans="21:23" ht="16" x14ac:dyDescent="0.2">
      <c r="U1868" s="12"/>
      <c r="V1868" s="13"/>
      <c r="W1868" s="16"/>
    </row>
    <row r="1869" spans="21:23" ht="16" x14ac:dyDescent="0.2">
      <c r="U1869" s="12"/>
      <c r="V1869" s="13"/>
      <c r="W1869" s="16"/>
    </row>
    <row r="1870" spans="21:23" ht="16" x14ac:dyDescent="0.2">
      <c r="U1870" s="12"/>
      <c r="V1870" s="13"/>
      <c r="W1870" s="16"/>
    </row>
    <row r="1871" spans="21:23" ht="16" x14ac:dyDescent="0.2">
      <c r="U1871" s="12"/>
      <c r="V1871" s="13"/>
      <c r="W1871" s="16"/>
    </row>
    <row r="1872" spans="21:23" ht="16" x14ac:dyDescent="0.2">
      <c r="U1872" s="12"/>
      <c r="V1872" s="13"/>
      <c r="W1872" s="16"/>
    </row>
    <row r="1873" spans="21:23" ht="16" x14ac:dyDescent="0.2">
      <c r="U1873" s="12"/>
      <c r="V1873" s="13"/>
      <c r="W1873" s="16"/>
    </row>
    <row r="1874" spans="21:23" ht="16" x14ac:dyDescent="0.2">
      <c r="U1874" s="12"/>
      <c r="V1874" s="13"/>
      <c r="W1874" s="16"/>
    </row>
    <row r="1875" spans="21:23" ht="16" x14ac:dyDescent="0.2">
      <c r="U1875" s="12"/>
      <c r="V1875" s="13"/>
      <c r="W1875" s="16"/>
    </row>
    <row r="1876" spans="21:23" ht="16" x14ac:dyDescent="0.2">
      <c r="U1876" s="12"/>
      <c r="V1876" s="13"/>
      <c r="W1876" s="16"/>
    </row>
    <row r="1877" spans="21:23" ht="16" x14ac:dyDescent="0.2">
      <c r="U1877" s="12"/>
      <c r="V1877" s="13"/>
      <c r="W1877" s="16"/>
    </row>
    <row r="1878" spans="21:23" ht="16" x14ac:dyDescent="0.2">
      <c r="U1878" s="12"/>
      <c r="V1878" s="13"/>
      <c r="W1878" s="16"/>
    </row>
    <row r="1879" spans="21:23" ht="16" x14ac:dyDescent="0.2">
      <c r="U1879" s="12"/>
      <c r="V1879" s="13"/>
      <c r="W1879" s="16"/>
    </row>
    <row r="1880" spans="21:23" ht="16" x14ac:dyDescent="0.2">
      <c r="U1880" s="12"/>
      <c r="V1880" s="13"/>
      <c r="W1880" s="16"/>
    </row>
    <row r="1881" spans="21:23" ht="16" x14ac:dyDescent="0.2">
      <c r="U1881" s="12"/>
      <c r="V1881" s="13"/>
      <c r="W1881" s="16"/>
    </row>
    <row r="1882" spans="21:23" ht="16" x14ac:dyDescent="0.2">
      <c r="U1882" s="12"/>
      <c r="V1882" s="13"/>
      <c r="W1882" s="16"/>
    </row>
    <row r="1883" spans="21:23" ht="16" x14ac:dyDescent="0.2">
      <c r="U1883" s="12"/>
      <c r="V1883" s="13"/>
      <c r="W1883" s="16"/>
    </row>
    <row r="1884" spans="21:23" ht="16" x14ac:dyDescent="0.2">
      <c r="U1884" s="12"/>
      <c r="V1884" s="13"/>
      <c r="W1884" s="16"/>
    </row>
    <row r="1885" spans="21:23" ht="16" x14ac:dyDescent="0.2">
      <c r="U1885" s="12"/>
      <c r="V1885" s="13"/>
      <c r="W1885" s="16"/>
    </row>
    <row r="1886" spans="21:23" ht="16" x14ac:dyDescent="0.2">
      <c r="U1886" s="12"/>
      <c r="V1886" s="13"/>
      <c r="W1886" s="16"/>
    </row>
    <row r="1887" spans="21:23" ht="16" x14ac:dyDescent="0.2">
      <c r="U1887" s="12"/>
      <c r="V1887" s="13"/>
      <c r="W1887" s="16"/>
    </row>
    <row r="1888" spans="21:23" ht="16" x14ac:dyDescent="0.2">
      <c r="U1888" s="12"/>
      <c r="V1888" s="13"/>
      <c r="W1888" s="16"/>
    </row>
    <row r="1889" spans="21:23" ht="16" x14ac:dyDescent="0.2">
      <c r="U1889" s="12"/>
      <c r="V1889" s="13"/>
      <c r="W1889" s="16"/>
    </row>
    <row r="1890" spans="21:23" ht="16" x14ac:dyDescent="0.2">
      <c r="U1890" s="12"/>
      <c r="V1890" s="13"/>
      <c r="W1890" s="16"/>
    </row>
    <row r="1891" spans="21:23" ht="16" x14ac:dyDescent="0.2">
      <c r="U1891" s="12"/>
      <c r="V1891" s="13"/>
      <c r="W1891" s="16"/>
    </row>
    <row r="1892" spans="21:23" ht="16" x14ac:dyDescent="0.2">
      <c r="U1892" s="12"/>
      <c r="V1892" s="13"/>
      <c r="W1892" s="16"/>
    </row>
    <row r="1893" spans="21:23" ht="16" x14ac:dyDescent="0.2">
      <c r="U1893" s="12"/>
      <c r="V1893" s="13"/>
      <c r="W1893" s="16"/>
    </row>
    <row r="1894" spans="21:23" ht="16" x14ac:dyDescent="0.2">
      <c r="U1894" s="12"/>
      <c r="V1894" s="13"/>
      <c r="W1894" s="16"/>
    </row>
    <row r="1895" spans="21:23" ht="16" x14ac:dyDescent="0.2">
      <c r="U1895" s="12"/>
      <c r="V1895" s="13"/>
      <c r="W1895" s="16"/>
    </row>
    <row r="1896" spans="21:23" ht="16" x14ac:dyDescent="0.2">
      <c r="U1896" s="12"/>
      <c r="V1896" s="13"/>
      <c r="W1896" s="16"/>
    </row>
    <row r="1897" spans="21:23" ht="16" x14ac:dyDescent="0.2">
      <c r="U1897" s="12"/>
      <c r="V1897" s="13"/>
      <c r="W1897" s="16"/>
    </row>
    <row r="1898" spans="21:23" ht="16" x14ac:dyDescent="0.2">
      <c r="U1898" s="12"/>
      <c r="V1898" s="13"/>
      <c r="W1898" s="16"/>
    </row>
    <row r="1899" spans="21:23" ht="16" x14ac:dyDescent="0.2">
      <c r="U1899" s="12"/>
      <c r="V1899" s="13"/>
      <c r="W1899" s="16"/>
    </row>
    <row r="1900" spans="21:23" ht="16" x14ac:dyDescent="0.2">
      <c r="U1900" s="12"/>
      <c r="V1900" s="13"/>
      <c r="W1900" s="16"/>
    </row>
    <row r="1901" spans="21:23" ht="16" x14ac:dyDescent="0.2">
      <c r="U1901" s="12"/>
      <c r="V1901" s="13"/>
      <c r="W1901" s="16"/>
    </row>
    <row r="1902" spans="21:23" ht="16" x14ac:dyDescent="0.2">
      <c r="U1902" s="12"/>
      <c r="V1902" s="13"/>
      <c r="W1902" s="16"/>
    </row>
    <row r="1903" spans="21:23" ht="16" x14ac:dyDescent="0.2">
      <c r="U1903" s="12"/>
      <c r="V1903" s="13"/>
      <c r="W1903" s="16"/>
    </row>
    <row r="1904" spans="21:23" ht="16" x14ac:dyDescent="0.2">
      <c r="U1904" s="12"/>
      <c r="V1904" s="13"/>
      <c r="W1904" s="16"/>
    </row>
    <row r="1905" spans="21:23" ht="16" x14ac:dyDescent="0.2">
      <c r="U1905" s="12"/>
      <c r="V1905" s="13"/>
      <c r="W1905" s="16"/>
    </row>
    <row r="1906" spans="21:23" ht="16" x14ac:dyDescent="0.2">
      <c r="U1906" s="12"/>
      <c r="V1906" s="13"/>
      <c r="W1906" s="16"/>
    </row>
    <row r="1907" spans="21:23" ht="16" x14ac:dyDescent="0.2">
      <c r="U1907" s="12"/>
      <c r="V1907" s="13"/>
      <c r="W1907" s="16"/>
    </row>
    <row r="1908" spans="21:23" ht="16" x14ac:dyDescent="0.2">
      <c r="U1908" s="12"/>
      <c r="V1908" s="13"/>
      <c r="W1908" s="16"/>
    </row>
    <row r="1909" spans="21:23" ht="16" x14ac:dyDescent="0.2">
      <c r="U1909" s="12"/>
      <c r="V1909" s="13"/>
      <c r="W1909" s="16"/>
    </row>
    <row r="1910" spans="21:23" ht="16" x14ac:dyDescent="0.2">
      <c r="U1910" s="12"/>
      <c r="V1910" s="13"/>
      <c r="W1910" s="16"/>
    </row>
    <row r="1911" spans="21:23" ht="16" x14ac:dyDescent="0.2">
      <c r="U1911" s="12"/>
      <c r="V1911" s="13"/>
      <c r="W1911" s="16"/>
    </row>
    <row r="1912" spans="21:23" ht="16" x14ac:dyDescent="0.2">
      <c r="U1912" s="12"/>
      <c r="V1912" s="13"/>
      <c r="W1912" s="16"/>
    </row>
    <row r="1913" spans="21:23" ht="16" x14ac:dyDescent="0.2">
      <c r="U1913" s="12"/>
      <c r="V1913" s="13"/>
      <c r="W1913" s="16"/>
    </row>
    <row r="1914" spans="21:23" ht="16" x14ac:dyDescent="0.2">
      <c r="U1914" s="12"/>
      <c r="V1914" s="13"/>
      <c r="W1914" s="16"/>
    </row>
    <row r="1915" spans="21:23" ht="16" x14ac:dyDescent="0.2">
      <c r="U1915" s="12"/>
      <c r="V1915" s="13"/>
      <c r="W1915" s="16"/>
    </row>
    <row r="1916" spans="21:23" ht="16" x14ac:dyDescent="0.2">
      <c r="U1916" s="12"/>
      <c r="V1916" s="13"/>
      <c r="W1916" s="16"/>
    </row>
    <row r="1917" spans="21:23" ht="16" x14ac:dyDescent="0.2">
      <c r="U1917" s="12"/>
      <c r="V1917" s="13"/>
      <c r="W1917" s="16"/>
    </row>
    <row r="1918" spans="21:23" ht="16" x14ac:dyDescent="0.2">
      <c r="U1918" s="12"/>
      <c r="V1918" s="13"/>
      <c r="W1918" s="16"/>
    </row>
    <row r="1919" spans="21:23" ht="16" x14ac:dyDescent="0.2">
      <c r="U1919" s="12"/>
      <c r="V1919" s="13"/>
      <c r="W1919" s="16"/>
    </row>
    <row r="1920" spans="21:23" ht="16" x14ac:dyDescent="0.2">
      <c r="U1920" s="12"/>
      <c r="V1920" s="13"/>
      <c r="W1920" s="16"/>
    </row>
    <row r="1921" spans="21:23" ht="16" x14ac:dyDescent="0.2">
      <c r="U1921" s="12"/>
      <c r="V1921" s="13"/>
      <c r="W1921" s="16"/>
    </row>
    <row r="1922" spans="21:23" ht="16" x14ac:dyDescent="0.2">
      <c r="U1922" s="12"/>
      <c r="V1922" s="13"/>
      <c r="W1922" s="16"/>
    </row>
    <row r="1923" spans="21:23" ht="16" x14ac:dyDescent="0.2">
      <c r="U1923" s="12"/>
      <c r="V1923" s="13"/>
      <c r="W1923" s="16"/>
    </row>
    <row r="1924" spans="21:23" ht="16" x14ac:dyDescent="0.2">
      <c r="U1924" s="12"/>
      <c r="V1924" s="13"/>
      <c r="W1924" s="16"/>
    </row>
    <row r="1925" spans="21:23" ht="16" x14ac:dyDescent="0.2">
      <c r="U1925" s="12"/>
      <c r="V1925" s="13"/>
      <c r="W1925" s="16"/>
    </row>
    <row r="1926" spans="21:23" ht="16" x14ac:dyDescent="0.2">
      <c r="U1926" s="12"/>
      <c r="V1926" s="13"/>
      <c r="W1926" s="16"/>
    </row>
    <row r="1927" spans="21:23" ht="16" x14ac:dyDescent="0.2">
      <c r="U1927" s="12"/>
      <c r="V1927" s="13"/>
      <c r="W1927" s="16"/>
    </row>
    <row r="1928" spans="21:23" ht="16" x14ac:dyDescent="0.2">
      <c r="U1928" s="12"/>
      <c r="V1928" s="13"/>
      <c r="W1928" s="16"/>
    </row>
    <row r="1929" spans="21:23" ht="16" x14ac:dyDescent="0.2">
      <c r="U1929" s="12"/>
      <c r="V1929" s="13"/>
      <c r="W1929" s="16"/>
    </row>
    <row r="1930" spans="21:23" ht="16" x14ac:dyDescent="0.2">
      <c r="U1930" s="12"/>
      <c r="V1930" s="13"/>
      <c r="W1930" s="16"/>
    </row>
    <row r="1931" spans="21:23" ht="16" x14ac:dyDescent="0.2">
      <c r="U1931" s="12"/>
      <c r="V1931" s="13"/>
      <c r="W1931" s="16"/>
    </row>
    <row r="1932" spans="21:23" ht="16" x14ac:dyDescent="0.2">
      <c r="U1932" s="12"/>
      <c r="V1932" s="13"/>
      <c r="W1932" s="16"/>
    </row>
    <row r="1933" spans="21:23" ht="16" x14ac:dyDescent="0.2">
      <c r="U1933" s="12"/>
      <c r="V1933" s="13"/>
      <c r="W1933" s="16"/>
    </row>
    <row r="1934" spans="21:23" ht="16" x14ac:dyDescent="0.2">
      <c r="U1934" s="12"/>
      <c r="V1934" s="13"/>
      <c r="W1934" s="16"/>
    </row>
    <row r="1935" spans="21:23" ht="16" x14ac:dyDescent="0.2">
      <c r="U1935" s="12"/>
      <c r="V1935" s="13"/>
      <c r="W1935" s="16"/>
    </row>
    <row r="1936" spans="21:23" ht="16" x14ac:dyDescent="0.2">
      <c r="U1936" s="12"/>
      <c r="V1936" s="13"/>
      <c r="W1936" s="16"/>
    </row>
    <row r="1937" spans="21:23" ht="16" x14ac:dyDescent="0.2">
      <c r="U1937" s="12"/>
      <c r="V1937" s="13"/>
      <c r="W1937" s="16"/>
    </row>
    <row r="1938" spans="21:23" ht="16" x14ac:dyDescent="0.2">
      <c r="U1938" s="12"/>
      <c r="V1938" s="13"/>
      <c r="W1938" s="16"/>
    </row>
    <row r="1939" spans="21:23" ht="16" x14ac:dyDescent="0.2">
      <c r="U1939" s="12"/>
      <c r="V1939" s="13"/>
      <c r="W1939" s="16"/>
    </row>
    <row r="1940" spans="21:23" ht="16" x14ac:dyDescent="0.2">
      <c r="U1940" s="12"/>
      <c r="V1940" s="13"/>
      <c r="W1940" s="16"/>
    </row>
    <row r="1941" spans="21:23" ht="16" x14ac:dyDescent="0.2">
      <c r="U1941" s="12"/>
      <c r="V1941" s="13"/>
      <c r="W1941" s="16"/>
    </row>
    <row r="1942" spans="21:23" ht="16" x14ac:dyDescent="0.2">
      <c r="U1942" s="12"/>
      <c r="V1942" s="13"/>
      <c r="W1942" s="16"/>
    </row>
    <row r="1943" spans="21:23" ht="16" x14ac:dyDescent="0.2">
      <c r="U1943" s="12"/>
      <c r="V1943" s="13"/>
      <c r="W1943" s="16"/>
    </row>
    <row r="1944" spans="21:23" ht="16" x14ac:dyDescent="0.2">
      <c r="U1944" s="12"/>
      <c r="V1944" s="13"/>
      <c r="W1944" s="16"/>
    </row>
    <row r="1945" spans="21:23" ht="16" x14ac:dyDescent="0.2">
      <c r="U1945" s="12"/>
      <c r="V1945" s="13"/>
      <c r="W1945" s="16"/>
    </row>
    <row r="1946" spans="21:23" ht="16" x14ac:dyDescent="0.2">
      <c r="U1946" s="12"/>
      <c r="V1946" s="13"/>
      <c r="W1946" s="16"/>
    </row>
    <row r="1947" spans="21:23" ht="16" x14ac:dyDescent="0.2">
      <c r="U1947" s="12"/>
      <c r="V1947" s="13"/>
      <c r="W1947" s="16"/>
    </row>
    <row r="1948" spans="21:23" ht="16" x14ac:dyDescent="0.2">
      <c r="U1948" s="12"/>
      <c r="V1948" s="13"/>
      <c r="W1948" s="16"/>
    </row>
    <row r="1949" spans="21:23" ht="16" x14ac:dyDescent="0.2">
      <c r="U1949" s="12"/>
      <c r="V1949" s="13"/>
      <c r="W1949" s="16"/>
    </row>
    <row r="1950" spans="21:23" ht="16" x14ac:dyDescent="0.2">
      <c r="U1950" s="12"/>
      <c r="V1950" s="13"/>
      <c r="W1950" s="16"/>
    </row>
    <row r="1951" spans="21:23" ht="16" x14ac:dyDescent="0.2">
      <c r="U1951" s="12"/>
      <c r="V1951" s="13"/>
      <c r="W1951" s="16"/>
    </row>
    <row r="1952" spans="21:23" ht="16" x14ac:dyDescent="0.2">
      <c r="U1952" s="12"/>
      <c r="V1952" s="13"/>
      <c r="W1952" s="16"/>
    </row>
    <row r="1953" spans="21:23" ht="16" x14ac:dyDescent="0.2">
      <c r="U1953" s="12"/>
      <c r="V1953" s="13"/>
      <c r="W1953" s="16"/>
    </row>
    <row r="1954" spans="21:23" ht="16" x14ac:dyDescent="0.2">
      <c r="U1954" s="12"/>
      <c r="V1954" s="13"/>
      <c r="W1954" s="16"/>
    </row>
    <row r="1955" spans="21:23" ht="16" x14ac:dyDescent="0.2">
      <c r="U1955" s="12"/>
      <c r="V1955" s="13"/>
      <c r="W1955" s="16"/>
    </row>
    <row r="1956" spans="21:23" ht="16" x14ac:dyDescent="0.2">
      <c r="U1956" s="12"/>
      <c r="V1956" s="13"/>
      <c r="W1956" s="16"/>
    </row>
    <row r="1957" spans="21:23" ht="16" x14ac:dyDescent="0.2">
      <c r="U1957" s="12"/>
      <c r="V1957" s="13"/>
      <c r="W1957" s="16"/>
    </row>
    <row r="1958" spans="21:23" ht="16" x14ac:dyDescent="0.2">
      <c r="U1958" s="12"/>
      <c r="V1958" s="13"/>
      <c r="W1958" s="16"/>
    </row>
    <row r="1959" spans="21:23" ht="16" x14ac:dyDescent="0.2">
      <c r="U1959" s="12"/>
      <c r="V1959" s="13"/>
      <c r="W1959" s="16"/>
    </row>
    <row r="1960" spans="21:23" ht="16" x14ac:dyDescent="0.2">
      <c r="U1960" s="12"/>
      <c r="V1960" s="13"/>
      <c r="W1960" s="16"/>
    </row>
    <row r="1961" spans="21:23" ht="16" x14ac:dyDescent="0.2">
      <c r="U1961" s="12"/>
      <c r="V1961" s="13"/>
      <c r="W1961" s="16"/>
    </row>
    <row r="1962" spans="21:23" ht="16" x14ac:dyDescent="0.2">
      <c r="U1962" s="12"/>
      <c r="V1962" s="13"/>
      <c r="W1962" s="16"/>
    </row>
    <row r="1963" spans="21:23" ht="16" x14ac:dyDescent="0.2">
      <c r="U1963" s="12"/>
      <c r="V1963" s="13"/>
      <c r="W1963" s="16"/>
    </row>
    <row r="1964" spans="21:23" ht="16" x14ac:dyDescent="0.2">
      <c r="U1964" s="12"/>
      <c r="V1964" s="13"/>
      <c r="W1964" s="16"/>
    </row>
    <row r="1965" spans="21:23" ht="16" x14ac:dyDescent="0.2">
      <c r="U1965" s="12"/>
      <c r="V1965" s="13"/>
      <c r="W1965" s="16"/>
    </row>
    <row r="1966" spans="21:23" ht="16" x14ac:dyDescent="0.2">
      <c r="U1966" s="12"/>
      <c r="V1966" s="13"/>
      <c r="W1966" s="16"/>
    </row>
    <row r="1967" spans="21:23" ht="16" x14ac:dyDescent="0.2">
      <c r="U1967" s="12"/>
      <c r="V1967" s="13"/>
      <c r="W1967" s="16"/>
    </row>
    <row r="1968" spans="21:23" ht="16" x14ac:dyDescent="0.2">
      <c r="U1968" s="12"/>
      <c r="V1968" s="13"/>
      <c r="W1968" s="16"/>
    </row>
    <row r="1969" spans="21:23" ht="16" x14ac:dyDescent="0.2">
      <c r="U1969" s="12"/>
      <c r="V1969" s="13"/>
      <c r="W1969" s="16"/>
    </row>
    <row r="1970" spans="21:23" ht="16" x14ac:dyDescent="0.2">
      <c r="U1970" s="12"/>
      <c r="V1970" s="13"/>
      <c r="W1970" s="16"/>
    </row>
    <row r="1971" spans="21:23" ht="16" x14ac:dyDescent="0.2">
      <c r="U1971" s="12"/>
      <c r="V1971" s="13"/>
      <c r="W1971" s="16"/>
    </row>
    <row r="1972" spans="21:23" ht="16" x14ac:dyDescent="0.2">
      <c r="U1972" s="12"/>
      <c r="V1972" s="13"/>
      <c r="W1972" s="16"/>
    </row>
    <row r="1973" spans="21:23" ht="16" x14ac:dyDescent="0.2">
      <c r="U1973" s="12"/>
      <c r="V1973" s="13"/>
      <c r="W1973" s="16"/>
    </row>
    <row r="1974" spans="21:23" ht="16" x14ac:dyDescent="0.2">
      <c r="U1974" s="12"/>
      <c r="V1974" s="13"/>
      <c r="W1974" s="16"/>
    </row>
    <row r="1975" spans="21:23" ht="16" x14ac:dyDescent="0.2">
      <c r="U1975" s="12"/>
      <c r="V1975" s="13"/>
      <c r="W1975" s="16"/>
    </row>
    <row r="1976" spans="21:23" ht="16" x14ac:dyDescent="0.2">
      <c r="U1976" s="12"/>
      <c r="V1976" s="13"/>
      <c r="W1976" s="16"/>
    </row>
    <row r="1977" spans="21:23" ht="16" x14ac:dyDescent="0.2">
      <c r="U1977" s="12"/>
      <c r="V1977" s="13"/>
      <c r="W1977" s="16"/>
    </row>
    <row r="1978" spans="21:23" ht="16" x14ac:dyDescent="0.2">
      <c r="U1978" s="12"/>
      <c r="V1978" s="13"/>
      <c r="W1978" s="16"/>
    </row>
    <row r="1979" spans="21:23" ht="16" x14ac:dyDescent="0.2">
      <c r="U1979" s="12"/>
      <c r="V1979" s="13"/>
      <c r="W1979" s="16"/>
    </row>
    <row r="1980" spans="21:23" ht="16" x14ac:dyDescent="0.2">
      <c r="U1980" s="12"/>
      <c r="V1980" s="13"/>
      <c r="W1980" s="16"/>
    </row>
    <row r="1981" spans="21:23" ht="16" x14ac:dyDescent="0.2">
      <c r="U1981" s="12"/>
      <c r="V1981" s="13"/>
      <c r="W1981" s="16"/>
    </row>
    <row r="1982" spans="21:23" ht="16" x14ac:dyDescent="0.2">
      <c r="U1982" s="12"/>
      <c r="V1982" s="13"/>
      <c r="W1982" s="16"/>
    </row>
    <row r="1983" spans="21:23" ht="16" x14ac:dyDescent="0.2">
      <c r="U1983" s="12"/>
      <c r="V1983" s="13"/>
      <c r="W1983" s="16"/>
    </row>
    <row r="1984" spans="21:23" ht="16" x14ac:dyDescent="0.2">
      <c r="U1984" s="12"/>
      <c r="V1984" s="13"/>
      <c r="W1984" s="16"/>
    </row>
    <row r="1985" spans="21:23" ht="16" x14ac:dyDescent="0.2">
      <c r="U1985" s="12"/>
      <c r="V1985" s="13"/>
      <c r="W1985" s="16"/>
    </row>
    <row r="1986" spans="21:23" ht="16" x14ac:dyDescent="0.2">
      <c r="U1986" s="12"/>
      <c r="V1986" s="13"/>
      <c r="W1986" s="16"/>
    </row>
    <row r="1987" spans="21:23" ht="16" x14ac:dyDescent="0.2">
      <c r="U1987" s="12"/>
      <c r="V1987" s="13"/>
      <c r="W1987" s="16"/>
    </row>
    <row r="1988" spans="21:23" ht="16" x14ac:dyDescent="0.2">
      <c r="U1988" s="12"/>
      <c r="V1988" s="13"/>
      <c r="W1988" s="16"/>
    </row>
    <row r="1989" spans="21:23" ht="16" x14ac:dyDescent="0.2">
      <c r="U1989" s="12"/>
      <c r="V1989" s="13"/>
      <c r="W1989" s="16"/>
    </row>
    <row r="1990" spans="21:23" ht="16" x14ac:dyDescent="0.2">
      <c r="U1990" s="12"/>
      <c r="V1990" s="13"/>
      <c r="W1990" s="16"/>
    </row>
    <row r="1991" spans="21:23" ht="16" x14ac:dyDescent="0.2">
      <c r="U1991" s="12"/>
      <c r="V1991" s="13"/>
      <c r="W1991" s="16"/>
    </row>
    <row r="1992" spans="21:23" ht="16" x14ac:dyDescent="0.2">
      <c r="U1992" s="12"/>
      <c r="V1992" s="13"/>
      <c r="W1992" s="16"/>
    </row>
    <row r="1993" spans="21:23" ht="16" x14ac:dyDescent="0.2">
      <c r="U1993" s="12"/>
      <c r="V1993" s="13"/>
      <c r="W1993" s="16"/>
    </row>
    <row r="1994" spans="21:23" ht="16" x14ac:dyDescent="0.2">
      <c r="U1994" s="12"/>
      <c r="V1994" s="13"/>
      <c r="W1994" s="16"/>
    </row>
    <row r="1995" spans="21:23" ht="16" x14ac:dyDescent="0.2">
      <c r="U1995" s="12"/>
      <c r="V1995" s="13"/>
      <c r="W1995" s="16"/>
    </row>
    <row r="1996" spans="21:23" ht="16" x14ac:dyDescent="0.2">
      <c r="U1996" s="12"/>
      <c r="V1996" s="13"/>
      <c r="W1996" s="16"/>
    </row>
    <row r="1997" spans="21:23" ht="16" x14ac:dyDescent="0.2">
      <c r="U1997" s="12"/>
      <c r="V1997" s="13"/>
      <c r="W1997" s="16"/>
    </row>
    <row r="1998" spans="21:23" ht="16" x14ac:dyDescent="0.2">
      <c r="U1998" s="12"/>
      <c r="V1998" s="13"/>
      <c r="W1998" s="16"/>
    </row>
    <row r="1999" spans="21:23" ht="16" x14ac:dyDescent="0.2">
      <c r="U1999" s="12"/>
      <c r="V1999" s="13"/>
      <c r="W1999" s="16"/>
    </row>
    <row r="2000" spans="21:23" ht="16" x14ac:dyDescent="0.2">
      <c r="U2000" s="12"/>
      <c r="V2000" s="13"/>
      <c r="W2000" s="16"/>
    </row>
    <row r="2001" spans="21:23" ht="16" x14ac:dyDescent="0.2">
      <c r="U2001" s="12"/>
      <c r="V2001" s="13"/>
      <c r="W2001" s="16"/>
    </row>
    <row r="2002" spans="21:23" ht="16" x14ac:dyDescent="0.2">
      <c r="U2002" s="12"/>
      <c r="V2002" s="13"/>
      <c r="W2002" s="16"/>
    </row>
    <row r="2003" spans="21:23" ht="16" x14ac:dyDescent="0.2">
      <c r="U2003" s="12"/>
      <c r="V2003" s="13"/>
      <c r="W2003" s="16"/>
    </row>
    <row r="2004" spans="21:23" ht="16" x14ac:dyDescent="0.2">
      <c r="U2004" s="12"/>
      <c r="V2004" s="13"/>
      <c r="W2004" s="16"/>
    </row>
    <row r="2005" spans="21:23" ht="16" x14ac:dyDescent="0.2">
      <c r="U2005" s="12"/>
      <c r="V2005" s="13"/>
      <c r="W2005" s="16"/>
    </row>
    <row r="2006" spans="21:23" ht="16" x14ac:dyDescent="0.2">
      <c r="U2006" s="12"/>
      <c r="V2006" s="13"/>
      <c r="W2006" s="16"/>
    </row>
    <row r="2007" spans="21:23" ht="16" x14ac:dyDescent="0.2">
      <c r="U2007" s="12"/>
      <c r="V2007" s="13"/>
      <c r="W2007" s="16"/>
    </row>
    <row r="2008" spans="21:23" ht="16" x14ac:dyDescent="0.2">
      <c r="U2008" s="12"/>
      <c r="V2008" s="13"/>
      <c r="W2008" s="16"/>
    </row>
    <row r="2009" spans="21:23" ht="16" x14ac:dyDescent="0.2">
      <c r="U2009" s="12"/>
      <c r="V2009" s="13"/>
      <c r="W2009" s="16"/>
    </row>
    <row r="2010" spans="21:23" ht="16" x14ac:dyDescent="0.2">
      <c r="U2010" s="12"/>
      <c r="V2010" s="13"/>
      <c r="W2010" s="16"/>
    </row>
    <row r="2011" spans="21:23" ht="16" x14ac:dyDescent="0.2">
      <c r="U2011" s="12"/>
      <c r="V2011" s="13"/>
      <c r="W2011" s="16"/>
    </row>
    <row r="2012" spans="21:23" ht="16" x14ac:dyDescent="0.2">
      <c r="U2012" s="12"/>
      <c r="V2012" s="13"/>
      <c r="W2012" s="16"/>
    </row>
    <row r="2013" spans="21:23" ht="16" x14ac:dyDescent="0.2">
      <c r="U2013" s="12"/>
      <c r="V2013" s="13"/>
      <c r="W2013" s="16"/>
    </row>
    <row r="2014" spans="21:23" ht="16" x14ac:dyDescent="0.2">
      <c r="U2014" s="12"/>
      <c r="V2014" s="13"/>
      <c r="W2014" s="16"/>
    </row>
    <row r="2015" spans="21:23" ht="16" x14ac:dyDescent="0.2">
      <c r="U2015" s="12"/>
      <c r="V2015" s="13"/>
      <c r="W2015" s="16"/>
    </row>
    <row r="2016" spans="21:23" ht="16" x14ac:dyDescent="0.2">
      <c r="U2016" s="12"/>
      <c r="V2016" s="13"/>
      <c r="W2016" s="16"/>
    </row>
    <row r="2017" spans="21:23" ht="16" x14ac:dyDescent="0.2">
      <c r="U2017" s="12"/>
      <c r="V2017" s="13"/>
      <c r="W2017" s="16"/>
    </row>
    <row r="2018" spans="21:23" ht="16" x14ac:dyDescent="0.2">
      <c r="U2018" s="12"/>
      <c r="V2018" s="13"/>
      <c r="W2018" s="16"/>
    </row>
    <row r="2019" spans="21:23" ht="16" x14ac:dyDescent="0.2">
      <c r="U2019" s="12"/>
      <c r="V2019" s="13"/>
      <c r="W2019" s="16"/>
    </row>
    <row r="2020" spans="21:23" ht="16" x14ac:dyDescent="0.2">
      <c r="U2020" s="12"/>
      <c r="V2020" s="13"/>
      <c r="W2020" s="16"/>
    </row>
    <row r="2021" spans="21:23" ht="16" x14ac:dyDescent="0.2">
      <c r="U2021" s="12"/>
      <c r="V2021" s="13"/>
      <c r="W2021" s="16"/>
    </row>
    <row r="2022" spans="21:23" ht="16" x14ac:dyDescent="0.2">
      <c r="U2022" s="12"/>
      <c r="V2022" s="13"/>
      <c r="W2022" s="16"/>
    </row>
    <row r="2023" spans="21:23" ht="16" x14ac:dyDescent="0.2">
      <c r="U2023" s="12"/>
      <c r="V2023" s="13"/>
      <c r="W2023" s="16"/>
    </row>
    <row r="2024" spans="21:23" ht="16" x14ac:dyDescent="0.2">
      <c r="U2024" s="12"/>
      <c r="V2024" s="13"/>
      <c r="W2024" s="16"/>
    </row>
    <row r="2025" spans="21:23" ht="16" x14ac:dyDescent="0.2">
      <c r="U2025" s="12"/>
      <c r="V2025" s="13"/>
      <c r="W2025" s="16"/>
    </row>
    <row r="2026" spans="21:23" ht="16" x14ac:dyDescent="0.2">
      <c r="U2026" s="12"/>
      <c r="V2026" s="13"/>
      <c r="W2026" s="16"/>
    </row>
    <row r="2027" spans="21:23" ht="16" x14ac:dyDescent="0.2">
      <c r="U2027" s="12"/>
      <c r="V2027" s="13"/>
      <c r="W2027" s="16"/>
    </row>
    <row r="2028" spans="21:23" ht="16" x14ac:dyDescent="0.2">
      <c r="U2028" s="12"/>
      <c r="V2028" s="13"/>
      <c r="W2028" s="16"/>
    </row>
    <row r="2029" spans="21:23" ht="16" x14ac:dyDescent="0.2">
      <c r="U2029" s="12"/>
      <c r="V2029" s="13"/>
      <c r="W2029" s="16"/>
    </row>
    <row r="2030" spans="21:23" ht="16" x14ac:dyDescent="0.2">
      <c r="U2030" s="12"/>
      <c r="V2030" s="13"/>
      <c r="W2030" s="16"/>
    </row>
    <row r="2031" spans="21:23" ht="16" x14ac:dyDescent="0.2">
      <c r="U2031" s="12"/>
      <c r="V2031" s="13"/>
      <c r="W2031" s="16"/>
    </row>
    <row r="2032" spans="21:23" ht="16" x14ac:dyDescent="0.2">
      <c r="U2032" s="12"/>
      <c r="V2032" s="13"/>
      <c r="W2032" s="16"/>
    </row>
    <row r="2033" spans="21:23" ht="16" x14ac:dyDescent="0.2">
      <c r="U2033" s="12"/>
      <c r="V2033" s="13"/>
      <c r="W2033" s="16"/>
    </row>
    <row r="2034" spans="21:23" ht="16" x14ac:dyDescent="0.2">
      <c r="U2034" s="12"/>
      <c r="V2034" s="13"/>
      <c r="W2034" s="16"/>
    </row>
    <row r="2035" spans="21:23" ht="16" x14ac:dyDescent="0.2">
      <c r="U2035" s="12"/>
      <c r="V2035" s="13"/>
      <c r="W2035" s="16"/>
    </row>
    <row r="2036" spans="21:23" ht="16" x14ac:dyDescent="0.2">
      <c r="U2036" s="12"/>
      <c r="V2036" s="13"/>
      <c r="W2036" s="16"/>
    </row>
    <row r="2037" spans="21:23" ht="16" x14ac:dyDescent="0.2">
      <c r="U2037" s="12"/>
      <c r="V2037" s="13"/>
      <c r="W2037" s="16"/>
    </row>
    <row r="2038" spans="21:23" ht="16" x14ac:dyDescent="0.2">
      <c r="U2038" s="12"/>
      <c r="V2038" s="13"/>
      <c r="W2038" s="16"/>
    </row>
    <row r="2039" spans="21:23" ht="16" x14ac:dyDescent="0.2">
      <c r="U2039" s="12"/>
      <c r="V2039" s="13"/>
      <c r="W2039" s="16"/>
    </row>
    <row r="2040" spans="21:23" ht="16" x14ac:dyDescent="0.2">
      <c r="U2040" s="12"/>
      <c r="V2040" s="13"/>
      <c r="W2040" s="16"/>
    </row>
    <row r="2041" spans="21:23" ht="16" x14ac:dyDescent="0.2">
      <c r="U2041" s="12"/>
      <c r="V2041" s="13"/>
      <c r="W2041" s="16"/>
    </row>
    <row r="2042" spans="21:23" ht="16" x14ac:dyDescent="0.2">
      <c r="U2042" s="12"/>
      <c r="V2042" s="13"/>
      <c r="W2042" s="16"/>
    </row>
    <row r="2043" spans="21:23" ht="16" x14ac:dyDescent="0.2">
      <c r="U2043" s="12"/>
      <c r="V2043" s="13"/>
      <c r="W2043" s="16"/>
    </row>
    <row r="2044" spans="21:23" ht="16" x14ac:dyDescent="0.2">
      <c r="U2044" s="12"/>
      <c r="V2044" s="13"/>
      <c r="W2044" s="16"/>
    </row>
    <row r="2045" spans="21:23" ht="16" x14ac:dyDescent="0.2">
      <c r="U2045" s="12"/>
      <c r="V2045" s="13"/>
      <c r="W2045" s="16"/>
    </row>
    <row r="2046" spans="21:23" ht="16" x14ac:dyDescent="0.2">
      <c r="U2046" s="12"/>
      <c r="V2046" s="13"/>
      <c r="W2046" s="16"/>
    </row>
    <row r="2047" spans="21:23" ht="16" x14ac:dyDescent="0.2">
      <c r="U2047" s="12"/>
      <c r="V2047" s="13"/>
      <c r="W2047" s="16"/>
    </row>
    <row r="2048" spans="21:23" ht="16" x14ac:dyDescent="0.2">
      <c r="U2048" s="12"/>
      <c r="V2048" s="13"/>
      <c r="W2048" s="16"/>
    </row>
    <row r="2049" spans="21:23" ht="16" x14ac:dyDescent="0.2">
      <c r="U2049" s="12"/>
      <c r="V2049" s="13"/>
      <c r="W2049" s="16"/>
    </row>
    <row r="2050" spans="21:23" ht="16" x14ac:dyDescent="0.2">
      <c r="U2050" s="12"/>
      <c r="V2050" s="13"/>
      <c r="W2050" s="16"/>
    </row>
    <row r="2051" spans="21:23" ht="16" x14ac:dyDescent="0.2">
      <c r="U2051" s="12"/>
      <c r="V2051" s="13"/>
      <c r="W2051" s="16"/>
    </row>
    <row r="2052" spans="21:23" ht="16" x14ac:dyDescent="0.2">
      <c r="U2052" s="12"/>
      <c r="V2052" s="13"/>
      <c r="W2052" s="16"/>
    </row>
    <row r="2053" spans="21:23" ht="16" x14ac:dyDescent="0.2">
      <c r="U2053" s="12"/>
      <c r="V2053" s="13"/>
      <c r="W2053" s="16"/>
    </row>
    <row r="2054" spans="21:23" ht="16" x14ac:dyDescent="0.2">
      <c r="U2054" s="12"/>
      <c r="V2054" s="13"/>
      <c r="W2054" s="16"/>
    </row>
    <row r="2055" spans="21:23" ht="16" x14ac:dyDescent="0.2">
      <c r="U2055" s="12"/>
      <c r="V2055" s="13"/>
      <c r="W2055" s="16"/>
    </row>
    <row r="2056" spans="21:23" ht="16" x14ac:dyDescent="0.2">
      <c r="U2056" s="12"/>
      <c r="V2056" s="13"/>
      <c r="W2056" s="16"/>
    </row>
    <row r="2057" spans="21:23" ht="16" x14ac:dyDescent="0.2">
      <c r="U2057" s="12"/>
      <c r="V2057" s="13"/>
      <c r="W2057" s="16"/>
    </row>
    <row r="2058" spans="21:23" ht="16" x14ac:dyDescent="0.2">
      <c r="U2058" s="12"/>
      <c r="V2058" s="13"/>
      <c r="W2058" s="16"/>
    </row>
    <row r="2059" spans="21:23" ht="16" x14ac:dyDescent="0.2">
      <c r="U2059" s="12"/>
      <c r="V2059" s="13"/>
      <c r="W2059" s="16"/>
    </row>
    <row r="2060" spans="21:23" ht="16" x14ac:dyDescent="0.2">
      <c r="U2060" s="12"/>
      <c r="V2060" s="13"/>
      <c r="W2060" s="16"/>
    </row>
    <row r="2061" spans="21:23" ht="16" x14ac:dyDescent="0.2">
      <c r="U2061" s="12"/>
      <c r="V2061" s="13"/>
      <c r="W2061" s="16"/>
    </row>
    <row r="2062" spans="21:23" ht="16" x14ac:dyDescent="0.2">
      <c r="U2062" s="12"/>
      <c r="V2062" s="13"/>
      <c r="W2062" s="16"/>
    </row>
    <row r="2063" spans="21:23" ht="16" x14ac:dyDescent="0.2">
      <c r="U2063" s="12"/>
      <c r="V2063" s="13"/>
      <c r="W2063" s="16"/>
    </row>
    <row r="2064" spans="21:23" ht="16" x14ac:dyDescent="0.2">
      <c r="U2064" s="12"/>
      <c r="V2064" s="13"/>
      <c r="W2064" s="16"/>
    </row>
    <row r="2065" spans="21:23" ht="16" x14ac:dyDescent="0.2">
      <c r="U2065" s="12"/>
      <c r="V2065" s="13"/>
      <c r="W2065" s="16"/>
    </row>
    <row r="2066" spans="21:23" ht="16" x14ac:dyDescent="0.2">
      <c r="U2066" s="12"/>
      <c r="V2066" s="13"/>
      <c r="W2066" s="16"/>
    </row>
    <row r="2067" spans="21:23" ht="16" x14ac:dyDescent="0.2">
      <c r="U2067" s="12"/>
      <c r="V2067" s="13"/>
      <c r="W2067" s="16"/>
    </row>
    <row r="2068" spans="21:23" ht="16" x14ac:dyDescent="0.2">
      <c r="U2068" s="12"/>
      <c r="V2068" s="13"/>
      <c r="W2068" s="16"/>
    </row>
    <row r="2069" spans="21:23" ht="16" x14ac:dyDescent="0.2">
      <c r="U2069" s="12"/>
      <c r="V2069" s="13"/>
      <c r="W2069" s="16"/>
    </row>
    <row r="2070" spans="21:23" ht="16" x14ac:dyDescent="0.2">
      <c r="U2070" s="12"/>
      <c r="V2070" s="13"/>
      <c r="W2070" s="16"/>
    </row>
    <row r="2071" spans="21:23" ht="16" x14ac:dyDescent="0.2">
      <c r="U2071" s="12"/>
      <c r="V2071" s="13"/>
      <c r="W2071" s="16"/>
    </row>
    <row r="2072" spans="21:23" ht="16" x14ac:dyDescent="0.2">
      <c r="U2072" s="12"/>
      <c r="V2072" s="13"/>
      <c r="W2072" s="16"/>
    </row>
    <row r="2073" spans="21:23" ht="16" x14ac:dyDescent="0.2">
      <c r="U2073" s="12"/>
      <c r="V2073" s="13"/>
      <c r="W2073" s="16"/>
    </row>
    <row r="2074" spans="21:23" ht="16" x14ac:dyDescent="0.2">
      <c r="U2074" s="12"/>
      <c r="V2074" s="13"/>
      <c r="W2074" s="16"/>
    </row>
    <row r="2075" spans="21:23" ht="16" x14ac:dyDescent="0.2">
      <c r="U2075" s="12"/>
      <c r="V2075" s="13"/>
      <c r="W2075" s="16"/>
    </row>
    <row r="2076" spans="21:23" ht="16" x14ac:dyDescent="0.2">
      <c r="U2076" s="12"/>
      <c r="V2076" s="13"/>
      <c r="W2076" s="16"/>
    </row>
    <row r="2077" spans="21:23" ht="16" x14ac:dyDescent="0.2">
      <c r="U2077" s="12"/>
      <c r="V2077" s="13"/>
      <c r="W2077" s="16"/>
    </row>
    <row r="2078" spans="21:23" ht="16" x14ac:dyDescent="0.2">
      <c r="U2078" s="12"/>
      <c r="V2078" s="13"/>
      <c r="W2078" s="16"/>
    </row>
    <row r="2079" spans="21:23" ht="16" x14ac:dyDescent="0.2">
      <c r="U2079" s="12"/>
      <c r="V2079" s="13"/>
      <c r="W2079" s="16"/>
    </row>
    <row r="2080" spans="21:23" ht="16" x14ac:dyDescent="0.2">
      <c r="U2080" s="12"/>
      <c r="V2080" s="13"/>
      <c r="W2080" s="16"/>
    </row>
    <row r="2081" spans="21:23" ht="16" x14ac:dyDescent="0.2">
      <c r="U2081" s="12"/>
      <c r="V2081" s="13"/>
      <c r="W2081" s="16"/>
    </row>
    <row r="2082" spans="21:23" ht="16" x14ac:dyDescent="0.2">
      <c r="U2082" s="12"/>
      <c r="V2082" s="13"/>
      <c r="W2082" s="16"/>
    </row>
    <row r="2083" spans="21:23" ht="16" x14ac:dyDescent="0.2">
      <c r="U2083" s="12"/>
      <c r="V2083" s="13"/>
      <c r="W2083" s="16"/>
    </row>
    <row r="2084" spans="21:23" ht="16" x14ac:dyDescent="0.2">
      <c r="U2084" s="12"/>
      <c r="V2084" s="13"/>
      <c r="W2084" s="16"/>
    </row>
    <row r="2085" spans="21:23" ht="16" x14ac:dyDescent="0.2">
      <c r="U2085" s="12"/>
      <c r="V2085" s="13"/>
      <c r="W2085" s="16"/>
    </row>
    <row r="2086" spans="21:23" ht="16" x14ac:dyDescent="0.2">
      <c r="U2086" s="12"/>
      <c r="V2086" s="13"/>
      <c r="W2086" s="16"/>
    </row>
    <row r="2087" spans="21:23" ht="16" x14ac:dyDescent="0.2">
      <c r="U2087" s="12"/>
      <c r="V2087" s="13"/>
      <c r="W2087" s="16"/>
    </row>
    <row r="2088" spans="21:23" ht="16" x14ac:dyDescent="0.2">
      <c r="U2088" s="12"/>
      <c r="V2088" s="13"/>
      <c r="W2088" s="16"/>
    </row>
    <row r="2089" spans="21:23" ht="16" x14ac:dyDescent="0.2">
      <c r="U2089" s="12"/>
      <c r="V2089" s="13"/>
      <c r="W2089" s="16"/>
    </row>
    <row r="2090" spans="21:23" ht="16" x14ac:dyDescent="0.2">
      <c r="U2090" s="12"/>
      <c r="V2090" s="13"/>
      <c r="W2090" s="16"/>
    </row>
    <row r="2091" spans="21:23" ht="16" x14ac:dyDescent="0.2">
      <c r="U2091" s="12"/>
      <c r="V2091" s="13"/>
      <c r="W2091" s="16"/>
    </row>
    <row r="2092" spans="21:23" ht="16" x14ac:dyDescent="0.2">
      <c r="U2092" s="12"/>
      <c r="V2092" s="13"/>
      <c r="W2092" s="16"/>
    </row>
    <row r="2093" spans="21:23" ht="16" x14ac:dyDescent="0.2">
      <c r="U2093" s="12"/>
      <c r="V2093" s="13"/>
      <c r="W2093" s="16"/>
    </row>
    <row r="2094" spans="21:23" ht="16" x14ac:dyDescent="0.2">
      <c r="U2094" s="12"/>
      <c r="V2094" s="13"/>
      <c r="W2094" s="16"/>
    </row>
    <row r="2095" spans="21:23" ht="16" x14ac:dyDescent="0.2">
      <c r="U2095" s="12"/>
      <c r="V2095" s="13"/>
      <c r="W2095" s="16"/>
    </row>
    <row r="2096" spans="21:23" ht="16" x14ac:dyDescent="0.2">
      <c r="U2096" s="12"/>
      <c r="V2096" s="13"/>
      <c r="W2096" s="16"/>
    </row>
    <row r="2097" spans="21:23" ht="16" x14ac:dyDescent="0.2">
      <c r="U2097" s="12"/>
      <c r="V2097" s="13"/>
      <c r="W2097" s="16"/>
    </row>
    <row r="2098" spans="21:23" ht="16" x14ac:dyDescent="0.2">
      <c r="U2098" s="12"/>
      <c r="V2098" s="13"/>
      <c r="W2098" s="16"/>
    </row>
    <row r="2099" spans="21:23" ht="16" x14ac:dyDescent="0.2">
      <c r="U2099" s="12"/>
      <c r="V2099" s="13"/>
      <c r="W2099" s="16"/>
    </row>
    <row r="2100" spans="21:23" ht="16" x14ac:dyDescent="0.2">
      <c r="U2100" s="12"/>
      <c r="V2100" s="13"/>
      <c r="W2100" s="16"/>
    </row>
    <row r="2101" spans="21:23" ht="16" x14ac:dyDescent="0.2">
      <c r="U2101" s="12"/>
      <c r="V2101" s="13"/>
      <c r="W2101" s="16"/>
    </row>
    <row r="2102" spans="21:23" ht="16" x14ac:dyDescent="0.2">
      <c r="U2102" s="12"/>
      <c r="V2102" s="13"/>
      <c r="W2102" s="16"/>
    </row>
    <row r="2103" spans="21:23" ht="16" x14ac:dyDescent="0.2">
      <c r="U2103" s="12"/>
      <c r="V2103" s="13"/>
      <c r="W2103" s="16"/>
    </row>
    <row r="2104" spans="21:23" ht="16" x14ac:dyDescent="0.2">
      <c r="U2104" s="12"/>
      <c r="V2104" s="13"/>
      <c r="W2104" s="16"/>
    </row>
    <row r="2105" spans="21:23" ht="16" x14ac:dyDescent="0.2">
      <c r="U2105" s="12"/>
      <c r="V2105" s="13"/>
      <c r="W2105" s="16"/>
    </row>
    <row r="2106" spans="21:23" ht="16" x14ac:dyDescent="0.2">
      <c r="U2106" s="12"/>
      <c r="V2106" s="13"/>
      <c r="W2106" s="16"/>
    </row>
    <row r="2107" spans="21:23" ht="16" x14ac:dyDescent="0.2">
      <c r="U2107" s="12"/>
      <c r="V2107" s="13"/>
      <c r="W2107" s="16"/>
    </row>
    <row r="2108" spans="21:23" ht="16" x14ac:dyDescent="0.2">
      <c r="U2108" s="12"/>
      <c r="V2108" s="13"/>
      <c r="W2108" s="16"/>
    </row>
    <row r="2109" spans="21:23" ht="16" x14ac:dyDescent="0.2">
      <c r="U2109" s="12"/>
      <c r="V2109" s="13"/>
      <c r="W2109" s="16"/>
    </row>
    <row r="2110" spans="21:23" ht="16" x14ac:dyDescent="0.2">
      <c r="U2110" s="12"/>
      <c r="V2110" s="13"/>
      <c r="W2110" s="16"/>
    </row>
    <row r="2111" spans="21:23" ht="16" x14ac:dyDescent="0.2">
      <c r="U2111" s="12"/>
      <c r="V2111" s="13"/>
      <c r="W2111" s="16"/>
    </row>
    <row r="2112" spans="21:23" ht="16" x14ac:dyDescent="0.2">
      <c r="U2112" s="12"/>
      <c r="V2112" s="13"/>
      <c r="W2112" s="16"/>
    </row>
    <row r="2113" spans="21:23" ht="16" x14ac:dyDescent="0.2">
      <c r="U2113" s="12"/>
      <c r="V2113" s="13"/>
      <c r="W2113" s="16"/>
    </row>
    <row r="2114" spans="21:23" ht="16" x14ac:dyDescent="0.2">
      <c r="U2114" s="12"/>
      <c r="V2114" s="13"/>
      <c r="W2114" s="16"/>
    </row>
    <row r="2115" spans="21:23" ht="16" x14ac:dyDescent="0.2">
      <c r="U2115" s="12"/>
      <c r="V2115" s="13"/>
      <c r="W2115" s="16"/>
    </row>
    <row r="2116" spans="21:23" ht="16" x14ac:dyDescent="0.2">
      <c r="U2116" s="12"/>
      <c r="V2116" s="13"/>
      <c r="W2116" s="16"/>
    </row>
    <row r="2117" spans="21:23" ht="16" x14ac:dyDescent="0.2">
      <c r="U2117" s="12"/>
      <c r="V2117" s="13"/>
      <c r="W2117" s="16"/>
    </row>
    <row r="2118" spans="21:23" ht="16" x14ac:dyDescent="0.2">
      <c r="U2118" s="12"/>
      <c r="V2118" s="13"/>
      <c r="W2118" s="16"/>
    </row>
    <row r="2119" spans="21:23" ht="16" x14ac:dyDescent="0.2">
      <c r="U2119" s="12"/>
      <c r="V2119" s="13"/>
      <c r="W2119" s="16"/>
    </row>
    <row r="2120" spans="21:23" ht="16" x14ac:dyDescent="0.2">
      <c r="U2120" s="12"/>
      <c r="V2120" s="13"/>
      <c r="W2120" s="16"/>
    </row>
    <row r="2121" spans="21:23" ht="16" x14ac:dyDescent="0.2">
      <c r="U2121" s="12"/>
      <c r="V2121" s="13"/>
      <c r="W2121" s="16"/>
    </row>
    <row r="2122" spans="21:23" ht="16" x14ac:dyDescent="0.2">
      <c r="U2122" s="12"/>
      <c r="V2122" s="13"/>
      <c r="W2122" s="16"/>
    </row>
    <row r="2123" spans="21:23" ht="16" x14ac:dyDescent="0.2">
      <c r="U2123" s="12"/>
      <c r="V2123" s="13"/>
      <c r="W2123" s="16"/>
    </row>
    <row r="2124" spans="21:23" ht="16" x14ac:dyDescent="0.2">
      <c r="U2124" s="12"/>
      <c r="V2124" s="13"/>
      <c r="W2124" s="16"/>
    </row>
    <row r="2125" spans="21:23" ht="16" x14ac:dyDescent="0.2">
      <c r="U2125" s="12"/>
      <c r="V2125" s="13"/>
      <c r="W2125" s="16"/>
    </row>
    <row r="2126" spans="21:23" ht="16" x14ac:dyDescent="0.2">
      <c r="U2126" s="12"/>
      <c r="V2126" s="13"/>
      <c r="W2126" s="16"/>
    </row>
    <row r="2127" spans="21:23" ht="16" x14ac:dyDescent="0.2">
      <c r="U2127" s="12"/>
      <c r="V2127" s="13"/>
      <c r="W2127" s="16"/>
    </row>
    <row r="2128" spans="21:23" ht="16" x14ac:dyDescent="0.2">
      <c r="U2128" s="12"/>
      <c r="V2128" s="13"/>
      <c r="W2128" s="16"/>
    </row>
    <row r="2129" spans="21:23" ht="16" x14ac:dyDescent="0.2">
      <c r="U2129" s="12"/>
      <c r="V2129" s="13"/>
      <c r="W2129" s="16"/>
    </row>
    <row r="2130" spans="21:23" ht="16" x14ac:dyDescent="0.2">
      <c r="U2130" s="12"/>
      <c r="V2130" s="13"/>
      <c r="W2130" s="16"/>
    </row>
    <row r="2131" spans="21:23" ht="16" x14ac:dyDescent="0.2">
      <c r="U2131" s="12"/>
      <c r="V2131" s="13"/>
      <c r="W2131" s="16"/>
    </row>
    <row r="2132" spans="21:23" ht="16" x14ac:dyDescent="0.2">
      <c r="U2132" s="12"/>
      <c r="V2132" s="13"/>
      <c r="W2132" s="16"/>
    </row>
    <row r="2133" spans="21:23" ht="16" x14ac:dyDescent="0.2">
      <c r="U2133" s="12"/>
      <c r="V2133" s="13"/>
      <c r="W2133" s="16"/>
    </row>
    <row r="2134" spans="21:23" ht="16" x14ac:dyDescent="0.2">
      <c r="U2134" s="12"/>
      <c r="V2134" s="13"/>
      <c r="W2134" s="16"/>
    </row>
    <row r="2135" spans="21:23" ht="16" x14ac:dyDescent="0.2">
      <c r="U2135" s="12"/>
      <c r="V2135" s="13"/>
      <c r="W2135" s="16"/>
    </row>
    <row r="2136" spans="21:23" ht="16" x14ac:dyDescent="0.2">
      <c r="U2136" s="12"/>
      <c r="V2136" s="13"/>
      <c r="W2136" s="16"/>
    </row>
    <row r="2137" spans="21:23" ht="16" x14ac:dyDescent="0.2">
      <c r="U2137" s="12"/>
      <c r="V2137" s="13"/>
      <c r="W2137" s="16"/>
    </row>
    <row r="2138" spans="21:23" ht="16" x14ac:dyDescent="0.2">
      <c r="U2138" s="12"/>
      <c r="V2138" s="13"/>
      <c r="W2138" s="16"/>
    </row>
    <row r="2139" spans="21:23" ht="16" x14ac:dyDescent="0.2">
      <c r="U2139" s="12"/>
      <c r="V2139" s="13"/>
      <c r="W2139" s="16"/>
    </row>
    <row r="2140" spans="21:23" ht="16" x14ac:dyDescent="0.2">
      <c r="U2140" s="12"/>
      <c r="V2140" s="13"/>
      <c r="W2140" s="16"/>
    </row>
    <row r="2141" spans="21:23" ht="16" x14ac:dyDescent="0.2">
      <c r="U2141" s="12"/>
      <c r="V2141" s="13"/>
      <c r="W2141" s="16"/>
    </row>
    <row r="2142" spans="21:23" ht="16" x14ac:dyDescent="0.2">
      <c r="U2142" s="12"/>
      <c r="V2142" s="13"/>
      <c r="W2142" s="16"/>
    </row>
    <row r="2143" spans="21:23" ht="16" x14ac:dyDescent="0.2">
      <c r="U2143" s="12"/>
      <c r="V2143" s="13"/>
      <c r="W2143" s="16"/>
    </row>
    <row r="2144" spans="21:23" ht="16" x14ac:dyDescent="0.2">
      <c r="U2144" s="12"/>
      <c r="V2144" s="13"/>
      <c r="W2144" s="16"/>
    </row>
    <row r="2145" spans="21:23" ht="16" x14ac:dyDescent="0.2">
      <c r="U2145" s="12"/>
      <c r="V2145" s="13"/>
      <c r="W2145" s="16"/>
    </row>
    <row r="2146" spans="21:23" ht="16" x14ac:dyDescent="0.2">
      <c r="U2146" s="12"/>
      <c r="V2146" s="13"/>
      <c r="W2146" s="16"/>
    </row>
    <row r="2147" spans="21:23" ht="16" x14ac:dyDescent="0.2">
      <c r="U2147" s="12"/>
      <c r="V2147" s="13"/>
      <c r="W2147" s="16"/>
    </row>
    <row r="2148" spans="21:23" ht="16" x14ac:dyDescent="0.2">
      <c r="U2148" s="12"/>
      <c r="V2148" s="13"/>
      <c r="W2148" s="16"/>
    </row>
    <row r="2149" spans="21:23" ht="16" x14ac:dyDescent="0.2">
      <c r="U2149" s="12"/>
      <c r="V2149" s="13"/>
      <c r="W2149" s="16"/>
    </row>
    <row r="2150" spans="21:23" ht="16" x14ac:dyDescent="0.2">
      <c r="U2150" s="12"/>
      <c r="V2150" s="13"/>
      <c r="W2150" s="16"/>
    </row>
    <row r="2151" spans="21:23" ht="16" x14ac:dyDescent="0.2">
      <c r="U2151" s="12"/>
      <c r="V2151" s="13"/>
      <c r="W2151" s="16"/>
    </row>
    <row r="2152" spans="21:23" ht="16" x14ac:dyDescent="0.2">
      <c r="U2152" s="12"/>
      <c r="V2152" s="13"/>
      <c r="W2152" s="16"/>
    </row>
    <row r="2153" spans="21:23" ht="16" x14ac:dyDescent="0.2">
      <c r="U2153" s="12"/>
      <c r="V2153" s="13"/>
      <c r="W2153" s="16"/>
    </row>
    <row r="2154" spans="21:23" ht="16" x14ac:dyDescent="0.2">
      <c r="U2154" s="12"/>
      <c r="V2154" s="13"/>
      <c r="W2154" s="16"/>
    </row>
    <row r="2155" spans="21:23" ht="16" x14ac:dyDescent="0.2">
      <c r="U2155" s="12"/>
      <c r="V2155" s="13"/>
      <c r="W2155" s="16"/>
    </row>
    <row r="2156" spans="21:23" ht="16" x14ac:dyDescent="0.2">
      <c r="U2156" s="12"/>
      <c r="V2156" s="13"/>
      <c r="W2156" s="16"/>
    </row>
    <row r="2157" spans="21:23" ht="16" x14ac:dyDescent="0.2">
      <c r="U2157" s="12"/>
      <c r="V2157" s="13"/>
      <c r="W2157" s="16"/>
    </row>
    <row r="2158" spans="21:23" ht="16" x14ac:dyDescent="0.2">
      <c r="U2158" s="12"/>
      <c r="V2158" s="13"/>
      <c r="W2158" s="16"/>
    </row>
    <row r="2159" spans="21:23" ht="16" x14ac:dyDescent="0.2">
      <c r="U2159" s="12"/>
      <c r="V2159" s="13"/>
      <c r="W2159" s="16"/>
    </row>
    <row r="2160" spans="21:23" ht="16" x14ac:dyDescent="0.2">
      <c r="U2160" s="12"/>
      <c r="V2160" s="13"/>
      <c r="W2160" s="16"/>
    </row>
    <row r="2161" spans="21:23" ht="16" x14ac:dyDescent="0.2">
      <c r="U2161" s="12"/>
      <c r="V2161" s="13"/>
      <c r="W2161" s="16"/>
    </row>
    <row r="2162" spans="21:23" ht="16" x14ac:dyDescent="0.2">
      <c r="U2162" s="12"/>
      <c r="V2162" s="13"/>
      <c r="W2162" s="16"/>
    </row>
    <row r="2163" spans="21:23" ht="16" x14ac:dyDescent="0.2">
      <c r="U2163" s="12"/>
      <c r="V2163" s="13"/>
      <c r="W2163" s="16"/>
    </row>
    <row r="2164" spans="21:23" ht="16" x14ac:dyDescent="0.2">
      <c r="U2164" s="12"/>
      <c r="V2164" s="13"/>
      <c r="W2164" s="16"/>
    </row>
    <row r="2165" spans="21:23" ht="16" x14ac:dyDescent="0.2">
      <c r="U2165" s="12"/>
      <c r="V2165" s="13"/>
      <c r="W2165" s="16"/>
    </row>
    <row r="2166" spans="21:23" ht="16" x14ac:dyDescent="0.2">
      <c r="U2166" s="12"/>
      <c r="V2166" s="13"/>
      <c r="W2166" s="16"/>
    </row>
    <row r="2167" spans="21:23" ht="16" x14ac:dyDescent="0.2">
      <c r="U2167" s="12"/>
      <c r="V2167" s="13"/>
      <c r="W2167" s="16"/>
    </row>
    <row r="2168" spans="21:23" ht="16" x14ac:dyDescent="0.2">
      <c r="U2168" s="12"/>
      <c r="V2168" s="13"/>
      <c r="W2168" s="16"/>
    </row>
    <row r="2169" spans="21:23" ht="16" x14ac:dyDescent="0.2">
      <c r="U2169" s="12"/>
      <c r="V2169" s="13"/>
      <c r="W2169" s="16"/>
    </row>
    <row r="2170" spans="21:23" ht="16" x14ac:dyDescent="0.2">
      <c r="U2170" s="12"/>
      <c r="V2170" s="13"/>
      <c r="W2170" s="16"/>
    </row>
    <row r="2171" spans="21:23" ht="16" x14ac:dyDescent="0.2">
      <c r="U2171" s="12"/>
      <c r="V2171" s="13"/>
      <c r="W2171" s="16"/>
    </row>
    <row r="2172" spans="21:23" ht="16" x14ac:dyDescent="0.2">
      <c r="U2172" s="12"/>
      <c r="V2172" s="13"/>
      <c r="W2172" s="16"/>
    </row>
    <row r="2173" spans="21:23" ht="16" x14ac:dyDescent="0.2">
      <c r="U2173" s="12"/>
      <c r="V2173" s="13"/>
      <c r="W2173" s="16"/>
    </row>
    <row r="2174" spans="21:23" ht="16" x14ac:dyDescent="0.2">
      <c r="U2174" s="12"/>
      <c r="V2174" s="13"/>
      <c r="W2174" s="16"/>
    </row>
    <row r="2175" spans="21:23" ht="16" x14ac:dyDescent="0.2">
      <c r="U2175" s="12"/>
      <c r="V2175" s="13"/>
      <c r="W2175" s="16"/>
    </row>
    <row r="2176" spans="21:23" ht="16" x14ac:dyDescent="0.2">
      <c r="U2176" s="12"/>
      <c r="V2176" s="13"/>
      <c r="W2176" s="16"/>
    </row>
    <row r="2177" spans="21:23" ht="16" x14ac:dyDescent="0.2">
      <c r="U2177" s="12"/>
      <c r="V2177" s="13"/>
      <c r="W2177" s="16"/>
    </row>
    <row r="2178" spans="21:23" ht="16" x14ac:dyDescent="0.2">
      <c r="U2178" s="12"/>
      <c r="V2178" s="13"/>
      <c r="W2178" s="16"/>
    </row>
    <row r="2179" spans="21:23" ht="16" x14ac:dyDescent="0.2">
      <c r="U2179" s="12"/>
      <c r="V2179" s="13"/>
      <c r="W2179" s="16"/>
    </row>
    <row r="2180" spans="21:23" ht="16" x14ac:dyDescent="0.2">
      <c r="U2180" s="12"/>
      <c r="V2180" s="13"/>
      <c r="W2180" s="16"/>
    </row>
    <row r="2181" spans="21:23" ht="16" x14ac:dyDescent="0.2">
      <c r="U2181" s="12"/>
      <c r="V2181" s="13"/>
      <c r="W2181" s="16"/>
    </row>
    <row r="2182" spans="21:23" ht="16" x14ac:dyDescent="0.2">
      <c r="U2182" s="12"/>
      <c r="V2182" s="13"/>
      <c r="W2182" s="16"/>
    </row>
    <row r="2183" spans="21:23" ht="16" x14ac:dyDescent="0.2">
      <c r="U2183" s="12"/>
      <c r="V2183" s="13"/>
      <c r="W2183" s="16"/>
    </row>
    <row r="2184" spans="21:23" ht="16" x14ac:dyDescent="0.2">
      <c r="U2184" s="12"/>
      <c r="V2184" s="13"/>
      <c r="W2184" s="16"/>
    </row>
    <row r="2185" spans="21:23" ht="16" x14ac:dyDescent="0.2">
      <c r="U2185" s="12"/>
      <c r="V2185" s="13"/>
      <c r="W2185" s="16"/>
    </row>
    <row r="2186" spans="21:23" ht="16" x14ac:dyDescent="0.2">
      <c r="U2186" s="12"/>
      <c r="V2186" s="13"/>
      <c r="W2186" s="16"/>
    </row>
    <row r="2187" spans="21:23" ht="16" x14ac:dyDescent="0.2">
      <c r="U2187" s="12"/>
      <c r="V2187" s="13"/>
      <c r="W2187" s="16"/>
    </row>
    <row r="2188" spans="21:23" ht="16" x14ac:dyDescent="0.2">
      <c r="U2188" s="12"/>
      <c r="V2188" s="13"/>
      <c r="W2188" s="16"/>
    </row>
    <row r="2189" spans="21:23" ht="16" x14ac:dyDescent="0.2">
      <c r="U2189" s="12"/>
      <c r="V2189" s="13"/>
      <c r="W2189" s="16"/>
    </row>
    <row r="2190" spans="21:23" ht="16" x14ac:dyDescent="0.2">
      <c r="U2190" s="12"/>
      <c r="V2190" s="13"/>
      <c r="W2190" s="16"/>
    </row>
    <row r="2191" spans="21:23" ht="16" x14ac:dyDescent="0.2">
      <c r="U2191" s="12"/>
      <c r="V2191" s="13"/>
      <c r="W2191" s="16"/>
    </row>
    <row r="2192" spans="21:23" ht="16" x14ac:dyDescent="0.2">
      <c r="U2192" s="12"/>
      <c r="V2192" s="13"/>
      <c r="W2192" s="16"/>
    </row>
    <row r="2193" spans="21:23" ht="16" x14ac:dyDescent="0.2">
      <c r="U2193" s="12"/>
      <c r="V2193" s="13"/>
      <c r="W2193" s="16"/>
    </row>
    <row r="2194" spans="21:23" ht="16" x14ac:dyDescent="0.2">
      <c r="U2194" s="12"/>
      <c r="V2194" s="13"/>
      <c r="W2194" s="16"/>
    </row>
    <row r="2195" spans="21:23" ht="16" x14ac:dyDescent="0.2">
      <c r="U2195" s="12"/>
      <c r="V2195" s="13"/>
      <c r="W2195" s="16"/>
    </row>
    <row r="2196" spans="21:23" ht="16" x14ac:dyDescent="0.2">
      <c r="U2196" s="12"/>
      <c r="V2196" s="13"/>
      <c r="W2196" s="16"/>
    </row>
    <row r="2197" spans="21:23" ht="16" x14ac:dyDescent="0.2">
      <c r="U2197" s="12"/>
      <c r="V2197" s="13"/>
      <c r="W2197" s="16"/>
    </row>
    <row r="2198" spans="21:23" ht="16" x14ac:dyDescent="0.2">
      <c r="U2198" s="12"/>
      <c r="V2198" s="13"/>
      <c r="W2198" s="16"/>
    </row>
    <row r="2199" spans="21:23" ht="16" x14ac:dyDescent="0.2">
      <c r="U2199" s="12"/>
      <c r="V2199" s="13"/>
      <c r="W2199" s="16"/>
    </row>
    <row r="2200" spans="21:23" ht="16" x14ac:dyDescent="0.2">
      <c r="U2200" s="12"/>
      <c r="V2200" s="13"/>
      <c r="W2200" s="16"/>
    </row>
    <row r="2201" spans="21:23" ht="16" x14ac:dyDescent="0.2">
      <c r="U2201" s="12"/>
      <c r="V2201" s="13"/>
      <c r="W2201" s="16"/>
    </row>
    <row r="2202" spans="21:23" ht="16" x14ac:dyDescent="0.2">
      <c r="U2202" s="12"/>
      <c r="V2202" s="13"/>
      <c r="W2202" s="16"/>
    </row>
    <row r="2203" spans="21:23" ht="16" x14ac:dyDescent="0.2">
      <c r="U2203" s="12"/>
      <c r="V2203" s="13"/>
      <c r="W2203" s="16"/>
    </row>
    <row r="2204" spans="21:23" ht="16" x14ac:dyDescent="0.2">
      <c r="U2204" s="12"/>
      <c r="V2204" s="13"/>
      <c r="W2204" s="16"/>
    </row>
    <row r="2205" spans="21:23" ht="16" x14ac:dyDescent="0.2">
      <c r="U2205" s="12"/>
      <c r="V2205" s="13"/>
      <c r="W2205" s="16"/>
    </row>
    <row r="2206" spans="21:23" ht="16" x14ac:dyDescent="0.2">
      <c r="U2206" s="12"/>
      <c r="V2206" s="13"/>
      <c r="W2206" s="16"/>
    </row>
    <row r="2207" spans="21:23" ht="16" x14ac:dyDescent="0.2">
      <c r="U2207" s="12"/>
      <c r="V2207" s="13"/>
      <c r="W2207" s="16"/>
    </row>
    <row r="2208" spans="21:23" ht="16" x14ac:dyDescent="0.2">
      <c r="U2208" s="12"/>
      <c r="V2208" s="13"/>
      <c r="W2208" s="16"/>
    </row>
    <row r="2209" spans="21:23" ht="16" x14ac:dyDescent="0.2">
      <c r="U2209" s="12"/>
      <c r="V2209" s="13"/>
      <c r="W2209" s="16"/>
    </row>
    <row r="2210" spans="21:23" ht="16" x14ac:dyDescent="0.2">
      <c r="U2210" s="12"/>
      <c r="V2210" s="13"/>
      <c r="W2210" s="16"/>
    </row>
    <row r="2211" spans="21:23" ht="16" x14ac:dyDescent="0.2">
      <c r="U2211" s="12"/>
      <c r="V2211" s="13"/>
      <c r="W2211" s="16"/>
    </row>
    <row r="2212" spans="21:23" ht="16" x14ac:dyDescent="0.2">
      <c r="U2212" s="12"/>
      <c r="V2212" s="13"/>
      <c r="W2212" s="16"/>
    </row>
    <row r="2213" spans="21:23" ht="16" x14ac:dyDescent="0.2">
      <c r="U2213" s="12"/>
      <c r="V2213" s="13"/>
      <c r="W2213" s="16"/>
    </row>
    <row r="2214" spans="21:23" ht="16" x14ac:dyDescent="0.2">
      <c r="U2214" s="12"/>
      <c r="V2214" s="13"/>
      <c r="W2214" s="16"/>
    </row>
    <row r="2215" spans="21:23" ht="16" x14ac:dyDescent="0.2">
      <c r="U2215" s="12"/>
      <c r="V2215" s="13"/>
      <c r="W2215" s="16"/>
    </row>
    <row r="2216" spans="21:23" ht="16" x14ac:dyDescent="0.2">
      <c r="U2216" s="12"/>
      <c r="V2216" s="13"/>
      <c r="W2216" s="16"/>
    </row>
    <row r="2217" spans="21:23" ht="16" x14ac:dyDescent="0.2">
      <c r="U2217" s="12"/>
      <c r="V2217" s="13"/>
      <c r="W2217" s="16"/>
    </row>
    <row r="2218" spans="21:23" ht="16" x14ac:dyDescent="0.2">
      <c r="U2218" s="12"/>
      <c r="V2218" s="13"/>
      <c r="W2218" s="16"/>
    </row>
    <row r="2219" spans="21:23" ht="16" x14ac:dyDescent="0.2">
      <c r="U2219" s="12"/>
      <c r="V2219" s="13"/>
      <c r="W2219" s="16"/>
    </row>
    <row r="2220" spans="21:23" ht="16" x14ac:dyDescent="0.2">
      <c r="U2220" s="12"/>
      <c r="V2220" s="13"/>
      <c r="W2220" s="16"/>
    </row>
    <row r="2221" spans="21:23" ht="16" x14ac:dyDescent="0.2">
      <c r="U2221" s="12"/>
      <c r="V2221" s="13"/>
      <c r="W2221" s="16"/>
    </row>
    <row r="2222" spans="21:23" ht="16" x14ac:dyDescent="0.2">
      <c r="U2222" s="12"/>
      <c r="V2222" s="13"/>
      <c r="W2222" s="16"/>
    </row>
    <row r="2223" spans="21:23" ht="16" x14ac:dyDescent="0.2">
      <c r="U2223" s="12"/>
      <c r="V2223" s="13"/>
      <c r="W2223" s="16"/>
    </row>
    <row r="2224" spans="21:23" ht="16" x14ac:dyDescent="0.2">
      <c r="U2224" s="12"/>
      <c r="V2224" s="13"/>
      <c r="W2224" s="16"/>
    </row>
    <row r="2225" spans="21:23" ht="16" x14ac:dyDescent="0.2">
      <c r="U2225" s="12"/>
      <c r="V2225" s="13"/>
      <c r="W2225" s="16"/>
    </row>
    <row r="2226" spans="21:23" ht="16" x14ac:dyDescent="0.2">
      <c r="U2226" s="12"/>
      <c r="V2226" s="13"/>
      <c r="W2226" s="16"/>
    </row>
    <row r="2227" spans="21:23" ht="16" x14ac:dyDescent="0.2">
      <c r="U2227" s="12"/>
      <c r="V2227" s="13"/>
      <c r="W2227" s="16"/>
    </row>
    <row r="2228" spans="21:23" ht="16" x14ac:dyDescent="0.2">
      <c r="U2228" s="12"/>
      <c r="V2228" s="13"/>
      <c r="W2228" s="16"/>
    </row>
    <row r="2229" spans="21:23" ht="16" x14ac:dyDescent="0.2">
      <c r="U2229" s="12"/>
      <c r="V2229" s="13"/>
      <c r="W2229" s="16"/>
    </row>
    <row r="2230" spans="21:23" ht="16" x14ac:dyDescent="0.2">
      <c r="U2230" s="12"/>
      <c r="V2230" s="13"/>
      <c r="W2230" s="16"/>
    </row>
    <row r="2231" spans="21:23" ht="16" x14ac:dyDescent="0.2">
      <c r="U2231" s="12"/>
      <c r="V2231" s="13"/>
      <c r="W2231" s="16"/>
    </row>
    <row r="2232" spans="21:23" ht="16" x14ac:dyDescent="0.2">
      <c r="U2232" s="12"/>
      <c r="V2232" s="13"/>
      <c r="W2232" s="16"/>
    </row>
    <row r="2233" spans="21:23" ht="16" x14ac:dyDescent="0.2">
      <c r="U2233" s="12"/>
      <c r="V2233" s="13"/>
      <c r="W2233" s="16"/>
    </row>
    <row r="2234" spans="21:23" ht="16" x14ac:dyDescent="0.2">
      <c r="U2234" s="12"/>
      <c r="V2234" s="13"/>
      <c r="W2234" s="16"/>
    </row>
    <row r="2235" spans="21:23" ht="16" x14ac:dyDescent="0.2">
      <c r="U2235" s="12"/>
      <c r="V2235" s="13"/>
      <c r="W2235" s="16"/>
    </row>
    <row r="2236" spans="21:23" ht="16" x14ac:dyDescent="0.2">
      <c r="U2236" s="12"/>
      <c r="V2236" s="13"/>
      <c r="W2236" s="16"/>
    </row>
    <row r="2237" spans="21:23" ht="16" x14ac:dyDescent="0.2">
      <c r="U2237" s="12"/>
      <c r="V2237" s="13"/>
      <c r="W2237" s="16"/>
    </row>
    <row r="2238" spans="21:23" ht="16" x14ac:dyDescent="0.2">
      <c r="U2238" s="12"/>
      <c r="V2238" s="13"/>
      <c r="W2238" s="16"/>
    </row>
    <row r="2239" spans="21:23" ht="16" x14ac:dyDescent="0.2">
      <c r="U2239" s="12"/>
      <c r="V2239" s="13"/>
      <c r="W2239" s="16"/>
    </row>
    <row r="2240" spans="21:23" ht="16" x14ac:dyDescent="0.2">
      <c r="U2240" s="12"/>
      <c r="V2240" s="13"/>
      <c r="W2240" s="16"/>
    </row>
    <row r="2241" spans="21:23" ht="16" x14ac:dyDescent="0.2">
      <c r="U2241" s="12"/>
      <c r="V2241" s="13"/>
      <c r="W2241" s="16"/>
    </row>
    <row r="2242" spans="21:23" ht="16" x14ac:dyDescent="0.2">
      <c r="U2242" s="12"/>
      <c r="V2242" s="13"/>
      <c r="W2242" s="16"/>
    </row>
    <row r="2243" spans="21:23" ht="16" x14ac:dyDescent="0.2">
      <c r="U2243" s="12"/>
      <c r="V2243" s="13"/>
      <c r="W2243" s="16"/>
    </row>
    <row r="2244" spans="21:23" ht="16" x14ac:dyDescent="0.2">
      <c r="U2244" s="12"/>
      <c r="V2244" s="13"/>
      <c r="W2244" s="16"/>
    </row>
    <row r="2245" spans="21:23" ht="16" x14ac:dyDescent="0.2">
      <c r="U2245" s="12"/>
      <c r="V2245" s="13"/>
      <c r="W2245" s="16"/>
    </row>
    <row r="2246" spans="21:23" ht="16" x14ac:dyDescent="0.2">
      <c r="U2246" s="12"/>
      <c r="V2246" s="13"/>
      <c r="W2246" s="16"/>
    </row>
    <row r="2247" spans="21:23" ht="16" x14ac:dyDescent="0.2">
      <c r="U2247" s="12"/>
      <c r="V2247" s="13"/>
      <c r="W2247" s="16"/>
    </row>
    <row r="2248" spans="21:23" ht="16" x14ac:dyDescent="0.2">
      <c r="U2248" s="12"/>
      <c r="V2248" s="13"/>
      <c r="W2248" s="16"/>
    </row>
    <row r="2249" spans="21:23" ht="16" x14ac:dyDescent="0.2">
      <c r="U2249" s="12"/>
      <c r="V2249" s="13"/>
      <c r="W2249" s="16"/>
    </row>
    <row r="2250" spans="21:23" ht="16" x14ac:dyDescent="0.2">
      <c r="U2250" s="12"/>
      <c r="V2250" s="13"/>
      <c r="W2250" s="16"/>
    </row>
    <row r="2251" spans="21:23" ht="16" x14ac:dyDescent="0.2">
      <c r="U2251" s="12"/>
      <c r="V2251" s="13"/>
      <c r="W2251" s="16"/>
    </row>
    <row r="2252" spans="21:23" ht="16" x14ac:dyDescent="0.2">
      <c r="U2252" s="12"/>
      <c r="V2252" s="13"/>
      <c r="W2252" s="16"/>
    </row>
    <row r="2253" spans="21:23" ht="16" x14ac:dyDescent="0.2">
      <c r="U2253" s="12"/>
      <c r="V2253" s="13"/>
      <c r="W2253" s="16"/>
    </row>
    <row r="2254" spans="21:23" ht="16" x14ac:dyDescent="0.2">
      <c r="U2254" s="12"/>
      <c r="V2254" s="13"/>
      <c r="W2254" s="16"/>
    </row>
    <row r="2255" spans="21:23" ht="16" x14ac:dyDescent="0.2">
      <c r="U2255" s="12"/>
      <c r="V2255" s="13"/>
      <c r="W2255" s="16"/>
    </row>
    <row r="2256" spans="21:23" ht="16" x14ac:dyDescent="0.2">
      <c r="U2256" s="12"/>
      <c r="V2256" s="13"/>
      <c r="W2256" s="16"/>
    </row>
    <row r="2257" spans="21:23" ht="16" x14ac:dyDescent="0.2">
      <c r="U2257" s="12"/>
      <c r="V2257" s="13"/>
      <c r="W2257" s="16"/>
    </row>
    <row r="2258" spans="21:23" ht="16" x14ac:dyDescent="0.2">
      <c r="U2258" s="12"/>
      <c r="V2258" s="13"/>
      <c r="W2258" s="16"/>
    </row>
    <row r="2259" spans="21:23" ht="16" x14ac:dyDescent="0.2">
      <c r="U2259" s="12"/>
      <c r="V2259" s="13"/>
      <c r="W2259" s="16"/>
    </row>
    <row r="2260" spans="21:23" ht="16" x14ac:dyDescent="0.2">
      <c r="U2260" s="12"/>
      <c r="V2260" s="13"/>
      <c r="W2260" s="16"/>
    </row>
    <row r="2261" spans="21:23" ht="16" x14ac:dyDescent="0.2">
      <c r="U2261" s="12"/>
      <c r="V2261" s="13"/>
      <c r="W2261" s="16"/>
    </row>
    <row r="2262" spans="21:23" ht="16" x14ac:dyDescent="0.2">
      <c r="U2262" s="12"/>
      <c r="V2262" s="13"/>
      <c r="W2262" s="16"/>
    </row>
    <row r="2263" spans="21:23" ht="16" x14ac:dyDescent="0.2">
      <c r="U2263" s="12"/>
      <c r="V2263" s="13"/>
      <c r="W2263" s="16"/>
    </row>
    <row r="2264" spans="21:23" ht="16" x14ac:dyDescent="0.2">
      <c r="U2264" s="12"/>
      <c r="V2264" s="13"/>
      <c r="W2264" s="16"/>
    </row>
    <row r="2265" spans="21:23" ht="16" x14ac:dyDescent="0.2">
      <c r="U2265" s="12"/>
      <c r="V2265" s="13"/>
      <c r="W2265" s="16"/>
    </row>
    <row r="2266" spans="21:23" ht="16" x14ac:dyDescent="0.2">
      <c r="U2266" s="12"/>
      <c r="V2266" s="13"/>
      <c r="W2266" s="16"/>
    </row>
    <row r="2267" spans="21:23" ht="16" x14ac:dyDescent="0.2">
      <c r="U2267" s="12"/>
      <c r="V2267" s="13"/>
      <c r="W2267" s="16"/>
    </row>
    <row r="2268" spans="21:23" ht="16" x14ac:dyDescent="0.2">
      <c r="U2268" s="12"/>
      <c r="V2268" s="13"/>
      <c r="W2268" s="16"/>
    </row>
    <row r="2269" spans="21:23" ht="16" x14ac:dyDescent="0.2">
      <c r="U2269" s="12"/>
      <c r="V2269" s="13"/>
      <c r="W2269" s="16"/>
    </row>
    <row r="2270" spans="21:23" ht="16" x14ac:dyDescent="0.2">
      <c r="U2270" s="12"/>
      <c r="V2270" s="13"/>
      <c r="W2270" s="16"/>
    </row>
    <row r="2271" spans="21:23" ht="16" x14ac:dyDescent="0.2">
      <c r="U2271" s="12"/>
      <c r="V2271" s="13"/>
      <c r="W2271" s="16"/>
    </row>
    <row r="2272" spans="21:23" ht="16" x14ac:dyDescent="0.2">
      <c r="U2272" s="12"/>
      <c r="V2272" s="13"/>
      <c r="W2272" s="16"/>
    </row>
    <row r="2273" spans="21:23" ht="16" x14ac:dyDescent="0.2">
      <c r="U2273" s="12"/>
      <c r="V2273" s="13"/>
      <c r="W2273" s="16"/>
    </row>
    <row r="2274" spans="21:23" ht="16" x14ac:dyDescent="0.2">
      <c r="U2274" s="12"/>
      <c r="V2274" s="13"/>
      <c r="W2274" s="16"/>
    </row>
    <row r="2275" spans="21:23" ht="16" x14ac:dyDescent="0.2">
      <c r="U2275" s="12"/>
      <c r="V2275" s="13"/>
      <c r="W2275" s="16"/>
    </row>
    <row r="2276" spans="21:23" ht="16" x14ac:dyDescent="0.2">
      <c r="U2276" s="12"/>
      <c r="V2276" s="13"/>
      <c r="W2276" s="16"/>
    </row>
    <row r="2277" spans="21:23" ht="16" x14ac:dyDescent="0.2">
      <c r="U2277" s="12"/>
      <c r="V2277" s="13"/>
      <c r="W2277" s="16"/>
    </row>
    <row r="2278" spans="21:23" ht="16" x14ac:dyDescent="0.2">
      <c r="U2278" s="12"/>
      <c r="V2278" s="13"/>
      <c r="W2278" s="16"/>
    </row>
    <row r="2279" spans="21:23" ht="16" x14ac:dyDescent="0.2">
      <c r="U2279" s="12"/>
      <c r="V2279" s="13"/>
      <c r="W2279" s="16"/>
    </row>
    <row r="2280" spans="21:23" ht="16" x14ac:dyDescent="0.2">
      <c r="U2280" s="12"/>
      <c r="V2280" s="13"/>
      <c r="W2280" s="16"/>
    </row>
    <row r="2281" spans="21:23" ht="16" x14ac:dyDescent="0.2">
      <c r="U2281" s="12"/>
      <c r="V2281" s="13"/>
      <c r="W2281" s="16"/>
    </row>
    <row r="2282" spans="21:23" ht="16" x14ac:dyDescent="0.2">
      <c r="U2282" s="12"/>
      <c r="V2282" s="13"/>
      <c r="W2282" s="16"/>
    </row>
    <row r="2283" spans="21:23" ht="16" x14ac:dyDescent="0.2">
      <c r="U2283" s="12"/>
      <c r="V2283" s="13"/>
      <c r="W2283" s="16"/>
    </row>
    <row r="2284" spans="21:23" ht="16" x14ac:dyDescent="0.2">
      <c r="U2284" s="12"/>
      <c r="V2284" s="13"/>
      <c r="W2284" s="16"/>
    </row>
    <row r="2285" spans="21:23" ht="16" x14ac:dyDescent="0.2">
      <c r="U2285" s="12"/>
      <c r="V2285" s="13"/>
      <c r="W2285" s="16"/>
    </row>
    <row r="2286" spans="21:23" ht="16" x14ac:dyDescent="0.2">
      <c r="U2286" s="12"/>
      <c r="V2286" s="13"/>
      <c r="W2286" s="16"/>
    </row>
    <row r="2287" spans="21:23" ht="16" x14ac:dyDescent="0.2">
      <c r="U2287" s="12"/>
      <c r="V2287" s="13"/>
      <c r="W2287" s="16"/>
    </row>
    <row r="2288" spans="21:23" ht="16" x14ac:dyDescent="0.2">
      <c r="U2288" s="12"/>
      <c r="V2288" s="13"/>
      <c r="W2288" s="16"/>
    </row>
    <row r="2289" spans="21:23" ht="16" x14ac:dyDescent="0.2">
      <c r="U2289" s="12"/>
      <c r="V2289" s="13"/>
      <c r="W2289" s="16"/>
    </row>
    <row r="2290" spans="21:23" ht="16" x14ac:dyDescent="0.2">
      <c r="U2290" s="12"/>
      <c r="V2290" s="13"/>
      <c r="W2290" s="16"/>
    </row>
    <row r="2291" spans="21:23" ht="16" x14ac:dyDescent="0.2">
      <c r="U2291" s="12"/>
      <c r="V2291" s="13"/>
      <c r="W2291" s="16"/>
    </row>
    <row r="2292" spans="21:23" ht="16" x14ac:dyDescent="0.2">
      <c r="U2292" s="12"/>
      <c r="V2292" s="13"/>
      <c r="W2292" s="16"/>
    </row>
    <row r="2293" spans="21:23" ht="16" x14ac:dyDescent="0.2">
      <c r="U2293" s="12"/>
      <c r="V2293" s="13"/>
      <c r="W2293" s="16"/>
    </row>
    <row r="2294" spans="21:23" ht="16" x14ac:dyDescent="0.2">
      <c r="U2294" s="12"/>
      <c r="V2294" s="13"/>
      <c r="W2294" s="16"/>
    </row>
    <row r="2295" spans="21:23" ht="16" x14ac:dyDescent="0.2">
      <c r="U2295" s="12"/>
      <c r="V2295" s="13"/>
      <c r="W2295" s="16"/>
    </row>
    <row r="2296" spans="21:23" ht="16" x14ac:dyDescent="0.2">
      <c r="U2296" s="12"/>
      <c r="V2296" s="13"/>
      <c r="W2296" s="16"/>
    </row>
    <row r="2297" spans="21:23" ht="16" x14ac:dyDescent="0.2">
      <c r="U2297" s="12"/>
      <c r="V2297" s="13"/>
      <c r="W2297" s="16"/>
    </row>
    <row r="2298" spans="21:23" ht="16" x14ac:dyDescent="0.2">
      <c r="U2298" s="12"/>
      <c r="V2298" s="13"/>
      <c r="W2298" s="16"/>
    </row>
    <row r="2299" spans="21:23" ht="16" x14ac:dyDescent="0.2">
      <c r="U2299" s="12"/>
      <c r="V2299" s="13"/>
      <c r="W2299" s="16"/>
    </row>
    <row r="2300" spans="21:23" ht="16" x14ac:dyDescent="0.2">
      <c r="U2300" s="12"/>
      <c r="V2300" s="13"/>
      <c r="W2300" s="16"/>
    </row>
    <row r="2301" spans="21:23" ht="16" x14ac:dyDescent="0.2">
      <c r="U2301" s="12"/>
      <c r="V2301" s="13"/>
      <c r="W2301" s="16"/>
    </row>
    <row r="2302" spans="21:23" ht="16" x14ac:dyDescent="0.2">
      <c r="U2302" s="12"/>
      <c r="V2302" s="13"/>
      <c r="W2302" s="16"/>
    </row>
    <row r="2303" spans="21:23" ht="16" x14ac:dyDescent="0.2">
      <c r="U2303" s="12"/>
      <c r="V2303" s="13"/>
      <c r="W2303" s="16"/>
    </row>
    <row r="2304" spans="21:23" ht="16" x14ac:dyDescent="0.2">
      <c r="U2304" s="12"/>
      <c r="V2304" s="13"/>
      <c r="W2304" s="16"/>
    </row>
    <row r="2305" spans="21:23" ht="16" x14ac:dyDescent="0.2">
      <c r="U2305" s="12"/>
      <c r="V2305" s="13"/>
      <c r="W2305" s="16"/>
    </row>
    <row r="2306" spans="21:23" ht="16" x14ac:dyDescent="0.2">
      <c r="U2306" s="12"/>
      <c r="V2306" s="13"/>
      <c r="W2306" s="16"/>
    </row>
    <row r="2307" spans="21:23" ht="16" x14ac:dyDescent="0.2">
      <c r="U2307" s="12"/>
      <c r="V2307" s="13"/>
      <c r="W2307" s="16"/>
    </row>
    <row r="2308" spans="21:23" ht="16" x14ac:dyDescent="0.2">
      <c r="U2308" s="12"/>
      <c r="V2308" s="13"/>
      <c r="W2308" s="16"/>
    </row>
    <row r="2309" spans="21:23" ht="16" x14ac:dyDescent="0.2">
      <c r="U2309" s="12"/>
      <c r="V2309" s="13"/>
      <c r="W2309" s="16"/>
    </row>
    <row r="2310" spans="21:23" ht="16" x14ac:dyDescent="0.2">
      <c r="U2310" s="12"/>
      <c r="V2310" s="13"/>
      <c r="W2310" s="16"/>
    </row>
    <row r="2311" spans="21:23" ht="16" x14ac:dyDescent="0.2">
      <c r="U2311" s="12"/>
      <c r="V2311" s="13"/>
      <c r="W2311" s="16"/>
    </row>
    <row r="2312" spans="21:23" ht="16" x14ac:dyDescent="0.2">
      <c r="U2312" s="12"/>
      <c r="V2312" s="13"/>
      <c r="W2312" s="16"/>
    </row>
    <row r="2313" spans="21:23" ht="16" x14ac:dyDescent="0.2">
      <c r="U2313" s="12"/>
      <c r="V2313" s="13"/>
      <c r="W2313" s="16"/>
    </row>
    <row r="2314" spans="21:23" ht="16" x14ac:dyDescent="0.2">
      <c r="U2314" s="12"/>
      <c r="V2314" s="13"/>
      <c r="W2314" s="16"/>
    </row>
    <row r="2315" spans="21:23" ht="16" x14ac:dyDescent="0.2">
      <c r="U2315" s="12"/>
      <c r="V2315" s="13"/>
      <c r="W2315" s="16"/>
    </row>
    <row r="2316" spans="21:23" ht="16" x14ac:dyDescent="0.2">
      <c r="U2316" s="12"/>
      <c r="V2316" s="13"/>
      <c r="W2316" s="16"/>
    </row>
    <row r="2317" spans="21:23" ht="16" x14ac:dyDescent="0.2">
      <c r="U2317" s="12"/>
      <c r="V2317" s="13"/>
      <c r="W2317" s="16"/>
    </row>
    <row r="2318" spans="21:23" ht="16" x14ac:dyDescent="0.2">
      <c r="U2318" s="12"/>
      <c r="V2318" s="13"/>
      <c r="W2318" s="16"/>
    </row>
    <row r="2319" spans="21:23" ht="16" x14ac:dyDescent="0.2">
      <c r="U2319" s="12"/>
      <c r="V2319" s="13"/>
      <c r="W2319" s="16"/>
    </row>
    <row r="2320" spans="21:23" ht="16" x14ac:dyDescent="0.2">
      <c r="U2320" s="12"/>
      <c r="V2320" s="13"/>
      <c r="W2320" s="16"/>
    </row>
    <row r="2321" spans="21:23" ht="16" x14ac:dyDescent="0.2">
      <c r="U2321" s="12"/>
      <c r="V2321" s="13"/>
      <c r="W2321" s="16"/>
    </row>
    <row r="2322" spans="21:23" ht="16" x14ac:dyDescent="0.2">
      <c r="U2322" s="12"/>
      <c r="V2322" s="13"/>
      <c r="W2322" s="16"/>
    </row>
    <row r="2323" spans="21:23" ht="16" x14ac:dyDescent="0.2">
      <c r="U2323" s="12"/>
      <c r="V2323" s="13"/>
      <c r="W2323" s="16"/>
    </row>
    <row r="2324" spans="21:23" ht="16" x14ac:dyDescent="0.2">
      <c r="U2324" s="12"/>
      <c r="V2324" s="13"/>
      <c r="W2324" s="16"/>
    </row>
    <row r="2325" spans="21:23" ht="16" x14ac:dyDescent="0.2">
      <c r="U2325" s="12"/>
      <c r="V2325" s="13"/>
      <c r="W2325" s="16"/>
    </row>
    <row r="2326" spans="21:23" ht="16" x14ac:dyDescent="0.2">
      <c r="U2326" s="12"/>
      <c r="V2326" s="13"/>
      <c r="W2326" s="16"/>
    </row>
    <row r="2327" spans="21:23" ht="16" x14ac:dyDescent="0.2">
      <c r="U2327" s="12"/>
      <c r="V2327" s="13"/>
      <c r="W2327" s="16"/>
    </row>
    <row r="2328" spans="21:23" ht="16" x14ac:dyDescent="0.2">
      <c r="U2328" s="12"/>
      <c r="V2328" s="13"/>
      <c r="W2328" s="16"/>
    </row>
    <row r="2329" spans="21:23" ht="16" x14ac:dyDescent="0.2">
      <c r="U2329" s="12"/>
      <c r="V2329" s="13"/>
      <c r="W2329" s="16"/>
    </row>
    <row r="2330" spans="21:23" ht="16" x14ac:dyDescent="0.2">
      <c r="U2330" s="12"/>
      <c r="V2330" s="13"/>
      <c r="W2330" s="16"/>
    </row>
    <row r="2331" spans="21:23" ht="16" x14ac:dyDescent="0.2">
      <c r="U2331" s="12"/>
      <c r="V2331" s="13"/>
      <c r="W2331" s="16"/>
    </row>
    <row r="2332" spans="21:23" ht="16" x14ac:dyDescent="0.2">
      <c r="U2332" s="12"/>
      <c r="V2332" s="13"/>
      <c r="W2332" s="16"/>
    </row>
    <row r="2333" spans="21:23" ht="16" x14ac:dyDescent="0.2">
      <c r="U2333" s="12"/>
      <c r="V2333" s="13"/>
      <c r="W2333" s="16"/>
    </row>
    <row r="2334" spans="21:23" ht="16" x14ac:dyDescent="0.2">
      <c r="U2334" s="12"/>
      <c r="V2334" s="13"/>
      <c r="W2334" s="16"/>
    </row>
    <row r="2335" spans="21:23" ht="16" x14ac:dyDescent="0.2">
      <c r="U2335" s="12"/>
      <c r="V2335" s="13"/>
      <c r="W2335" s="16"/>
    </row>
    <row r="2336" spans="21:23" ht="16" x14ac:dyDescent="0.2">
      <c r="U2336" s="12"/>
      <c r="V2336" s="13"/>
      <c r="W2336" s="16"/>
    </row>
    <row r="2337" spans="21:23" ht="16" x14ac:dyDescent="0.2">
      <c r="U2337" s="12"/>
      <c r="V2337" s="13"/>
      <c r="W2337" s="16"/>
    </row>
    <row r="2338" spans="21:23" ht="16" x14ac:dyDescent="0.2">
      <c r="U2338" s="12"/>
      <c r="V2338" s="13"/>
      <c r="W2338" s="16"/>
    </row>
    <row r="2339" spans="21:23" ht="16" x14ac:dyDescent="0.2">
      <c r="U2339" s="12"/>
      <c r="V2339" s="13"/>
      <c r="W2339" s="16"/>
    </row>
    <row r="2340" spans="21:23" ht="16" x14ac:dyDescent="0.2">
      <c r="U2340" s="12"/>
      <c r="V2340" s="13"/>
      <c r="W2340" s="16"/>
    </row>
    <row r="2341" spans="21:23" ht="16" x14ac:dyDescent="0.2">
      <c r="U2341" s="12"/>
      <c r="V2341" s="13"/>
      <c r="W2341" s="16"/>
    </row>
    <row r="2342" spans="21:23" ht="16" x14ac:dyDescent="0.2">
      <c r="U2342" s="12"/>
      <c r="V2342" s="13"/>
      <c r="W2342" s="16"/>
    </row>
    <row r="2343" spans="21:23" ht="16" x14ac:dyDescent="0.2">
      <c r="U2343" s="12"/>
      <c r="V2343" s="13"/>
      <c r="W2343" s="16"/>
    </row>
    <row r="2344" spans="21:23" ht="16" x14ac:dyDescent="0.2">
      <c r="U2344" s="12"/>
      <c r="V2344" s="13"/>
      <c r="W2344" s="16"/>
    </row>
    <row r="2345" spans="21:23" ht="16" x14ac:dyDescent="0.2">
      <c r="U2345" s="12"/>
      <c r="V2345" s="13"/>
      <c r="W2345" s="16"/>
    </row>
    <row r="2346" spans="21:23" ht="16" x14ac:dyDescent="0.2">
      <c r="U2346" s="12"/>
      <c r="V2346" s="13"/>
      <c r="W2346" s="16"/>
    </row>
    <row r="2347" spans="21:23" ht="16" x14ac:dyDescent="0.2">
      <c r="U2347" s="12"/>
      <c r="V2347" s="13"/>
      <c r="W2347" s="16"/>
    </row>
    <row r="2348" spans="21:23" ht="16" x14ac:dyDescent="0.2">
      <c r="U2348" s="12"/>
      <c r="V2348" s="13"/>
      <c r="W2348" s="16"/>
    </row>
    <row r="2349" spans="21:23" ht="16" x14ac:dyDescent="0.2">
      <c r="U2349" s="12"/>
      <c r="V2349" s="13"/>
      <c r="W2349" s="16"/>
    </row>
    <row r="2350" spans="21:23" ht="16" x14ac:dyDescent="0.2">
      <c r="U2350" s="12"/>
      <c r="V2350" s="13"/>
      <c r="W2350" s="16"/>
    </row>
    <row r="2351" spans="21:23" ht="16" x14ac:dyDescent="0.2">
      <c r="U2351" s="12"/>
      <c r="V2351" s="13"/>
      <c r="W2351" s="16"/>
    </row>
    <row r="2352" spans="21:23" ht="16" x14ac:dyDescent="0.2">
      <c r="U2352" s="12"/>
      <c r="V2352" s="13"/>
      <c r="W2352" s="16"/>
    </row>
    <row r="2353" spans="21:23" ht="16" x14ac:dyDescent="0.2">
      <c r="U2353" s="12"/>
      <c r="V2353" s="13"/>
      <c r="W2353" s="16"/>
    </row>
    <row r="2354" spans="21:23" ht="16" x14ac:dyDescent="0.2">
      <c r="U2354" s="12"/>
      <c r="V2354" s="13"/>
      <c r="W2354" s="16"/>
    </row>
    <row r="2355" spans="21:23" ht="16" x14ac:dyDescent="0.2">
      <c r="U2355" s="12"/>
      <c r="V2355" s="13"/>
      <c r="W2355" s="16"/>
    </row>
    <row r="2356" spans="21:23" ht="16" x14ac:dyDescent="0.2">
      <c r="U2356" s="12"/>
      <c r="V2356" s="13"/>
      <c r="W2356" s="16"/>
    </row>
    <row r="2357" spans="21:23" ht="16" x14ac:dyDescent="0.2">
      <c r="U2357" s="12"/>
      <c r="V2357" s="13"/>
      <c r="W2357" s="16"/>
    </row>
    <row r="2358" spans="21:23" ht="16" x14ac:dyDescent="0.2">
      <c r="U2358" s="12"/>
      <c r="V2358" s="13"/>
      <c r="W2358" s="16"/>
    </row>
    <row r="2359" spans="21:23" ht="16" x14ac:dyDescent="0.2">
      <c r="U2359" s="12"/>
      <c r="V2359" s="13"/>
      <c r="W2359" s="16"/>
    </row>
    <row r="2360" spans="21:23" ht="16" x14ac:dyDescent="0.2">
      <c r="U2360" s="12"/>
      <c r="V2360" s="13"/>
      <c r="W2360" s="16"/>
    </row>
    <row r="2361" spans="21:23" ht="16" x14ac:dyDescent="0.2">
      <c r="U2361" s="12"/>
      <c r="V2361" s="13"/>
      <c r="W2361" s="16"/>
    </row>
    <row r="2362" spans="21:23" ht="16" x14ac:dyDescent="0.2">
      <c r="U2362" s="12"/>
      <c r="V2362" s="13"/>
      <c r="W2362" s="16"/>
    </row>
    <row r="2363" spans="21:23" ht="16" x14ac:dyDescent="0.2">
      <c r="U2363" s="12"/>
      <c r="V2363" s="13"/>
      <c r="W2363" s="16"/>
    </row>
    <row r="2364" spans="21:23" ht="16" x14ac:dyDescent="0.2">
      <c r="U2364" s="12"/>
      <c r="V2364" s="13"/>
      <c r="W2364" s="16"/>
    </row>
    <row r="2365" spans="21:23" ht="16" x14ac:dyDescent="0.2">
      <c r="U2365" s="12"/>
      <c r="V2365" s="13"/>
      <c r="W2365" s="16"/>
    </row>
    <row r="2366" spans="21:23" ht="16" x14ac:dyDescent="0.2">
      <c r="U2366" s="12"/>
      <c r="V2366" s="13"/>
      <c r="W2366" s="16"/>
    </row>
    <row r="2367" spans="21:23" ht="16" x14ac:dyDescent="0.2">
      <c r="U2367" s="12"/>
      <c r="V2367" s="13"/>
      <c r="W2367" s="16"/>
    </row>
    <row r="2368" spans="21:23" ht="16" x14ac:dyDescent="0.2">
      <c r="U2368" s="12"/>
      <c r="V2368" s="13"/>
      <c r="W2368" s="16"/>
    </row>
    <row r="2369" spans="21:23" ht="16" x14ac:dyDescent="0.2">
      <c r="U2369" s="12"/>
      <c r="V2369" s="13"/>
      <c r="W2369" s="16"/>
    </row>
    <row r="2370" spans="21:23" ht="16" x14ac:dyDescent="0.2">
      <c r="U2370" s="12"/>
      <c r="V2370" s="13"/>
      <c r="W2370" s="16"/>
    </row>
    <row r="2371" spans="21:23" ht="16" x14ac:dyDescent="0.2">
      <c r="U2371" s="12"/>
      <c r="V2371" s="13"/>
      <c r="W2371" s="16"/>
    </row>
    <row r="2372" spans="21:23" ht="16" x14ac:dyDescent="0.2">
      <c r="U2372" s="12"/>
      <c r="V2372" s="13"/>
      <c r="W2372" s="16"/>
    </row>
    <row r="2373" spans="21:23" ht="16" x14ac:dyDescent="0.2">
      <c r="U2373" s="12"/>
      <c r="V2373" s="13"/>
      <c r="W2373" s="16"/>
    </row>
    <row r="2374" spans="21:23" ht="16" x14ac:dyDescent="0.2">
      <c r="U2374" s="12"/>
      <c r="V2374" s="13"/>
      <c r="W2374" s="16"/>
    </row>
    <row r="2375" spans="21:23" ht="16" x14ac:dyDescent="0.2">
      <c r="U2375" s="12"/>
      <c r="V2375" s="13"/>
      <c r="W2375" s="16"/>
    </row>
    <row r="2376" spans="21:23" ht="16" x14ac:dyDescent="0.2">
      <c r="U2376" s="12"/>
      <c r="V2376" s="13"/>
      <c r="W2376" s="16"/>
    </row>
    <row r="2377" spans="21:23" ht="16" x14ac:dyDescent="0.2">
      <c r="U2377" s="12"/>
      <c r="V2377" s="13"/>
      <c r="W2377" s="16"/>
    </row>
    <row r="2378" spans="21:23" ht="16" x14ac:dyDescent="0.2">
      <c r="U2378" s="12"/>
      <c r="V2378" s="13"/>
      <c r="W2378" s="16"/>
    </row>
    <row r="2379" spans="21:23" ht="16" x14ac:dyDescent="0.2">
      <c r="U2379" s="12"/>
      <c r="V2379" s="13"/>
      <c r="W2379" s="16"/>
    </row>
    <row r="2380" spans="21:23" ht="16" x14ac:dyDescent="0.2">
      <c r="U2380" s="12"/>
      <c r="V2380" s="13"/>
      <c r="W2380" s="16"/>
    </row>
    <row r="2381" spans="21:23" ht="16" x14ac:dyDescent="0.2">
      <c r="U2381" s="12"/>
      <c r="V2381" s="13"/>
      <c r="W2381" s="16"/>
    </row>
    <row r="2382" spans="21:23" ht="16" x14ac:dyDescent="0.2">
      <c r="U2382" s="12"/>
      <c r="V2382" s="13"/>
      <c r="W2382" s="16"/>
    </row>
    <row r="2383" spans="21:23" ht="16" x14ac:dyDescent="0.2">
      <c r="U2383" s="12"/>
      <c r="V2383" s="13"/>
      <c r="W2383" s="16"/>
    </row>
    <row r="2384" spans="21:23" ht="16" x14ac:dyDescent="0.2">
      <c r="U2384" s="12"/>
      <c r="V2384" s="13"/>
      <c r="W2384" s="16"/>
    </row>
    <row r="2385" spans="21:23" ht="16" x14ac:dyDescent="0.2">
      <c r="U2385" s="12"/>
      <c r="V2385" s="13"/>
      <c r="W2385" s="16"/>
    </row>
    <row r="2386" spans="21:23" ht="16" x14ac:dyDescent="0.2">
      <c r="U2386" s="12"/>
      <c r="V2386" s="13"/>
      <c r="W2386" s="16"/>
    </row>
    <row r="2387" spans="21:23" ht="16" x14ac:dyDescent="0.2">
      <c r="U2387" s="12"/>
      <c r="V2387" s="13"/>
      <c r="W2387" s="16"/>
    </row>
    <row r="2388" spans="21:23" ht="16" x14ac:dyDescent="0.2">
      <c r="U2388" s="12"/>
      <c r="V2388" s="13"/>
      <c r="W2388" s="16"/>
    </row>
    <row r="2389" spans="21:23" ht="16" x14ac:dyDescent="0.2">
      <c r="U2389" s="12"/>
      <c r="V2389" s="13"/>
      <c r="W2389" s="16"/>
    </row>
    <row r="2390" spans="21:23" ht="16" x14ac:dyDescent="0.2">
      <c r="U2390" s="12"/>
      <c r="V2390" s="13"/>
      <c r="W2390" s="16"/>
    </row>
    <row r="2391" spans="21:23" ht="16" x14ac:dyDescent="0.2">
      <c r="U2391" s="12"/>
      <c r="V2391" s="13"/>
      <c r="W2391" s="16"/>
    </row>
    <row r="2392" spans="21:23" ht="16" x14ac:dyDescent="0.2">
      <c r="U2392" s="12"/>
      <c r="V2392" s="13"/>
      <c r="W2392" s="16"/>
    </row>
    <row r="2393" spans="21:23" ht="16" x14ac:dyDescent="0.2">
      <c r="U2393" s="12"/>
      <c r="V2393" s="13"/>
      <c r="W2393" s="16"/>
    </row>
    <row r="2394" spans="21:23" ht="16" x14ac:dyDescent="0.2">
      <c r="U2394" s="12"/>
      <c r="V2394" s="13"/>
      <c r="W2394" s="16"/>
    </row>
    <row r="2395" spans="21:23" ht="16" x14ac:dyDescent="0.2">
      <c r="U2395" s="12"/>
      <c r="V2395" s="13"/>
      <c r="W2395" s="16"/>
    </row>
    <row r="2396" spans="21:23" ht="16" x14ac:dyDescent="0.2">
      <c r="U2396" s="12"/>
      <c r="V2396" s="13"/>
      <c r="W2396" s="16"/>
    </row>
    <row r="2397" spans="21:23" ht="16" x14ac:dyDescent="0.2">
      <c r="U2397" s="12"/>
      <c r="V2397" s="13"/>
      <c r="W2397" s="16"/>
    </row>
    <row r="2398" spans="21:23" ht="16" x14ac:dyDescent="0.2">
      <c r="U2398" s="12"/>
      <c r="V2398" s="13"/>
      <c r="W2398" s="16"/>
    </row>
    <row r="2399" spans="21:23" ht="16" x14ac:dyDescent="0.2">
      <c r="U2399" s="12"/>
      <c r="V2399" s="13"/>
      <c r="W2399" s="16"/>
    </row>
    <row r="2400" spans="21:23" ht="16" x14ac:dyDescent="0.2">
      <c r="U2400" s="12"/>
      <c r="V2400" s="13"/>
      <c r="W2400" s="16"/>
    </row>
    <row r="2401" spans="21:23" ht="16" x14ac:dyDescent="0.2">
      <c r="U2401" s="12"/>
      <c r="V2401" s="13"/>
      <c r="W2401" s="16"/>
    </row>
    <row r="2402" spans="21:23" ht="16" x14ac:dyDescent="0.2">
      <c r="U2402" s="12"/>
      <c r="V2402" s="13"/>
      <c r="W2402" s="16"/>
    </row>
    <row r="2403" spans="21:23" ht="16" x14ac:dyDescent="0.2">
      <c r="U2403" s="12"/>
      <c r="V2403" s="13"/>
      <c r="W2403" s="16"/>
    </row>
    <row r="2404" spans="21:23" ht="16" x14ac:dyDescent="0.2">
      <c r="U2404" s="12"/>
      <c r="V2404" s="13"/>
      <c r="W2404" s="16"/>
    </row>
    <row r="2405" spans="21:23" ht="16" x14ac:dyDescent="0.2">
      <c r="U2405" s="12"/>
      <c r="V2405" s="13"/>
      <c r="W2405" s="16"/>
    </row>
    <row r="2406" spans="21:23" ht="16" x14ac:dyDescent="0.2">
      <c r="U2406" s="12"/>
      <c r="V2406" s="13"/>
      <c r="W2406" s="16"/>
    </row>
    <row r="2407" spans="21:23" ht="16" x14ac:dyDescent="0.2">
      <c r="U2407" s="12"/>
      <c r="V2407" s="13"/>
      <c r="W2407" s="16"/>
    </row>
    <row r="2408" spans="21:23" ht="16" x14ac:dyDescent="0.2">
      <c r="U2408" s="12"/>
      <c r="V2408" s="13"/>
      <c r="W2408" s="16"/>
    </row>
    <row r="2409" spans="21:23" ht="16" x14ac:dyDescent="0.2">
      <c r="U2409" s="12"/>
      <c r="V2409" s="13"/>
      <c r="W2409" s="16"/>
    </row>
    <row r="2410" spans="21:23" ht="16" x14ac:dyDescent="0.2">
      <c r="U2410" s="12"/>
      <c r="V2410" s="13"/>
      <c r="W2410" s="16"/>
    </row>
    <row r="2411" spans="21:23" ht="16" x14ac:dyDescent="0.2">
      <c r="U2411" s="12"/>
      <c r="V2411" s="13"/>
      <c r="W2411" s="16"/>
    </row>
    <row r="2412" spans="21:23" ht="16" x14ac:dyDescent="0.2">
      <c r="U2412" s="12"/>
      <c r="V2412" s="13"/>
      <c r="W2412" s="16"/>
    </row>
    <row r="2413" spans="21:23" ht="16" x14ac:dyDescent="0.2">
      <c r="U2413" s="12"/>
      <c r="V2413" s="13"/>
      <c r="W2413" s="16"/>
    </row>
    <row r="2414" spans="21:23" ht="16" x14ac:dyDescent="0.2">
      <c r="U2414" s="12"/>
      <c r="V2414" s="13"/>
      <c r="W2414" s="16"/>
    </row>
    <row r="2415" spans="21:23" ht="16" x14ac:dyDescent="0.2">
      <c r="U2415" s="12"/>
      <c r="V2415" s="13"/>
      <c r="W2415" s="16"/>
    </row>
    <row r="2416" spans="21:23" ht="16" x14ac:dyDescent="0.2">
      <c r="U2416" s="12"/>
      <c r="V2416" s="13"/>
      <c r="W2416" s="16"/>
    </row>
    <row r="2417" spans="21:23" ht="16" x14ac:dyDescent="0.2">
      <c r="U2417" s="12"/>
      <c r="V2417" s="13"/>
      <c r="W2417" s="16"/>
    </row>
    <row r="2418" spans="21:23" ht="16" x14ac:dyDescent="0.2">
      <c r="U2418" s="12"/>
      <c r="V2418" s="13"/>
      <c r="W2418" s="16"/>
    </row>
    <row r="2419" spans="21:23" ht="16" x14ac:dyDescent="0.2">
      <c r="U2419" s="12"/>
      <c r="V2419" s="13"/>
      <c r="W2419" s="16"/>
    </row>
    <row r="2420" spans="21:23" ht="16" x14ac:dyDescent="0.2">
      <c r="U2420" s="12"/>
      <c r="V2420" s="13"/>
      <c r="W2420" s="16"/>
    </row>
    <row r="2421" spans="21:23" ht="16" x14ac:dyDescent="0.2">
      <c r="U2421" s="12"/>
      <c r="V2421" s="13"/>
      <c r="W2421" s="16"/>
    </row>
    <row r="2422" spans="21:23" ht="16" x14ac:dyDescent="0.2">
      <c r="U2422" s="12"/>
      <c r="V2422" s="13"/>
      <c r="W2422" s="16"/>
    </row>
    <row r="2423" spans="21:23" ht="16" x14ac:dyDescent="0.2">
      <c r="U2423" s="12"/>
      <c r="V2423" s="13"/>
      <c r="W2423" s="16"/>
    </row>
    <row r="2424" spans="21:23" ht="16" x14ac:dyDescent="0.2">
      <c r="U2424" s="12"/>
      <c r="V2424" s="13"/>
      <c r="W2424" s="16"/>
    </row>
    <row r="2425" spans="21:23" ht="16" x14ac:dyDescent="0.2">
      <c r="U2425" s="12"/>
      <c r="V2425" s="13"/>
      <c r="W2425" s="16"/>
    </row>
    <row r="2426" spans="21:23" ht="16" x14ac:dyDescent="0.2">
      <c r="U2426" s="12"/>
      <c r="V2426" s="13"/>
      <c r="W2426" s="16"/>
    </row>
    <row r="2427" spans="21:23" ht="16" x14ac:dyDescent="0.2">
      <c r="U2427" s="12"/>
      <c r="V2427" s="13"/>
      <c r="W2427" s="16"/>
    </row>
    <row r="2428" spans="21:23" ht="16" x14ac:dyDescent="0.2">
      <c r="U2428" s="12"/>
      <c r="V2428" s="13"/>
      <c r="W2428" s="16"/>
    </row>
    <row r="2429" spans="21:23" ht="16" x14ac:dyDescent="0.2">
      <c r="U2429" s="12"/>
      <c r="V2429" s="13"/>
      <c r="W2429" s="16"/>
    </row>
    <row r="2430" spans="21:23" ht="16" x14ac:dyDescent="0.2">
      <c r="U2430" s="12"/>
      <c r="V2430" s="13"/>
      <c r="W2430" s="16"/>
    </row>
    <row r="2431" spans="21:23" ht="16" x14ac:dyDescent="0.2">
      <c r="U2431" s="12"/>
      <c r="V2431" s="13"/>
      <c r="W2431" s="16"/>
    </row>
    <row r="2432" spans="21:23" ht="16" x14ac:dyDescent="0.2">
      <c r="U2432" s="12"/>
      <c r="V2432" s="13"/>
      <c r="W2432" s="16"/>
    </row>
    <row r="2433" spans="21:23" ht="16" x14ac:dyDescent="0.2">
      <c r="U2433" s="12"/>
      <c r="V2433" s="13"/>
      <c r="W2433" s="16"/>
    </row>
    <row r="2434" spans="21:23" ht="16" x14ac:dyDescent="0.2">
      <c r="U2434" s="12"/>
      <c r="V2434" s="13"/>
      <c r="W2434" s="16"/>
    </row>
    <row r="2435" spans="21:23" ht="16" x14ac:dyDescent="0.2">
      <c r="U2435" s="12"/>
      <c r="V2435" s="13"/>
      <c r="W2435" s="16"/>
    </row>
    <row r="2436" spans="21:23" ht="16" x14ac:dyDescent="0.2">
      <c r="U2436" s="12"/>
      <c r="V2436" s="13"/>
      <c r="W2436" s="16"/>
    </row>
    <row r="2437" spans="21:23" ht="16" x14ac:dyDescent="0.2">
      <c r="U2437" s="12"/>
      <c r="V2437" s="13"/>
      <c r="W2437" s="16"/>
    </row>
    <row r="2438" spans="21:23" ht="16" x14ac:dyDescent="0.2">
      <c r="U2438" s="12"/>
      <c r="V2438" s="13"/>
      <c r="W2438" s="16"/>
    </row>
    <row r="2439" spans="21:23" ht="16" x14ac:dyDescent="0.2">
      <c r="U2439" s="12"/>
      <c r="V2439" s="13"/>
      <c r="W2439" s="16"/>
    </row>
    <row r="2440" spans="21:23" ht="16" x14ac:dyDescent="0.2">
      <c r="U2440" s="12"/>
      <c r="V2440" s="13"/>
      <c r="W2440" s="16"/>
    </row>
    <row r="2441" spans="21:23" ht="16" x14ac:dyDescent="0.2">
      <c r="U2441" s="12"/>
      <c r="V2441" s="13"/>
      <c r="W2441" s="16"/>
    </row>
    <row r="2442" spans="21:23" ht="16" x14ac:dyDescent="0.2">
      <c r="U2442" s="12"/>
      <c r="V2442" s="13"/>
      <c r="W2442" s="16"/>
    </row>
    <row r="2443" spans="21:23" ht="16" x14ac:dyDescent="0.2">
      <c r="U2443" s="12"/>
      <c r="V2443" s="13"/>
      <c r="W2443" s="16"/>
    </row>
    <row r="2444" spans="21:23" ht="16" x14ac:dyDescent="0.2">
      <c r="U2444" s="12"/>
      <c r="V2444" s="13"/>
      <c r="W2444" s="16"/>
    </row>
    <row r="2445" spans="21:23" ht="16" x14ac:dyDescent="0.2">
      <c r="U2445" s="12"/>
      <c r="V2445" s="13"/>
      <c r="W2445" s="16"/>
    </row>
    <row r="2446" spans="21:23" ht="16" x14ac:dyDescent="0.2">
      <c r="U2446" s="12"/>
      <c r="V2446" s="13"/>
      <c r="W2446" s="16"/>
    </row>
    <row r="2447" spans="21:23" ht="16" x14ac:dyDescent="0.2">
      <c r="U2447" s="12"/>
      <c r="V2447" s="13"/>
      <c r="W2447" s="16"/>
    </row>
    <row r="2448" spans="21:23" ht="16" x14ac:dyDescent="0.2">
      <c r="U2448" s="12"/>
      <c r="V2448" s="13"/>
      <c r="W2448" s="16"/>
    </row>
    <row r="2449" spans="21:23" ht="16" x14ac:dyDescent="0.2">
      <c r="U2449" s="12"/>
      <c r="V2449" s="13"/>
      <c r="W2449" s="16"/>
    </row>
    <row r="2450" spans="21:23" ht="16" x14ac:dyDescent="0.2">
      <c r="U2450" s="12"/>
      <c r="V2450" s="13"/>
      <c r="W2450" s="16"/>
    </row>
    <row r="2451" spans="21:23" ht="16" x14ac:dyDescent="0.2">
      <c r="U2451" s="12"/>
      <c r="V2451" s="13"/>
      <c r="W2451" s="16"/>
    </row>
    <row r="2452" spans="21:23" ht="16" x14ac:dyDescent="0.2">
      <c r="U2452" s="12"/>
      <c r="V2452" s="13"/>
      <c r="W2452" s="16"/>
    </row>
    <row r="2453" spans="21:23" ht="16" x14ac:dyDescent="0.2">
      <c r="U2453" s="12"/>
      <c r="V2453" s="13"/>
      <c r="W2453" s="16"/>
    </row>
    <row r="2454" spans="21:23" ht="16" x14ac:dyDescent="0.2">
      <c r="U2454" s="12"/>
      <c r="V2454" s="13"/>
      <c r="W2454" s="16"/>
    </row>
    <row r="2455" spans="21:23" ht="16" x14ac:dyDescent="0.2">
      <c r="U2455" s="12"/>
      <c r="V2455" s="13"/>
      <c r="W2455" s="16"/>
    </row>
    <row r="2456" spans="21:23" ht="16" x14ac:dyDescent="0.2">
      <c r="U2456" s="12"/>
      <c r="V2456" s="13"/>
      <c r="W2456" s="16"/>
    </row>
    <row r="2457" spans="21:23" ht="16" x14ac:dyDescent="0.2">
      <c r="U2457" s="12"/>
      <c r="V2457" s="13"/>
      <c r="W2457" s="16"/>
    </row>
    <row r="2458" spans="21:23" ht="16" x14ac:dyDescent="0.2">
      <c r="U2458" s="12"/>
      <c r="V2458" s="13"/>
      <c r="W2458" s="16"/>
    </row>
    <row r="2459" spans="21:23" ht="16" x14ac:dyDescent="0.2">
      <c r="U2459" s="12"/>
      <c r="V2459" s="13"/>
      <c r="W2459" s="16"/>
    </row>
    <row r="2460" spans="21:23" ht="16" x14ac:dyDescent="0.2">
      <c r="U2460" s="12"/>
      <c r="V2460" s="13"/>
      <c r="W2460" s="16"/>
    </row>
    <row r="2461" spans="21:23" ht="16" x14ac:dyDescent="0.2">
      <c r="U2461" s="12"/>
      <c r="V2461" s="13"/>
      <c r="W2461" s="16"/>
    </row>
    <row r="2462" spans="21:23" ht="16" x14ac:dyDescent="0.2">
      <c r="U2462" s="12"/>
      <c r="V2462" s="13"/>
      <c r="W2462" s="16"/>
    </row>
    <row r="2463" spans="21:23" ht="16" x14ac:dyDescent="0.2">
      <c r="U2463" s="12"/>
      <c r="V2463" s="13"/>
      <c r="W2463" s="16"/>
    </row>
    <row r="2464" spans="21:23" ht="16" x14ac:dyDescent="0.2">
      <c r="U2464" s="12"/>
      <c r="V2464" s="13"/>
      <c r="W2464" s="16"/>
    </row>
    <row r="2465" spans="21:23" ht="16" x14ac:dyDescent="0.2">
      <c r="U2465" s="12"/>
      <c r="V2465" s="13"/>
      <c r="W2465" s="16"/>
    </row>
    <row r="2466" spans="21:23" ht="16" x14ac:dyDescent="0.2">
      <c r="U2466" s="12"/>
      <c r="V2466" s="13"/>
      <c r="W2466" s="16"/>
    </row>
    <row r="2467" spans="21:23" ht="16" x14ac:dyDescent="0.2">
      <c r="U2467" s="12"/>
      <c r="V2467" s="13"/>
      <c r="W2467" s="16"/>
    </row>
    <row r="2468" spans="21:23" ht="16" x14ac:dyDescent="0.2">
      <c r="U2468" s="12"/>
      <c r="V2468" s="13"/>
      <c r="W2468" s="16"/>
    </row>
    <row r="2469" spans="21:23" ht="16" x14ac:dyDescent="0.2">
      <c r="U2469" s="12"/>
      <c r="V2469" s="13"/>
      <c r="W2469" s="16"/>
    </row>
    <row r="2470" spans="21:23" ht="16" x14ac:dyDescent="0.2">
      <c r="U2470" s="12"/>
      <c r="V2470" s="13"/>
      <c r="W2470" s="16"/>
    </row>
    <row r="2471" spans="21:23" ht="16" x14ac:dyDescent="0.2">
      <c r="U2471" s="12"/>
      <c r="V2471" s="13"/>
      <c r="W2471" s="16"/>
    </row>
    <row r="2472" spans="21:23" ht="16" x14ac:dyDescent="0.2">
      <c r="U2472" s="12"/>
      <c r="V2472" s="13"/>
      <c r="W2472" s="16"/>
    </row>
    <row r="2473" spans="21:23" ht="16" x14ac:dyDescent="0.2">
      <c r="U2473" s="12"/>
      <c r="V2473" s="13"/>
      <c r="W2473" s="16"/>
    </row>
    <row r="2474" spans="21:23" ht="16" x14ac:dyDescent="0.2">
      <c r="U2474" s="12"/>
      <c r="V2474" s="13"/>
      <c r="W2474" s="16"/>
    </row>
    <row r="2475" spans="21:23" ht="16" x14ac:dyDescent="0.2">
      <c r="U2475" s="12"/>
      <c r="V2475" s="13"/>
      <c r="W2475" s="16"/>
    </row>
    <row r="2476" spans="21:23" ht="16" x14ac:dyDescent="0.2">
      <c r="U2476" s="12"/>
      <c r="V2476" s="13"/>
      <c r="W2476" s="16"/>
    </row>
    <row r="2477" spans="21:23" ht="16" x14ac:dyDescent="0.2">
      <c r="U2477" s="12"/>
      <c r="V2477" s="13"/>
      <c r="W2477" s="16"/>
    </row>
    <row r="2478" spans="21:23" ht="16" x14ac:dyDescent="0.2">
      <c r="U2478" s="12"/>
      <c r="V2478" s="13"/>
      <c r="W2478" s="16"/>
    </row>
    <row r="2479" spans="21:23" ht="16" x14ac:dyDescent="0.2">
      <c r="U2479" s="12"/>
      <c r="V2479" s="13"/>
      <c r="W2479" s="16"/>
    </row>
    <row r="2480" spans="21:23" ht="16" x14ac:dyDescent="0.2">
      <c r="U2480" s="12"/>
      <c r="V2480" s="13"/>
      <c r="W2480" s="16"/>
    </row>
    <row r="2481" spans="21:23" ht="16" x14ac:dyDescent="0.2">
      <c r="U2481" s="12"/>
      <c r="V2481" s="13"/>
      <c r="W2481" s="16"/>
    </row>
    <row r="2482" spans="21:23" ht="16" x14ac:dyDescent="0.2">
      <c r="U2482" s="12"/>
      <c r="V2482" s="13"/>
      <c r="W2482" s="16"/>
    </row>
    <row r="2483" spans="21:23" ht="16" x14ac:dyDescent="0.2">
      <c r="U2483" s="12"/>
      <c r="V2483" s="13"/>
      <c r="W2483" s="16"/>
    </row>
    <row r="2484" spans="21:23" ht="16" x14ac:dyDescent="0.2">
      <c r="U2484" s="12"/>
      <c r="V2484" s="13"/>
      <c r="W2484" s="16"/>
    </row>
    <row r="2485" spans="21:23" ht="16" x14ac:dyDescent="0.2">
      <c r="U2485" s="12"/>
      <c r="V2485" s="13"/>
      <c r="W2485" s="16"/>
    </row>
    <row r="2486" spans="21:23" ht="16" x14ac:dyDescent="0.2">
      <c r="U2486" s="12"/>
      <c r="V2486" s="13"/>
      <c r="W2486" s="16"/>
    </row>
    <row r="2487" spans="21:23" ht="16" x14ac:dyDescent="0.2">
      <c r="U2487" s="12"/>
      <c r="V2487" s="13"/>
      <c r="W2487" s="16"/>
    </row>
    <row r="2488" spans="21:23" ht="16" x14ac:dyDescent="0.2">
      <c r="U2488" s="12"/>
      <c r="V2488" s="13"/>
      <c r="W2488" s="16"/>
    </row>
    <row r="2489" spans="21:23" ht="16" x14ac:dyDescent="0.2">
      <c r="U2489" s="12"/>
      <c r="V2489" s="13"/>
      <c r="W2489" s="16"/>
    </row>
    <row r="2490" spans="21:23" ht="16" x14ac:dyDescent="0.2">
      <c r="U2490" s="12"/>
      <c r="V2490" s="13"/>
      <c r="W2490" s="16"/>
    </row>
    <row r="2491" spans="21:23" ht="16" x14ac:dyDescent="0.2">
      <c r="U2491" s="12"/>
      <c r="V2491" s="13"/>
      <c r="W2491" s="16"/>
    </row>
    <row r="2492" spans="21:23" ht="16" x14ac:dyDescent="0.2">
      <c r="U2492" s="12"/>
      <c r="V2492" s="13"/>
      <c r="W2492" s="16"/>
    </row>
    <row r="2493" spans="21:23" ht="16" x14ac:dyDescent="0.2">
      <c r="U2493" s="12"/>
      <c r="V2493" s="13"/>
      <c r="W2493" s="16"/>
    </row>
    <row r="2494" spans="21:23" ht="16" x14ac:dyDescent="0.2">
      <c r="U2494" s="12"/>
      <c r="V2494" s="13"/>
      <c r="W2494" s="16"/>
    </row>
    <row r="2495" spans="21:23" ht="16" x14ac:dyDescent="0.2">
      <c r="U2495" s="12"/>
      <c r="V2495" s="13"/>
      <c r="W2495" s="16"/>
    </row>
    <row r="2496" spans="21:23" ht="16" x14ac:dyDescent="0.2">
      <c r="U2496" s="12"/>
      <c r="V2496" s="13"/>
      <c r="W2496" s="16"/>
    </row>
    <row r="2497" spans="21:23" ht="16" x14ac:dyDescent="0.2">
      <c r="U2497" s="12"/>
      <c r="V2497" s="13"/>
      <c r="W2497" s="16"/>
    </row>
    <row r="2498" spans="21:23" ht="16" x14ac:dyDescent="0.2">
      <c r="U2498" s="12"/>
      <c r="V2498" s="13"/>
      <c r="W2498" s="16"/>
    </row>
    <row r="2499" spans="21:23" ht="16" x14ac:dyDescent="0.2">
      <c r="U2499" s="12"/>
      <c r="V2499" s="13"/>
      <c r="W2499" s="16"/>
    </row>
    <row r="2500" spans="21:23" ht="16" x14ac:dyDescent="0.2">
      <c r="U2500" s="12"/>
      <c r="V2500" s="13"/>
      <c r="W2500" s="16"/>
    </row>
    <row r="2501" spans="21:23" ht="16" x14ac:dyDescent="0.2">
      <c r="U2501" s="12"/>
      <c r="V2501" s="13"/>
      <c r="W2501" s="16"/>
    </row>
    <row r="2502" spans="21:23" ht="16" x14ac:dyDescent="0.2">
      <c r="U2502" s="12"/>
      <c r="V2502" s="13"/>
      <c r="W2502" s="16"/>
    </row>
    <row r="2503" spans="21:23" ht="16" x14ac:dyDescent="0.2">
      <c r="U2503" s="12"/>
      <c r="V2503" s="13"/>
      <c r="W2503" s="16"/>
    </row>
    <row r="2504" spans="21:23" ht="16" x14ac:dyDescent="0.2">
      <c r="U2504" s="12"/>
      <c r="V2504" s="13"/>
      <c r="W2504" s="16"/>
    </row>
    <row r="2505" spans="21:23" ht="16" x14ac:dyDescent="0.2">
      <c r="U2505" s="12"/>
      <c r="V2505" s="13"/>
      <c r="W2505" s="16"/>
    </row>
    <row r="2506" spans="21:23" ht="16" x14ac:dyDescent="0.2">
      <c r="U2506" s="12"/>
      <c r="V2506" s="13"/>
      <c r="W2506" s="16"/>
    </row>
    <row r="2507" spans="21:23" ht="16" x14ac:dyDescent="0.2">
      <c r="U2507" s="12"/>
      <c r="V2507" s="13"/>
      <c r="W2507" s="16"/>
    </row>
    <row r="2508" spans="21:23" ht="16" x14ac:dyDescent="0.2">
      <c r="U2508" s="12"/>
      <c r="V2508" s="13"/>
      <c r="W2508" s="16"/>
    </row>
    <row r="2509" spans="21:23" ht="16" x14ac:dyDescent="0.2">
      <c r="U2509" s="12"/>
      <c r="V2509" s="13"/>
      <c r="W2509" s="16"/>
    </row>
    <row r="2510" spans="21:23" ht="16" x14ac:dyDescent="0.2">
      <c r="U2510" s="12"/>
      <c r="V2510" s="13"/>
      <c r="W2510" s="16"/>
    </row>
    <row r="2511" spans="21:23" ht="16" x14ac:dyDescent="0.2">
      <c r="U2511" s="12"/>
      <c r="V2511" s="13"/>
      <c r="W2511" s="16"/>
    </row>
    <row r="2512" spans="21:23" ht="16" x14ac:dyDescent="0.2">
      <c r="U2512" s="12"/>
      <c r="V2512" s="13"/>
      <c r="W2512" s="16"/>
    </row>
    <row r="2513" spans="21:23" ht="16" x14ac:dyDescent="0.2">
      <c r="U2513" s="12"/>
      <c r="V2513" s="13"/>
      <c r="W2513" s="16"/>
    </row>
    <row r="2514" spans="21:23" ht="16" x14ac:dyDescent="0.2">
      <c r="U2514" s="12"/>
      <c r="V2514" s="13"/>
      <c r="W2514" s="16"/>
    </row>
    <row r="2515" spans="21:23" ht="16" x14ac:dyDescent="0.2">
      <c r="U2515" s="12"/>
      <c r="V2515" s="13"/>
      <c r="W2515" s="16"/>
    </row>
    <row r="2516" spans="21:23" ht="16" x14ac:dyDescent="0.2">
      <c r="U2516" s="12"/>
      <c r="V2516" s="13"/>
      <c r="W2516" s="16"/>
    </row>
    <row r="2517" spans="21:23" ht="16" x14ac:dyDescent="0.2">
      <c r="U2517" s="12"/>
      <c r="V2517" s="13"/>
      <c r="W2517" s="16"/>
    </row>
    <row r="2518" spans="21:23" ht="16" x14ac:dyDescent="0.2">
      <c r="U2518" s="12"/>
      <c r="V2518" s="13"/>
      <c r="W2518" s="16"/>
    </row>
    <row r="2519" spans="21:23" ht="16" x14ac:dyDescent="0.2">
      <c r="U2519" s="12"/>
      <c r="V2519" s="13"/>
      <c r="W2519" s="16"/>
    </row>
    <row r="2520" spans="21:23" ht="16" x14ac:dyDescent="0.2">
      <c r="U2520" s="12"/>
      <c r="V2520" s="13"/>
      <c r="W2520" s="16"/>
    </row>
    <row r="2521" spans="21:23" ht="16" x14ac:dyDescent="0.2">
      <c r="U2521" s="12"/>
      <c r="V2521" s="13"/>
      <c r="W2521" s="16"/>
    </row>
    <row r="2522" spans="21:23" ht="16" x14ac:dyDescent="0.2">
      <c r="U2522" s="12"/>
      <c r="V2522" s="13"/>
      <c r="W2522" s="16"/>
    </row>
    <row r="2523" spans="21:23" ht="16" x14ac:dyDescent="0.2">
      <c r="U2523" s="12"/>
      <c r="V2523" s="13"/>
      <c r="W2523" s="16"/>
    </row>
    <row r="2524" spans="21:23" ht="16" x14ac:dyDescent="0.2">
      <c r="U2524" s="12"/>
      <c r="V2524" s="13"/>
      <c r="W2524" s="16"/>
    </row>
    <row r="2525" spans="21:23" ht="16" x14ac:dyDescent="0.2">
      <c r="U2525" s="12"/>
      <c r="V2525" s="13"/>
      <c r="W2525" s="16"/>
    </row>
    <row r="2526" spans="21:23" ht="16" x14ac:dyDescent="0.2">
      <c r="U2526" s="12"/>
      <c r="V2526" s="13"/>
      <c r="W2526" s="16"/>
    </row>
    <row r="2527" spans="21:23" ht="16" x14ac:dyDescent="0.2">
      <c r="U2527" s="12"/>
      <c r="V2527" s="13"/>
      <c r="W2527" s="16"/>
    </row>
    <row r="2528" spans="21:23" ht="16" x14ac:dyDescent="0.2">
      <c r="U2528" s="12"/>
      <c r="V2528" s="13"/>
      <c r="W2528" s="16"/>
    </row>
    <row r="2529" spans="21:23" ht="16" x14ac:dyDescent="0.2">
      <c r="U2529" s="12"/>
      <c r="V2529" s="13"/>
      <c r="W2529" s="16"/>
    </row>
    <row r="2530" spans="21:23" ht="16" x14ac:dyDescent="0.2">
      <c r="U2530" s="12"/>
      <c r="V2530" s="13"/>
      <c r="W2530" s="16"/>
    </row>
    <row r="2531" spans="21:23" ht="16" x14ac:dyDescent="0.2">
      <c r="U2531" s="12"/>
      <c r="V2531" s="13"/>
      <c r="W2531" s="16"/>
    </row>
    <row r="2532" spans="21:23" ht="16" x14ac:dyDescent="0.2">
      <c r="U2532" s="12"/>
      <c r="V2532" s="13"/>
      <c r="W2532" s="16"/>
    </row>
    <row r="2533" spans="21:23" ht="16" x14ac:dyDescent="0.2">
      <c r="U2533" s="12"/>
      <c r="V2533" s="13"/>
      <c r="W2533" s="16"/>
    </row>
    <row r="2534" spans="21:23" ht="16" x14ac:dyDescent="0.2">
      <c r="U2534" s="12"/>
      <c r="V2534" s="13"/>
      <c r="W2534" s="16"/>
    </row>
    <row r="2535" spans="21:23" ht="16" x14ac:dyDescent="0.2">
      <c r="U2535" s="12"/>
      <c r="V2535" s="13"/>
      <c r="W2535" s="16"/>
    </row>
    <row r="2536" spans="21:23" ht="16" x14ac:dyDescent="0.2">
      <c r="U2536" s="12"/>
      <c r="V2536" s="13"/>
      <c r="W2536" s="16"/>
    </row>
    <row r="2537" spans="21:23" ht="16" x14ac:dyDescent="0.2">
      <c r="U2537" s="12"/>
      <c r="V2537" s="13"/>
      <c r="W2537" s="16"/>
    </row>
    <row r="2538" spans="21:23" ht="16" x14ac:dyDescent="0.2">
      <c r="U2538" s="12"/>
      <c r="V2538" s="13"/>
      <c r="W2538" s="16"/>
    </row>
    <row r="2539" spans="21:23" ht="16" x14ac:dyDescent="0.2">
      <c r="U2539" s="12"/>
      <c r="V2539" s="13"/>
      <c r="W2539" s="16"/>
    </row>
    <row r="2540" spans="21:23" ht="16" x14ac:dyDescent="0.2">
      <c r="U2540" s="12"/>
      <c r="V2540" s="13"/>
      <c r="W2540" s="16"/>
    </row>
    <row r="2541" spans="21:23" ht="16" x14ac:dyDescent="0.2">
      <c r="U2541" s="12"/>
      <c r="V2541" s="13"/>
      <c r="W2541" s="16"/>
    </row>
    <row r="2542" spans="21:23" ht="16" x14ac:dyDescent="0.2">
      <c r="U2542" s="12"/>
      <c r="V2542" s="13"/>
      <c r="W2542" s="16"/>
    </row>
    <row r="2543" spans="21:23" ht="16" x14ac:dyDescent="0.2">
      <c r="U2543" s="12"/>
      <c r="V2543" s="13"/>
      <c r="W2543" s="16"/>
    </row>
    <row r="2544" spans="21:23" ht="16" x14ac:dyDescent="0.2">
      <c r="U2544" s="12"/>
      <c r="V2544" s="13"/>
      <c r="W2544" s="16"/>
    </row>
    <row r="2545" spans="21:23" ht="16" x14ac:dyDescent="0.2">
      <c r="U2545" s="12"/>
      <c r="V2545" s="13"/>
      <c r="W2545" s="16"/>
    </row>
    <row r="2546" spans="21:23" ht="16" x14ac:dyDescent="0.2">
      <c r="U2546" s="12"/>
      <c r="V2546" s="13"/>
      <c r="W2546" s="16"/>
    </row>
    <row r="2547" spans="21:23" ht="16" x14ac:dyDescent="0.2">
      <c r="U2547" s="12"/>
      <c r="V2547" s="13"/>
      <c r="W2547" s="16"/>
    </row>
    <row r="2548" spans="21:23" ht="16" x14ac:dyDescent="0.2">
      <c r="U2548" s="12"/>
      <c r="V2548" s="13"/>
      <c r="W2548" s="16"/>
    </row>
    <row r="2549" spans="21:23" ht="16" x14ac:dyDescent="0.2">
      <c r="U2549" s="12"/>
      <c r="V2549" s="13"/>
      <c r="W2549" s="16"/>
    </row>
    <row r="2550" spans="21:23" ht="16" x14ac:dyDescent="0.2">
      <c r="U2550" s="12"/>
      <c r="V2550" s="13"/>
      <c r="W2550" s="16"/>
    </row>
    <row r="2551" spans="21:23" ht="16" x14ac:dyDescent="0.2">
      <c r="U2551" s="12"/>
      <c r="V2551" s="13"/>
      <c r="W2551" s="16"/>
    </row>
    <row r="2552" spans="21:23" ht="16" x14ac:dyDescent="0.2">
      <c r="U2552" s="12"/>
      <c r="V2552" s="13"/>
      <c r="W2552" s="16"/>
    </row>
    <row r="2553" spans="21:23" ht="16" x14ac:dyDescent="0.2">
      <c r="U2553" s="12"/>
      <c r="V2553" s="13"/>
      <c r="W2553" s="16"/>
    </row>
    <row r="2554" spans="21:23" ht="16" x14ac:dyDescent="0.2">
      <c r="U2554" s="12"/>
      <c r="V2554" s="13"/>
      <c r="W2554" s="16"/>
    </row>
    <row r="2555" spans="21:23" ht="16" x14ac:dyDescent="0.2">
      <c r="U2555" s="12"/>
      <c r="V2555" s="13"/>
      <c r="W2555" s="16"/>
    </row>
    <row r="2556" spans="21:23" ht="16" x14ac:dyDescent="0.2">
      <c r="U2556" s="12"/>
      <c r="V2556" s="13"/>
      <c r="W2556" s="16"/>
    </row>
    <row r="2557" spans="21:23" ht="16" x14ac:dyDescent="0.2">
      <c r="U2557" s="12"/>
      <c r="V2557" s="13"/>
      <c r="W2557" s="16"/>
    </row>
    <row r="2558" spans="21:23" ht="16" x14ac:dyDescent="0.2">
      <c r="U2558" s="12"/>
      <c r="V2558" s="13"/>
      <c r="W2558" s="16"/>
    </row>
    <row r="2559" spans="21:23" ht="16" x14ac:dyDescent="0.2">
      <c r="U2559" s="12"/>
      <c r="V2559" s="13"/>
      <c r="W2559" s="16"/>
    </row>
    <row r="2560" spans="21:23" ht="16" x14ac:dyDescent="0.2">
      <c r="U2560" s="12"/>
      <c r="V2560" s="13"/>
      <c r="W2560" s="16"/>
    </row>
    <row r="2561" spans="21:23" ht="16" x14ac:dyDescent="0.2">
      <c r="U2561" s="12"/>
      <c r="V2561" s="13"/>
      <c r="W2561" s="16"/>
    </row>
    <row r="2562" spans="21:23" ht="16" x14ac:dyDescent="0.2">
      <c r="U2562" s="12"/>
      <c r="V2562" s="13"/>
      <c r="W2562" s="16"/>
    </row>
    <row r="2563" spans="21:23" ht="16" x14ac:dyDescent="0.2">
      <c r="U2563" s="12"/>
      <c r="V2563" s="13"/>
      <c r="W2563" s="16"/>
    </row>
    <row r="2564" spans="21:23" ht="16" x14ac:dyDescent="0.2">
      <c r="U2564" s="12"/>
      <c r="V2564" s="13"/>
      <c r="W2564" s="16"/>
    </row>
    <row r="2565" spans="21:23" ht="16" x14ac:dyDescent="0.2">
      <c r="U2565" s="12"/>
      <c r="V2565" s="13"/>
      <c r="W2565" s="16"/>
    </row>
    <row r="2566" spans="21:23" ht="16" x14ac:dyDescent="0.2">
      <c r="U2566" s="12"/>
      <c r="V2566" s="13"/>
      <c r="W2566" s="16"/>
    </row>
    <row r="2567" spans="21:23" ht="16" x14ac:dyDescent="0.2">
      <c r="U2567" s="12"/>
      <c r="V2567" s="13"/>
      <c r="W2567" s="16"/>
    </row>
    <row r="2568" spans="21:23" ht="16" x14ac:dyDescent="0.2">
      <c r="U2568" s="12"/>
      <c r="V2568" s="13"/>
      <c r="W2568" s="16"/>
    </row>
    <row r="2569" spans="21:23" ht="16" x14ac:dyDescent="0.2">
      <c r="U2569" s="12"/>
      <c r="V2569" s="13"/>
      <c r="W2569" s="16"/>
    </row>
    <row r="2570" spans="21:23" ht="16" x14ac:dyDescent="0.2">
      <c r="U2570" s="12"/>
      <c r="V2570" s="13"/>
      <c r="W2570" s="16"/>
    </row>
    <row r="2571" spans="21:23" ht="16" x14ac:dyDescent="0.2">
      <c r="U2571" s="12"/>
      <c r="V2571" s="13"/>
      <c r="W2571" s="16"/>
    </row>
    <row r="2572" spans="21:23" ht="16" x14ac:dyDescent="0.2">
      <c r="U2572" s="12"/>
      <c r="V2572" s="13"/>
      <c r="W2572" s="16"/>
    </row>
    <row r="2573" spans="21:23" ht="16" x14ac:dyDescent="0.2">
      <c r="U2573" s="12"/>
      <c r="V2573" s="13"/>
      <c r="W2573" s="16"/>
    </row>
    <row r="2574" spans="21:23" ht="16" x14ac:dyDescent="0.2">
      <c r="U2574" s="12"/>
      <c r="V2574" s="13"/>
      <c r="W2574" s="16"/>
    </row>
    <row r="2575" spans="21:23" ht="16" x14ac:dyDescent="0.2">
      <c r="U2575" s="12"/>
      <c r="V2575" s="13"/>
      <c r="W2575" s="16"/>
    </row>
    <row r="2576" spans="21:23" ht="16" x14ac:dyDescent="0.2">
      <c r="U2576" s="12"/>
      <c r="V2576" s="13"/>
      <c r="W2576" s="16"/>
    </row>
    <row r="2577" spans="21:23" ht="16" x14ac:dyDescent="0.2">
      <c r="U2577" s="12"/>
      <c r="V2577" s="13"/>
      <c r="W2577" s="16"/>
    </row>
    <row r="2578" spans="21:23" ht="16" x14ac:dyDescent="0.2">
      <c r="U2578" s="12"/>
      <c r="V2578" s="13"/>
      <c r="W2578" s="16"/>
    </row>
    <row r="2579" spans="21:23" ht="16" x14ac:dyDescent="0.2">
      <c r="U2579" s="12"/>
      <c r="V2579" s="13"/>
      <c r="W2579" s="16"/>
    </row>
    <row r="2580" spans="21:23" ht="16" x14ac:dyDescent="0.2">
      <c r="U2580" s="12"/>
      <c r="V2580" s="13"/>
      <c r="W2580" s="16"/>
    </row>
    <row r="2581" spans="21:23" ht="16" x14ac:dyDescent="0.2">
      <c r="U2581" s="12"/>
      <c r="V2581" s="13"/>
      <c r="W2581" s="16"/>
    </row>
    <row r="2582" spans="21:23" ht="16" x14ac:dyDescent="0.2">
      <c r="U2582" s="12"/>
      <c r="V2582" s="13"/>
      <c r="W2582" s="16"/>
    </row>
    <row r="2583" spans="21:23" ht="16" x14ac:dyDescent="0.2">
      <c r="U2583" s="12"/>
      <c r="V2583" s="13"/>
      <c r="W2583" s="16"/>
    </row>
    <row r="2584" spans="21:23" ht="16" x14ac:dyDescent="0.2">
      <c r="U2584" s="12"/>
      <c r="V2584" s="13"/>
      <c r="W2584" s="16"/>
    </row>
    <row r="2585" spans="21:23" ht="16" x14ac:dyDescent="0.2">
      <c r="U2585" s="12"/>
      <c r="V2585" s="13"/>
      <c r="W2585" s="16"/>
    </row>
    <row r="2586" spans="21:23" ht="16" x14ac:dyDescent="0.2">
      <c r="U2586" s="12"/>
      <c r="V2586" s="13"/>
      <c r="W2586" s="16"/>
    </row>
    <row r="2587" spans="21:23" ht="16" x14ac:dyDescent="0.2">
      <c r="U2587" s="12"/>
      <c r="V2587" s="13"/>
      <c r="W2587" s="16"/>
    </row>
    <row r="2588" spans="21:23" ht="16" x14ac:dyDescent="0.2">
      <c r="U2588" s="12"/>
      <c r="V2588" s="13"/>
      <c r="W2588" s="16"/>
    </row>
    <row r="2589" spans="21:23" ht="16" x14ac:dyDescent="0.2">
      <c r="U2589" s="12"/>
      <c r="V2589" s="13"/>
      <c r="W2589" s="16"/>
    </row>
    <row r="2590" spans="21:23" ht="16" x14ac:dyDescent="0.2">
      <c r="U2590" s="12"/>
      <c r="V2590" s="13"/>
      <c r="W2590" s="16"/>
    </row>
    <row r="2591" spans="21:23" ht="16" x14ac:dyDescent="0.2">
      <c r="U2591" s="12"/>
      <c r="V2591" s="13"/>
      <c r="W2591" s="16"/>
    </row>
    <row r="2592" spans="21:23" ht="16" x14ac:dyDescent="0.2">
      <c r="U2592" s="12"/>
      <c r="V2592" s="13"/>
      <c r="W2592" s="16"/>
    </row>
    <row r="2593" spans="21:23" ht="16" x14ac:dyDescent="0.2">
      <c r="U2593" s="12"/>
      <c r="V2593" s="13"/>
      <c r="W2593" s="16"/>
    </row>
    <row r="2594" spans="21:23" ht="16" x14ac:dyDescent="0.2">
      <c r="U2594" s="12"/>
      <c r="V2594" s="13"/>
      <c r="W2594" s="16"/>
    </row>
    <row r="2595" spans="21:23" ht="16" x14ac:dyDescent="0.2">
      <c r="U2595" s="12"/>
      <c r="V2595" s="13"/>
      <c r="W2595" s="16"/>
    </row>
    <row r="2596" spans="21:23" ht="16" x14ac:dyDescent="0.2">
      <c r="U2596" s="12"/>
      <c r="V2596" s="13"/>
      <c r="W2596" s="16"/>
    </row>
    <row r="2597" spans="21:23" ht="16" x14ac:dyDescent="0.2">
      <c r="U2597" s="12"/>
      <c r="V2597" s="13"/>
      <c r="W2597" s="16"/>
    </row>
    <row r="2598" spans="21:23" ht="16" x14ac:dyDescent="0.2">
      <c r="U2598" s="12"/>
      <c r="V2598" s="13"/>
      <c r="W2598" s="16"/>
    </row>
    <row r="2599" spans="21:23" ht="16" x14ac:dyDescent="0.2">
      <c r="U2599" s="12"/>
      <c r="V2599" s="13"/>
      <c r="W2599" s="16"/>
    </row>
    <row r="2600" spans="21:23" ht="16" x14ac:dyDescent="0.2">
      <c r="U2600" s="12"/>
      <c r="V2600" s="13"/>
      <c r="W2600" s="16"/>
    </row>
    <row r="2601" spans="21:23" ht="16" x14ac:dyDescent="0.2">
      <c r="U2601" s="12"/>
      <c r="V2601" s="13"/>
      <c r="W2601" s="16"/>
    </row>
    <row r="2602" spans="21:23" ht="16" x14ac:dyDescent="0.2">
      <c r="U2602" s="12"/>
      <c r="V2602" s="13"/>
      <c r="W2602" s="16"/>
    </row>
    <row r="2603" spans="21:23" ht="16" x14ac:dyDescent="0.2">
      <c r="U2603" s="12"/>
      <c r="V2603" s="13"/>
      <c r="W2603" s="16"/>
    </row>
    <row r="2604" spans="21:23" ht="16" x14ac:dyDescent="0.2">
      <c r="U2604" s="12"/>
      <c r="V2604" s="13"/>
      <c r="W2604" s="16"/>
    </row>
    <row r="2605" spans="21:23" ht="16" x14ac:dyDescent="0.2">
      <c r="U2605" s="12"/>
      <c r="V2605" s="13"/>
      <c r="W2605" s="16"/>
    </row>
    <row r="2606" spans="21:23" ht="16" x14ac:dyDescent="0.2">
      <c r="U2606" s="12"/>
      <c r="V2606" s="13"/>
      <c r="W2606" s="16"/>
    </row>
    <row r="2607" spans="21:23" ht="16" x14ac:dyDescent="0.2">
      <c r="U2607" s="12"/>
      <c r="V2607" s="13"/>
      <c r="W2607" s="16"/>
    </row>
    <row r="2608" spans="21:23" ht="16" x14ac:dyDescent="0.2">
      <c r="U2608" s="12"/>
      <c r="V2608" s="13"/>
      <c r="W2608" s="16"/>
    </row>
    <row r="2609" spans="21:23" ht="16" x14ac:dyDescent="0.2">
      <c r="U2609" s="12"/>
      <c r="V2609" s="13"/>
      <c r="W2609" s="16"/>
    </row>
    <row r="2610" spans="21:23" ht="16" x14ac:dyDescent="0.2">
      <c r="U2610" s="12"/>
      <c r="V2610" s="13"/>
      <c r="W2610" s="16"/>
    </row>
    <row r="2611" spans="21:23" ht="16" x14ac:dyDescent="0.2">
      <c r="U2611" s="12"/>
      <c r="V2611" s="13"/>
      <c r="W2611" s="16"/>
    </row>
    <row r="2612" spans="21:23" ht="16" x14ac:dyDescent="0.2">
      <c r="U2612" s="12"/>
      <c r="V2612" s="13"/>
      <c r="W2612" s="16"/>
    </row>
    <row r="2613" spans="21:23" ht="16" x14ac:dyDescent="0.2">
      <c r="U2613" s="12"/>
      <c r="V2613" s="13"/>
      <c r="W2613" s="16"/>
    </row>
    <row r="2614" spans="21:23" ht="16" x14ac:dyDescent="0.2">
      <c r="U2614" s="12"/>
      <c r="V2614" s="13"/>
      <c r="W2614" s="16"/>
    </row>
    <row r="2615" spans="21:23" ht="16" x14ac:dyDescent="0.2">
      <c r="U2615" s="12"/>
      <c r="V2615" s="13"/>
      <c r="W2615" s="16"/>
    </row>
    <row r="2616" spans="21:23" ht="16" x14ac:dyDescent="0.2">
      <c r="U2616" s="12"/>
      <c r="V2616" s="13"/>
      <c r="W2616" s="16"/>
    </row>
    <row r="2617" spans="21:23" ht="16" x14ac:dyDescent="0.2">
      <c r="U2617" s="12"/>
      <c r="V2617" s="13"/>
      <c r="W2617" s="16"/>
    </row>
    <row r="2618" spans="21:23" ht="16" x14ac:dyDescent="0.2">
      <c r="U2618" s="12"/>
      <c r="V2618" s="13"/>
      <c r="W2618" s="16"/>
    </row>
    <row r="2619" spans="21:23" ht="16" x14ac:dyDescent="0.2">
      <c r="U2619" s="12"/>
      <c r="V2619" s="13"/>
      <c r="W2619" s="16"/>
    </row>
    <row r="2620" spans="21:23" ht="16" x14ac:dyDescent="0.2">
      <c r="U2620" s="12"/>
      <c r="V2620" s="13"/>
      <c r="W2620" s="16"/>
    </row>
    <row r="2621" spans="21:23" ht="16" x14ac:dyDescent="0.2">
      <c r="U2621" s="12"/>
      <c r="V2621" s="13"/>
      <c r="W2621" s="16"/>
    </row>
    <row r="2622" spans="21:23" ht="16" x14ac:dyDescent="0.2">
      <c r="U2622" s="12"/>
      <c r="V2622" s="13"/>
      <c r="W2622" s="16"/>
    </row>
    <row r="2623" spans="21:23" ht="16" x14ac:dyDescent="0.2">
      <c r="U2623" s="12"/>
      <c r="V2623" s="13"/>
      <c r="W2623" s="16"/>
    </row>
    <row r="2624" spans="21:23" ht="16" x14ac:dyDescent="0.2">
      <c r="U2624" s="12"/>
      <c r="V2624" s="13"/>
      <c r="W2624" s="16"/>
    </row>
    <row r="2625" spans="21:23" ht="16" x14ac:dyDescent="0.2">
      <c r="U2625" s="12"/>
      <c r="V2625" s="13"/>
      <c r="W2625" s="16"/>
    </row>
    <row r="2626" spans="21:23" ht="16" x14ac:dyDescent="0.2">
      <c r="U2626" s="12"/>
      <c r="V2626" s="13"/>
      <c r="W2626" s="16"/>
    </row>
    <row r="2627" spans="21:23" ht="16" x14ac:dyDescent="0.2">
      <c r="U2627" s="12"/>
      <c r="V2627" s="13"/>
      <c r="W2627" s="16"/>
    </row>
    <row r="2628" spans="21:23" ht="16" x14ac:dyDescent="0.2">
      <c r="U2628" s="12"/>
      <c r="V2628" s="13"/>
      <c r="W2628" s="16"/>
    </row>
    <row r="2629" spans="21:23" ht="16" x14ac:dyDescent="0.2">
      <c r="U2629" s="12"/>
      <c r="V2629" s="13"/>
      <c r="W2629" s="16"/>
    </row>
    <row r="2630" spans="21:23" ht="16" x14ac:dyDescent="0.2">
      <c r="U2630" s="12"/>
      <c r="V2630" s="13"/>
      <c r="W2630" s="16"/>
    </row>
    <row r="2631" spans="21:23" ht="16" x14ac:dyDescent="0.2">
      <c r="U2631" s="12"/>
      <c r="V2631" s="13"/>
      <c r="W2631" s="16"/>
    </row>
    <row r="2632" spans="21:23" ht="16" x14ac:dyDescent="0.2">
      <c r="U2632" s="12"/>
      <c r="V2632" s="13"/>
      <c r="W2632" s="16"/>
    </row>
    <row r="2633" spans="21:23" ht="16" x14ac:dyDescent="0.2">
      <c r="U2633" s="12"/>
      <c r="V2633" s="13"/>
      <c r="W2633" s="16"/>
    </row>
    <row r="2634" spans="21:23" ht="16" x14ac:dyDescent="0.2">
      <c r="U2634" s="12"/>
      <c r="V2634" s="13"/>
      <c r="W2634" s="16"/>
    </row>
    <row r="2635" spans="21:23" ht="16" x14ac:dyDescent="0.2">
      <c r="U2635" s="12"/>
      <c r="V2635" s="13"/>
      <c r="W2635" s="16"/>
    </row>
    <row r="2636" spans="21:23" ht="16" x14ac:dyDescent="0.2">
      <c r="U2636" s="12"/>
      <c r="V2636" s="13"/>
      <c r="W2636" s="16"/>
    </row>
    <row r="2637" spans="21:23" ht="16" x14ac:dyDescent="0.2">
      <c r="U2637" s="12"/>
      <c r="V2637" s="13"/>
      <c r="W2637" s="16"/>
    </row>
    <row r="2638" spans="21:23" ht="16" x14ac:dyDescent="0.2">
      <c r="U2638" s="12"/>
      <c r="V2638" s="13"/>
      <c r="W2638" s="16"/>
    </row>
    <row r="2639" spans="21:23" ht="16" x14ac:dyDescent="0.2">
      <c r="U2639" s="12"/>
      <c r="V2639" s="13"/>
      <c r="W2639" s="16"/>
    </row>
    <row r="2640" spans="21:23" ht="16" x14ac:dyDescent="0.2">
      <c r="U2640" s="12"/>
      <c r="V2640" s="13"/>
      <c r="W2640" s="16"/>
    </row>
    <row r="2641" spans="21:23" ht="16" x14ac:dyDescent="0.2">
      <c r="U2641" s="12"/>
      <c r="V2641" s="13"/>
      <c r="W2641" s="16"/>
    </row>
    <row r="2642" spans="21:23" ht="16" x14ac:dyDescent="0.2">
      <c r="U2642" s="12"/>
      <c r="V2642" s="13"/>
      <c r="W2642" s="16"/>
    </row>
    <row r="2643" spans="21:23" ht="16" x14ac:dyDescent="0.2">
      <c r="U2643" s="12"/>
      <c r="V2643" s="13"/>
      <c r="W2643" s="16"/>
    </row>
    <row r="2644" spans="21:23" ht="16" x14ac:dyDescent="0.2">
      <c r="U2644" s="12"/>
      <c r="V2644" s="13"/>
      <c r="W2644" s="16"/>
    </row>
    <row r="2645" spans="21:23" ht="16" x14ac:dyDescent="0.2">
      <c r="U2645" s="12"/>
      <c r="V2645" s="13"/>
      <c r="W2645" s="16"/>
    </row>
    <row r="2646" spans="21:23" ht="16" x14ac:dyDescent="0.2">
      <c r="U2646" s="12"/>
      <c r="V2646" s="13"/>
      <c r="W2646" s="16"/>
    </row>
    <row r="2647" spans="21:23" ht="16" x14ac:dyDescent="0.2">
      <c r="U2647" s="12"/>
      <c r="V2647" s="13"/>
      <c r="W2647" s="16"/>
    </row>
    <row r="2648" spans="21:23" ht="16" x14ac:dyDescent="0.2">
      <c r="U2648" s="12"/>
      <c r="V2648" s="13"/>
      <c r="W2648" s="16"/>
    </row>
    <row r="2649" spans="21:23" ht="16" x14ac:dyDescent="0.2">
      <c r="U2649" s="12"/>
      <c r="V2649" s="13"/>
      <c r="W2649" s="16"/>
    </row>
    <row r="2650" spans="21:23" ht="16" x14ac:dyDescent="0.2">
      <c r="U2650" s="12"/>
      <c r="V2650" s="13"/>
      <c r="W2650" s="16"/>
    </row>
    <row r="2651" spans="21:23" ht="16" x14ac:dyDescent="0.2">
      <c r="U2651" s="12"/>
      <c r="V2651" s="13"/>
      <c r="W2651" s="16"/>
    </row>
    <row r="2652" spans="21:23" ht="16" x14ac:dyDescent="0.2">
      <c r="U2652" s="12"/>
      <c r="V2652" s="13"/>
      <c r="W2652" s="16"/>
    </row>
    <row r="2653" spans="21:23" ht="16" x14ac:dyDescent="0.2">
      <c r="U2653" s="12"/>
      <c r="V2653" s="13"/>
      <c r="W2653" s="16"/>
    </row>
    <row r="2654" spans="21:23" ht="16" x14ac:dyDescent="0.2">
      <c r="U2654" s="12"/>
      <c r="V2654" s="13"/>
      <c r="W2654" s="16"/>
    </row>
    <row r="2655" spans="21:23" ht="16" x14ac:dyDescent="0.2">
      <c r="U2655" s="12"/>
      <c r="V2655" s="13"/>
      <c r="W2655" s="16"/>
    </row>
    <row r="2656" spans="21:23" ht="16" x14ac:dyDescent="0.2">
      <c r="U2656" s="12"/>
      <c r="V2656" s="13"/>
      <c r="W2656" s="16"/>
    </row>
    <row r="2657" spans="21:23" ht="16" x14ac:dyDescent="0.2">
      <c r="U2657" s="12"/>
      <c r="V2657" s="13"/>
      <c r="W2657" s="16"/>
    </row>
    <row r="2658" spans="21:23" ht="16" x14ac:dyDescent="0.2">
      <c r="U2658" s="12"/>
      <c r="V2658" s="13"/>
      <c r="W2658" s="16"/>
    </row>
    <row r="2659" spans="21:23" ht="16" x14ac:dyDescent="0.2">
      <c r="U2659" s="12"/>
      <c r="V2659" s="13"/>
      <c r="W2659" s="16"/>
    </row>
    <row r="2660" spans="21:23" ht="16" x14ac:dyDescent="0.2">
      <c r="U2660" s="12"/>
      <c r="V2660" s="13"/>
      <c r="W2660" s="16"/>
    </row>
    <row r="2661" spans="21:23" ht="16" x14ac:dyDescent="0.2">
      <c r="U2661" s="12"/>
      <c r="V2661" s="13"/>
      <c r="W2661" s="16"/>
    </row>
    <row r="2662" spans="21:23" ht="16" x14ac:dyDescent="0.2">
      <c r="U2662" s="12"/>
      <c r="V2662" s="13"/>
      <c r="W2662" s="16"/>
    </row>
    <row r="2663" spans="21:23" ht="16" x14ac:dyDescent="0.2">
      <c r="U2663" s="12"/>
      <c r="V2663" s="13"/>
      <c r="W2663" s="16"/>
    </row>
    <row r="2664" spans="21:23" ht="16" x14ac:dyDescent="0.2">
      <c r="U2664" s="12"/>
      <c r="V2664" s="13"/>
      <c r="W2664" s="16"/>
    </row>
    <row r="2665" spans="21:23" ht="16" x14ac:dyDescent="0.2">
      <c r="U2665" s="12"/>
      <c r="V2665" s="13"/>
      <c r="W2665" s="16"/>
    </row>
    <row r="2666" spans="21:23" ht="16" x14ac:dyDescent="0.2">
      <c r="U2666" s="12"/>
      <c r="V2666" s="13"/>
      <c r="W2666" s="16"/>
    </row>
    <row r="2667" spans="21:23" ht="16" x14ac:dyDescent="0.2">
      <c r="U2667" s="12"/>
      <c r="V2667" s="13"/>
      <c r="W2667" s="16"/>
    </row>
    <row r="2668" spans="21:23" ht="16" x14ac:dyDescent="0.2">
      <c r="U2668" s="12"/>
      <c r="V2668" s="13"/>
      <c r="W2668" s="16"/>
    </row>
    <row r="2669" spans="21:23" ht="16" x14ac:dyDescent="0.2">
      <c r="U2669" s="12"/>
      <c r="V2669" s="13"/>
      <c r="W2669" s="16"/>
    </row>
    <row r="2670" spans="21:23" ht="16" x14ac:dyDescent="0.2">
      <c r="U2670" s="12"/>
      <c r="V2670" s="13"/>
      <c r="W2670" s="16"/>
    </row>
    <row r="2671" spans="21:23" ht="16" x14ac:dyDescent="0.2">
      <c r="U2671" s="12"/>
      <c r="V2671" s="13"/>
      <c r="W2671" s="16"/>
    </row>
    <row r="2672" spans="21:23" ht="16" x14ac:dyDescent="0.2">
      <c r="U2672" s="12"/>
      <c r="V2672" s="13"/>
      <c r="W2672" s="16"/>
    </row>
    <row r="2673" spans="21:23" ht="16" x14ac:dyDescent="0.2">
      <c r="U2673" s="12"/>
      <c r="V2673" s="13"/>
      <c r="W2673" s="16"/>
    </row>
    <row r="2674" spans="21:23" ht="16" x14ac:dyDescent="0.2">
      <c r="U2674" s="12"/>
      <c r="V2674" s="13"/>
      <c r="W2674" s="16"/>
    </row>
    <row r="2675" spans="21:23" ht="16" x14ac:dyDescent="0.2">
      <c r="U2675" s="12"/>
      <c r="V2675" s="13"/>
      <c r="W2675" s="16"/>
    </row>
    <row r="2676" spans="21:23" ht="16" x14ac:dyDescent="0.2">
      <c r="U2676" s="12"/>
      <c r="V2676" s="13"/>
      <c r="W2676" s="16"/>
    </row>
    <row r="2677" spans="21:23" ht="16" x14ac:dyDescent="0.2">
      <c r="U2677" s="12"/>
      <c r="V2677" s="13"/>
      <c r="W2677" s="16"/>
    </row>
    <row r="2678" spans="21:23" ht="16" x14ac:dyDescent="0.2">
      <c r="U2678" s="12"/>
      <c r="V2678" s="13"/>
      <c r="W2678" s="16"/>
    </row>
    <row r="2679" spans="21:23" ht="16" x14ac:dyDescent="0.2">
      <c r="U2679" s="12"/>
      <c r="V2679" s="13"/>
      <c r="W2679" s="16"/>
    </row>
    <row r="2680" spans="21:23" ht="16" x14ac:dyDescent="0.2">
      <c r="U2680" s="12"/>
      <c r="V2680" s="13"/>
      <c r="W2680" s="16"/>
    </row>
    <row r="2681" spans="21:23" ht="16" x14ac:dyDescent="0.2">
      <c r="U2681" s="12"/>
      <c r="V2681" s="13"/>
      <c r="W2681" s="16"/>
    </row>
    <row r="2682" spans="21:23" ht="16" x14ac:dyDescent="0.2">
      <c r="U2682" s="12"/>
      <c r="V2682" s="13"/>
      <c r="W2682" s="16"/>
    </row>
    <row r="2683" spans="21:23" ht="16" x14ac:dyDescent="0.2">
      <c r="U2683" s="12"/>
      <c r="V2683" s="13"/>
      <c r="W2683" s="16"/>
    </row>
    <row r="2684" spans="21:23" ht="16" x14ac:dyDescent="0.2">
      <c r="U2684" s="12"/>
      <c r="V2684" s="13"/>
      <c r="W2684" s="16"/>
    </row>
    <row r="2685" spans="21:23" ht="16" x14ac:dyDescent="0.2">
      <c r="U2685" s="12"/>
      <c r="V2685" s="13"/>
      <c r="W2685" s="16"/>
    </row>
    <row r="2686" spans="21:23" ht="16" x14ac:dyDescent="0.2">
      <c r="U2686" s="12"/>
      <c r="V2686" s="13"/>
      <c r="W2686" s="16"/>
    </row>
    <row r="2687" spans="21:23" ht="16" x14ac:dyDescent="0.2">
      <c r="U2687" s="12"/>
      <c r="V2687" s="13"/>
      <c r="W2687" s="16"/>
    </row>
    <row r="2688" spans="21:23" ht="16" x14ac:dyDescent="0.2">
      <c r="U2688" s="12"/>
      <c r="V2688" s="13"/>
      <c r="W2688" s="16"/>
    </row>
    <row r="2689" spans="21:23" ht="16" x14ac:dyDescent="0.2">
      <c r="U2689" s="12"/>
      <c r="V2689" s="13"/>
      <c r="W2689" s="16"/>
    </row>
    <row r="2690" spans="21:23" ht="16" x14ac:dyDescent="0.2">
      <c r="U2690" s="12"/>
      <c r="V2690" s="13"/>
      <c r="W2690" s="16"/>
    </row>
    <row r="2691" spans="21:23" ht="16" x14ac:dyDescent="0.2">
      <c r="U2691" s="12"/>
      <c r="V2691" s="13"/>
      <c r="W2691" s="16"/>
    </row>
    <row r="2692" spans="21:23" ht="16" x14ac:dyDescent="0.2">
      <c r="U2692" s="12"/>
      <c r="V2692" s="13"/>
      <c r="W2692" s="16"/>
    </row>
    <row r="2693" spans="21:23" ht="16" x14ac:dyDescent="0.2">
      <c r="U2693" s="12"/>
      <c r="V2693" s="13"/>
      <c r="W2693" s="16"/>
    </row>
    <row r="2694" spans="21:23" ht="16" x14ac:dyDescent="0.2">
      <c r="U2694" s="12"/>
      <c r="V2694" s="13"/>
      <c r="W2694" s="16"/>
    </row>
    <row r="2695" spans="21:23" ht="16" x14ac:dyDescent="0.2">
      <c r="U2695" s="12"/>
      <c r="V2695" s="13"/>
      <c r="W2695" s="16"/>
    </row>
    <row r="2696" spans="21:23" ht="16" x14ac:dyDescent="0.2">
      <c r="U2696" s="12"/>
      <c r="V2696" s="13"/>
      <c r="W2696" s="16"/>
    </row>
    <row r="2697" spans="21:23" ht="16" x14ac:dyDescent="0.2">
      <c r="U2697" s="12"/>
      <c r="V2697" s="13"/>
      <c r="W2697" s="16"/>
    </row>
    <row r="2698" spans="21:23" ht="16" x14ac:dyDescent="0.2">
      <c r="U2698" s="12"/>
      <c r="V2698" s="13"/>
      <c r="W2698" s="16"/>
    </row>
    <row r="2699" spans="21:23" ht="16" x14ac:dyDescent="0.2">
      <c r="U2699" s="12"/>
      <c r="V2699" s="13"/>
      <c r="W2699" s="16"/>
    </row>
    <row r="2700" spans="21:23" ht="16" x14ac:dyDescent="0.2">
      <c r="U2700" s="12"/>
      <c r="V2700" s="13"/>
      <c r="W2700" s="16"/>
    </row>
    <row r="2701" spans="21:23" ht="16" x14ac:dyDescent="0.2">
      <c r="U2701" s="12"/>
      <c r="V2701" s="13"/>
      <c r="W2701" s="16"/>
    </row>
    <row r="2702" spans="21:23" ht="16" x14ac:dyDescent="0.2">
      <c r="U2702" s="12"/>
      <c r="V2702" s="13"/>
      <c r="W2702" s="16"/>
    </row>
    <row r="2703" spans="21:23" ht="16" x14ac:dyDescent="0.2">
      <c r="U2703" s="12"/>
      <c r="V2703" s="13"/>
      <c r="W2703" s="16"/>
    </row>
    <row r="2704" spans="21:23" ht="16" x14ac:dyDescent="0.2">
      <c r="U2704" s="12"/>
      <c r="V2704" s="13"/>
      <c r="W2704" s="16"/>
    </row>
    <row r="2705" spans="21:23" ht="16" x14ac:dyDescent="0.2">
      <c r="U2705" s="12"/>
      <c r="V2705" s="13"/>
      <c r="W2705" s="16"/>
    </row>
    <row r="2706" spans="21:23" ht="16" x14ac:dyDescent="0.2">
      <c r="U2706" s="12"/>
      <c r="V2706" s="13"/>
      <c r="W2706" s="16"/>
    </row>
    <row r="2707" spans="21:23" ht="16" x14ac:dyDescent="0.2">
      <c r="U2707" s="12"/>
      <c r="V2707" s="13"/>
      <c r="W2707" s="16"/>
    </row>
    <row r="2708" spans="21:23" ht="16" x14ac:dyDescent="0.2">
      <c r="U2708" s="12"/>
      <c r="V2708" s="13"/>
      <c r="W2708" s="16"/>
    </row>
    <row r="2709" spans="21:23" ht="16" x14ac:dyDescent="0.2">
      <c r="U2709" s="12"/>
      <c r="V2709" s="13"/>
      <c r="W2709" s="16"/>
    </row>
    <row r="2710" spans="21:23" ht="16" x14ac:dyDescent="0.2">
      <c r="U2710" s="12"/>
      <c r="V2710" s="13"/>
      <c r="W2710" s="16"/>
    </row>
    <row r="2711" spans="21:23" ht="16" x14ac:dyDescent="0.2">
      <c r="U2711" s="12"/>
      <c r="V2711" s="13"/>
      <c r="W2711" s="16"/>
    </row>
    <row r="2712" spans="21:23" ht="16" x14ac:dyDescent="0.2">
      <c r="U2712" s="12"/>
      <c r="V2712" s="13"/>
      <c r="W2712" s="16"/>
    </row>
    <row r="2713" spans="21:23" ht="16" x14ac:dyDescent="0.2">
      <c r="U2713" s="12"/>
      <c r="V2713" s="13"/>
      <c r="W2713" s="16"/>
    </row>
    <row r="2714" spans="21:23" ht="16" x14ac:dyDescent="0.2">
      <c r="U2714" s="12"/>
      <c r="V2714" s="13"/>
      <c r="W2714" s="16"/>
    </row>
    <row r="2715" spans="21:23" ht="16" x14ac:dyDescent="0.2">
      <c r="U2715" s="12"/>
      <c r="V2715" s="13"/>
      <c r="W2715" s="16"/>
    </row>
    <row r="2716" spans="21:23" ht="16" x14ac:dyDescent="0.2">
      <c r="U2716" s="12"/>
      <c r="V2716" s="13"/>
      <c r="W2716" s="16"/>
    </row>
    <row r="2717" spans="21:23" ht="16" x14ac:dyDescent="0.2">
      <c r="U2717" s="12"/>
      <c r="V2717" s="13"/>
      <c r="W2717" s="16"/>
    </row>
    <row r="2718" spans="21:23" ht="16" x14ac:dyDescent="0.2">
      <c r="U2718" s="12"/>
      <c r="V2718" s="13"/>
      <c r="W2718" s="16"/>
    </row>
    <row r="2719" spans="21:23" ht="16" x14ac:dyDescent="0.2">
      <c r="U2719" s="12"/>
      <c r="V2719" s="13"/>
      <c r="W2719" s="16"/>
    </row>
    <row r="2720" spans="21:23" ht="16" x14ac:dyDescent="0.2">
      <c r="U2720" s="12"/>
      <c r="V2720" s="13"/>
      <c r="W2720" s="16"/>
    </row>
    <row r="2721" spans="21:23" ht="16" x14ac:dyDescent="0.2">
      <c r="U2721" s="12"/>
      <c r="V2721" s="13"/>
      <c r="W2721" s="16"/>
    </row>
    <row r="2722" spans="21:23" ht="16" x14ac:dyDescent="0.2">
      <c r="U2722" s="12"/>
      <c r="V2722" s="13"/>
      <c r="W2722" s="16"/>
    </row>
    <row r="2723" spans="21:23" ht="16" x14ac:dyDescent="0.2">
      <c r="U2723" s="12"/>
      <c r="V2723" s="13"/>
      <c r="W2723" s="16"/>
    </row>
    <row r="2724" spans="21:23" ht="16" x14ac:dyDescent="0.2">
      <c r="U2724" s="12"/>
      <c r="V2724" s="13"/>
      <c r="W2724" s="16"/>
    </row>
    <row r="2725" spans="21:23" ht="16" x14ac:dyDescent="0.2">
      <c r="U2725" s="12"/>
      <c r="V2725" s="13"/>
      <c r="W2725" s="16"/>
    </row>
    <row r="2726" spans="21:23" ht="16" x14ac:dyDescent="0.2">
      <c r="U2726" s="12"/>
      <c r="V2726" s="13"/>
      <c r="W2726" s="16"/>
    </row>
    <row r="2727" spans="21:23" ht="16" x14ac:dyDescent="0.2">
      <c r="U2727" s="12"/>
      <c r="V2727" s="13"/>
      <c r="W2727" s="16"/>
    </row>
    <row r="2728" spans="21:23" ht="16" x14ac:dyDescent="0.2">
      <c r="U2728" s="12"/>
      <c r="V2728" s="13"/>
      <c r="W2728" s="16"/>
    </row>
    <row r="2729" spans="21:23" ht="16" x14ac:dyDescent="0.2">
      <c r="U2729" s="12"/>
      <c r="V2729" s="13"/>
      <c r="W2729" s="16"/>
    </row>
    <row r="2730" spans="21:23" ht="16" x14ac:dyDescent="0.2">
      <c r="U2730" s="12"/>
      <c r="V2730" s="13"/>
      <c r="W2730" s="16"/>
    </row>
    <row r="2731" spans="21:23" ht="16" x14ac:dyDescent="0.2">
      <c r="U2731" s="12"/>
      <c r="V2731" s="13"/>
      <c r="W2731" s="16"/>
    </row>
    <row r="2732" spans="21:23" ht="16" x14ac:dyDescent="0.2">
      <c r="U2732" s="12"/>
      <c r="V2732" s="13"/>
      <c r="W2732" s="16"/>
    </row>
    <row r="2733" spans="21:23" ht="16" x14ac:dyDescent="0.2">
      <c r="U2733" s="12"/>
      <c r="V2733" s="13"/>
      <c r="W2733" s="16"/>
    </row>
    <row r="2734" spans="21:23" ht="16" x14ac:dyDescent="0.2">
      <c r="U2734" s="12"/>
      <c r="V2734" s="13"/>
      <c r="W2734" s="16"/>
    </row>
    <row r="2735" spans="21:23" ht="16" x14ac:dyDescent="0.2">
      <c r="U2735" s="12"/>
      <c r="V2735" s="13"/>
      <c r="W2735" s="16"/>
    </row>
    <row r="2736" spans="21:23" ht="16" x14ac:dyDescent="0.2">
      <c r="U2736" s="12"/>
      <c r="V2736" s="13"/>
      <c r="W2736" s="16"/>
    </row>
    <row r="2737" spans="21:23" ht="16" x14ac:dyDescent="0.2">
      <c r="U2737" s="12"/>
      <c r="V2737" s="13"/>
      <c r="W2737" s="16"/>
    </row>
    <row r="2738" spans="21:23" ht="16" x14ac:dyDescent="0.2">
      <c r="U2738" s="12"/>
      <c r="V2738" s="13"/>
      <c r="W2738" s="16"/>
    </row>
    <row r="2739" spans="21:23" ht="16" x14ac:dyDescent="0.2">
      <c r="U2739" s="12"/>
      <c r="V2739" s="13"/>
      <c r="W2739" s="16"/>
    </row>
    <row r="2740" spans="21:23" ht="16" x14ac:dyDescent="0.2">
      <c r="U2740" s="12"/>
      <c r="V2740" s="13"/>
      <c r="W2740" s="16"/>
    </row>
    <row r="2741" spans="21:23" ht="16" x14ac:dyDescent="0.2">
      <c r="U2741" s="12"/>
      <c r="V2741" s="13"/>
      <c r="W2741" s="16"/>
    </row>
    <row r="2742" spans="21:23" ht="16" x14ac:dyDescent="0.2">
      <c r="U2742" s="12"/>
      <c r="V2742" s="13"/>
      <c r="W2742" s="16"/>
    </row>
    <row r="2743" spans="21:23" ht="16" x14ac:dyDescent="0.2">
      <c r="U2743" s="12"/>
      <c r="V2743" s="13"/>
      <c r="W2743" s="16"/>
    </row>
    <row r="2744" spans="21:23" ht="16" x14ac:dyDescent="0.2">
      <c r="U2744" s="12"/>
      <c r="V2744" s="13"/>
      <c r="W2744" s="16"/>
    </row>
    <row r="2745" spans="21:23" ht="16" x14ac:dyDescent="0.2">
      <c r="U2745" s="12"/>
      <c r="V2745" s="13"/>
      <c r="W2745" s="16"/>
    </row>
    <row r="2746" spans="21:23" ht="16" x14ac:dyDescent="0.2">
      <c r="U2746" s="12"/>
      <c r="V2746" s="13"/>
      <c r="W2746" s="16"/>
    </row>
    <row r="2747" spans="21:23" ht="16" x14ac:dyDescent="0.2">
      <c r="U2747" s="12"/>
      <c r="V2747" s="13"/>
      <c r="W2747" s="16"/>
    </row>
    <row r="2748" spans="21:23" ht="16" x14ac:dyDescent="0.2">
      <c r="U2748" s="12"/>
      <c r="V2748" s="13"/>
      <c r="W2748" s="16"/>
    </row>
    <row r="2749" spans="21:23" ht="16" x14ac:dyDescent="0.2">
      <c r="U2749" s="12"/>
      <c r="V2749" s="13"/>
      <c r="W2749" s="16"/>
    </row>
    <row r="2750" spans="21:23" ht="16" x14ac:dyDescent="0.2">
      <c r="U2750" s="12"/>
      <c r="V2750" s="13"/>
      <c r="W2750" s="16"/>
    </row>
    <row r="2751" spans="21:23" ht="16" x14ac:dyDescent="0.2">
      <c r="U2751" s="12"/>
      <c r="V2751" s="13"/>
      <c r="W2751" s="16"/>
    </row>
    <row r="2752" spans="21:23" ht="16" x14ac:dyDescent="0.2">
      <c r="U2752" s="12"/>
      <c r="V2752" s="13"/>
      <c r="W2752" s="16"/>
    </row>
    <row r="2753" spans="21:23" ht="16" x14ac:dyDescent="0.2">
      <c r="U2753" s="12"/>
      <c r="V2753" s="13"/>
      <c r="W2753" s="16"/>
    </row>
    <row r="2754" spans="21:23" ht="16" x14ac:dyDescent="0.2">
      <c r="U2754" s="12"/>
      <c r="V2754" s="13"/>
      <c r="W2754" s="16"/>
    </row>
    <row r="2755" spans="21:23" ht="16" x14ac:dyDescent="0.2">
      <c r="U2755" s="12"/>
      <c r="V2755" s="13"/>
      <c r="W2755" s="16"/>
    </row>
    <row r="2756" spans="21:23" ht="16" x14ac:dyDescent="0.2">
      <c r="U2756" s="12"/>
      <c r="V2756" s="13"/>
      <c r="W2756" s="16"/>
    </row>
    <row r="2757" spans="21:23" ht="16" x14ac:dyDescent="0.2">
      <c r="U2757" s="12"/>
      <c r="V2757" s="13"/>
      <c r="W2757" s="16"/>
    </row>
    <row r="2758" spans="21:23" ht="16" x14ac:dyDescent="0.2">
      <c r="U2758" s="12"/>
      <c r="V2758" s="13"/>
      <c r="W2758" s="16"/>
    </row>
    <row r="2759" spans="21:23" ht="16" x14ac:dyDescent="0.2">
      <c r="U2759" s="12"/>
      <c r="V2759" s="13"/>
      <c r="W2759" s="16"/>
    </row>
    <row r="2760" spans="21:23" ht="16" x14ac:dyDescent="0.2">
      <c r="U2760" s="12"/>
      <c r="V2760" s="13"/>
      <c r="W2760" s="16"/>
    </row>
    <row r="2761" spans="21:23" ht="16" x14ac:dyDescent="0.2">
      <c r="U2761" s="12"/>
      <c r="V2761" s="13"/>
      <c r="W2761" s="16"/>
    </row>
    <row r="2762" spans="21:23" ht="16" x14ac:dyDescent="0.2">
      <c r="U2762" s="12"/>
      <c r="V2762" s="13"/>
      <c r="W2762" s="16"/>
    </row>
    <row r="2763" spans="21:23" ht="16" x14ac:dyDescent="0.2">
      <c r="U2763" s="12"/>
      <c r="V2763" s="13"/>
      <c r="W2763" s="16"/>
    </row>
    <row r="2764" spans="21:23" ht="16" x14ac:dyDescent="0.2">
      <c r="U2764" s="12"/>
      <c r="V2764" s="13"/>
      <c r="W2764" s="16"/>
    </row>
    <row r="2765" spans="21:23" ht="16" x14ac:dyDescent="0.2">
      <c r="U2765" s="12"/>
      <c r="V2765" s="13"/>
      <c r="W2765" s="16"/>
    </row>
    <row r="2766" spans="21:23" ht="16" x14ac:dyDescent="0.2">
      <c r="U2766" s="12"/>
      <c r="V2766" s="13"/>
      <c r="W2766" s="16"/>
    </row>
    <row r="2767" spans="21:23" ht="16" x14ac:dyDescent="0.2">
      <c r="U2767" s="12"/>
      <c r="V2767" s="13"/>
      <c r="W2767" s="16"/>
    </row>
    <row r="2768" spans="21:23" ht="16" x14ac:dyDescent="0.2">
      <c r="U2768" s="12"/>
      <c r="V2768" s="13"/>
      <c r="W2768" s="16"/>
    </row>
    <row r="2769" spans="21:23" ht="16" x14ac:dyDescent="0.2">
      <c r="U2769" s="12"/>
      <c r="V2769" s="13"/>
      <c r="W2769" s="16"/>
    </row>
    <row r="2770" spans="21:23" ht="16" x14ac:dyDescent="0.2">
      <c r="U2770" s="12"/>
      <c r="V2770" s="13"/>
      <c r="W2770" s="16"/>
    </row>
    <row r="2771" spans="21:23" ht="16" x14ac:dyDescent="0.2">
      <c r="U2771" s="12"/>
      <c r="V2771" s="13"/>
      <c r="W2771" s="16"/>
    </row>
    <row r="2772" spans="21:23" ht="16" x14ac:dyDescent="0.2">
      <c r="U2772" s="12"/>
      <c r="V2772" s="13"/>
      <c r="W2772" s="16"/>
    </row>
    <row r="2773" spans="21:23" ht="16" x14ac:dyDescent="0.2">
      <c r="U2773" s="12"/>
      <c r="V2773" s="13"/>
      <c r="W2773" s="16"/>
    </row>
    <row r="2774" spans="21:23" ht="16" x14ac:dyDescent="0.2">
      <c r="U2774" s="12"/>
      <c r="V2774" s="13"/>
      <c r="W2774" s="16"/>
    </row>
    <row r="2775" spans="21:23" ht="16" x14ac:dyDescent="0.2">
      <c r="U2775" s="12"/>
      <c r="V2775" s="13"/>
      <c r="W2775" s="16"/>
    </row>
    <row r="2776" spans="21:23" ht="16" x14ac:dyDescent="0.2">
      <c r="U2776" s="12"/>
      <c r="V2776" s="13"/>
      <c r="W2776" s="16"/>
    </row>
    <row r="2777" spans="21:23" ht="16" x14ac:dyDescent="0.2">
      <c r="U2777" s="12"/>
      <c r="V2777" s="13"/>
      <c r="W2777" s="16"/>
    </row>
    <row r="2778" spans="21:23" ht="16" x14ac:dyDescent="0.2">
      <c r="U2778" s="12"/>
      <c r="V2778" s="13"/>
      <c r="W2778" s="16"/>
    </row>
    <row r="2779" spans="21:23" ht="16" x14ac:dyDescent="0.2">
      <c r="U2779" s="12"/>
      <c r="V2779" s="13"/>
      <c r="W2779" s="16"/>
    </row>
    <row r="2780" spans="21:23" ht="16" x14ac:dyDescent="0.2">
      <c r="U2780" s="12"/>
      <c r="V2780" s="13"/>
      <c r="W2780" s="16"/>
    </row>
    <row r="2781" spans="21:23" ht="16" x14ac:dyDescent="0.2">
      <c r="U2781" s="12"/>
      <c r="V2781" s="13"/>
      <c r="W2781" s="16"/>
    </row>
    <row r="2782" spans="21:23" ht="16" x14ac:dyDescent="0.2">
      <c r="U2782" s="12"/>
      <c r="V2782" s="13"/>
      <c r="W2782" s="16"/>
    </row>
    <row r="2783" spans="21:23" ht="16" x14ac:dyDescent="0.2">
      <c r="U2783" s="12"/>
      <c r="V2783" s="13"/>
      <c r="W2783" s="16"/>
    </row>
    <row r="2784" spans="21:23" ht="16" x14ac:dyDescent="0.2">
      <c r="U2784" s="12"/>
      <c r="V2784" s="13"/>
      <c r="W2784" s="16"/>
    </row>
    <row r="2785" spans="21:23" ht="16" x14ac:dyDescent="0.2">
      <c r="U2785" s="12"/>
      <c r="V2785" s="13"/>
      <c r="W2785" s="16"/>
    </row>
    <row r="2786" spans="21:23" ht="16" x14ac:dyDescent="0.2">
      <c r="U2786" s="12"/>
      <c r="V2786" s="13"/>
      <c r="W2786" s="16"/>
    </row>
    <row r="2787" spans="21:23" ht="16" x14ac:dyDescent="0.2">
      <c r="U2787" s="12"/>
      <c r="V2787" s="13"/>
      <c r="W2787" s="16"/>
    </row>
    <row r="2788" spans="21:23" ht="16" x14ac:dyDescent="0.2">
      <c r="U2788" s="12"/>
      <c r="V2788" s="13"/>
      <c r="W2788" s="16"/>
    </row>
    <row r="2789" spans="21:23" ht="16" x14ac:dyDescent="0.2">
      <c r="U2789" s="12"/>
      <c r="V2789" s="13"/>
      <c r="W2789" s="16"/>
    </row>
    <row r="2790" spans="21:23" ht="16" x14ac:dyDescent="0.2">
      <c r="U2790" s="12"/>
      <c r="V2790" s="13"/>
      <c r="W2790" s="16"/>
    </row>
    <row r="2791" spans="21:23" ht="16" x14ac:dyDescent="0.2">
      <c r="U2791" s="12"/>
      <c r="V2791" s="13"/>
      <c r="W2791" s="16"/>
    </row>
    <row r="2792" spans="21:23" ht="16" x14ac:dyDescent="0.2">
      <c r="U2792" s="12"/>
      <c r="V2792" s="13"/>
      <c r="W2792" s="16"/>
    </row>
    <row r="2793" spans="21:23" ht="16" x14ac:dyDescent="0.2">
      <c r="U2793" s="12"/>
      <c r="V2793" s="13"/>
      <c r="W2793" s="16"/>
    </row>
    <row r="2794" spans="21:23" ht="16" x14ac:dyDescent="0.2">
      <c r="U2794" s="12"/>
      <c r="V2794" s="13"/>
      <c r="W2794" s="16"/>
    </row>
    <row r="2795" spans="21:23" ht="16" x14ac:dyDescent="0.2">
      <c r="U2795" s="12"/>
      <c r="V2795" s="13"/>
      <c r="W2795" s="16"/>
    </row>
    <row r="2796" spans="21:23" ht="16" x14ac:dyDescent="0.2">
      <c r="U2796" s="12"/>
      <c r="V2796" s="13"/>
      <c r="W2796" s="16"/>
    </row>
    <row r="2797" spans="21:23" ht="16" x14ac:dyDescent="0.2">
      <c r="U2797" s="12"/>
      <c r="V2797" s="13"/>
      <c r="W2797" s="16"/>
    </row>
    <row r="2798" spans="21:23" ht="16" x14ac:dyDescent="0.2">
      <c r="U2798" s="12"/>
      <c r="V2798" s="13"/>
      <c r="W2798" s="16"/>
    </row>
    <row r="2799" spans="21:23" ht="16" x14ac:dyDescent="0.2">
      <c r="U2799" s="12"/>
      <c r="V2799" s="13"/>
      <c r="W2799" s="16"/>
    </row>
    <row r="2800" spans="21:23" ht="16" x14ac:dyDescent="0.2">
      <c r="U2800" s="12"/>
      <c r="V2800" s="13"/>
      <c r="W2800" s="16"/>
    </row>
    <row r="2801" spans="21:23" ht="16" x14ac:dyDescent="0.2">
      <c r="U2801" s="12"/>
      <c r="V2801" s="13"/>
      <c r="W2801" s="16"/>
    </row>
    <row r="2802" spans="21:23" ht="16" x14ac:dyDescent="0.2">
      <c r="U2802" s="12"/>
      <c r="V2802" s="13"/>
      <c r="W2802" s="16"/>
    </row>
    <row r="2803" spans="21:23" ht="16" x14ac:dyDescent="0.2">
      <c r="U2803" s="12"/>
      <c r="V2803" s="13"/>
      <c r="W2803" s="16"/>
    </row>
    <row r="2804" spans="21:23" ht="16" x14ac:dyDescent="0.2">
      <c r="U2804" s="12"/>
      <c r="V2804" s="13"/>
      <c r="W2804" s="16"/>
    </row>
    <row r="2805" spans="21:23" ht="16" x14ac:dyDescent="0.2">
      <c r="U2805" s="12"/>
      <c r="V2805" s="13"/>
      <c r="W2805" s="16"/>
    </row>
    <row r="2806" spans="21:23" ht="16" x14ac:dyDescent="0.2">
      <c r="U2806" s="12"/>
      <c r="V2806" s="13"/>
      <c r="W2806" s="16"/>
    </row>
    <row r="2807" spans="21:23" ht="16" x14ac:dyDescent="0.2">
      <c r="U2807" s="12"/>
      <c r="V2807" s="13"/>
      <c r="W2807" s="16"/>
    </row>
    <row r="2808" spans="21:23" ht="16" x14ac:dyDescent="0.2">
      <c r="U2808" s="12"/>
      <c r="V2808" s="13"/>
      <c r="W2808" s="16"/>
    </row>
    <row r="2809" spans="21:23" ht="16" x14ac:dyDescent="0.2">
      <c r="U2809" s="12"/>
      <c r="V2809" s="13"/>
      <c r="W2809" s="16"/>
    </row>
    <row r="2810" spans="21:23" ht="16" x14ac:dyDescent="0.2">
      <c r="U2810" s="12"/>
      <c r="V2810" s="13"/>
      <c r="W2810" s="16"/>
    </row>
    <row r="2811" spans="21:23" ht="16" x14ac:dyDescent="0.2">
      <c r="U2811" s="12"/>
      <c r="V2811" s="13"/>
      <c r="W2811" s="16"/>
    </row>
    <row r="2812" spans="21:23" ht="16" x14ac:dyDescent="0.2">
      <c r="U2812" s="12"/>
      <c r="V2812" s="13"/>
      <c r="W2812" s="16"/>
    </row>
    <row r="2813" spans="21:23" ht="16" x14ac:dyDescent="0.2">
      <c r="U2813" s="12"/>
      <c r="V2813" s="13"/>
      <c r="W2813" s="16"/>
    </row>
    <row r="2814" spans="21:23" ht="16" x14ac:dyDescent="0.2">
      <c r="U2814" s="12"/>
      <c r="V2814" s="13"/>
      <c r="W2814" s="16"/>
    </row>
    <row r="2815" spans="21:23" ht="16" x14ac:dyDescent="0.2">
      <c r="U2815" s="12"/>
      <c r="V2815" s="13"/>
      <c r="W2815" s="16"/>
    </row>
    <row r="2816" spans="21:23" ht="16" x14ac:dyDescent="0.2">
      <c r="U2816" s="12"/>
      <c r="V2816" s="13"/>
      <c r="W2816" s="16"/>
    </row>
    <row r="2817" spans="21:23" ht="16" x14ac:dyDescent="0.2">
      <c r="U2817" s="12"/>
      <c r="V2817" s="13"/>
      <c r="W2817" s="16"/>
    </row>
    <row r="2818" spans="21:23" ht="16" x14ac:dyDescent="0.2">
      <c r="U2818" s="12"/>
      <c r="V2818" s="13"/>
      <c r="W2818" s="16"/>
    </row>
    <row r="2819" spans="21:23" ht="16" x14ac:dyDescent="0.2">
      <c r="U2819" s="12"/>
      <c r="V2819" s="13"/>
      <c r="W2819" s="16"/>
    </row>
    <row r="2820" spans="21:23" ht="16" x14ac:dyDescent="0.2">
      <c r="U2820" s="12"/>
      <c r="V2820" s="13"/>
      <c r="W2820" s="16"/>
    </row>
    <row r="2821" spans="21:23" ht="16" x14ac:dyDescent="0.2">
      <c r="U2821" s="12"/>
      <c r="V2821" s="13"/>
      <c r="W2821" s="16"/>
    </row>
    <row r="2822" spans="21:23" ht="16" x14ac:dyDescent="0.2">
      <c r="U2822" s="12"/>
      <c r="V2822" s="13"/>
      <c r="W2822" s="16"/>
    </row>
    <row r="2823" spans="21:23" ht="16" x14ac:dyDescent="0.2">
      <c r="U2823" s="12"/>
      <c r="V2823" s="13"/>
      <c r="W2823" s="16"/>
    </row>
    <row r="2824" spans="21:23" ht="16" x14ac:dyDescent="0.2">
      <c r="U2824" s="12"/>
      <c r="V2824" s="13"/>
      <c r="W2824" s="16"/>
    </row>
    <row r="2825" spans="21:23" ht="16" x14ac:dyDescent="0.2">
      <c r="U2825" s="12"/>
      <c r="V2825" s="13"/>
      <c r="W2825" s="16"/>
    </row>
    <row r="2826" spans="21:23" ht="16" x14ac:dyDescent="0.2">
      <c r="U2826" s="12"/>
      <c r="V2826" s="13"/>
      <c r="W2826" s="16"/>
    </row>
    <row r="2827" spans="21:23" ht="16" x14ac:dyDescent="0.2">
      <c r="U2827" s="12"/>
      <c r="V2827" s="13"/>
      <c r="W2827" s="16"/>
    </row>
    <row r="2828" spans="21:23" ht="16" x14ac:dyDescent="0.2">
      <c r="U2828" s="12"/>
      <c r="V2828" s="13"/>
      <c r="W2828" s="16"/>
    </row>
    <row r="2829" spans="21:23" ht="16" x14ac:dyDescent="0.2">
      <c r="U2829" s="12"/>
      <c r="V2829" s="13"/>
      <c r="W2829" s="16"/>
    </row>
    <row r="2830" spans="21:23" ht="16" x14ac:dyDescent="0.2">
      <c r="U2830" s="12"/>
      <c r="V2830" s="13"/>
      <c r="W2830" s="16"/>
    </row>
    <row r="2831" spans="21:23" ht="16" x14ac:dyDescent="0.2">
      <c r="U2831" s="12"/>
      <c r="V2831" s="13"/>
      <c r="W2831" s="16"/>
    </row>
    <row r="2832" spans="21:23" ht="16" x14ac:dyDescent="0.2">
      <c r="U2832" s="12"/>
      <c r="V2832" s="13"/>
      <c r="W2832" s="16"/>
    </row>
    <row r="2833" spans="21:23" ht="16" x14ac:dyDescent="0.2">
      <c r="U2833" s="12"/>
      <c r="V2833" s="13"/>
      <c r="W2833" s="16"/>
    </row>
    <row r="2834" spans="21:23" ht="16" x14ac:dyDescent="0.2">
      <c r="U2834" s="12"/>
      <c r="V2834" s="13"/>
      <c r="W2834" s="16"/>
    </row>
    <row r="2835" spans="21:23" ht="16" x14ac:dyDescent="0.2">
      <c r="U2835" s="12"/>
      <c r="V2835" s="13"/>
      <c r="W2835" s="16"/>
    </row>
    <row r="2836" spans="21:23" ht="16" x14ac:dyDescent="0.2">
      <c r="U2836" s="12"/>
      <c r="V2836" s="13"/>
      <c r="W2836" s="16"/>
    </row>
    <row r="2837" spans="21:23" ht="16" x14ac:dyDescent="0.2">
      <c r="U2837" s="12"/>
      <c r="V2837" s="13"/>
      <c r="W2837" s="16"/>
    </row>
    <row r="2838" spans="21:23" ht="16" x14ac:dyDescent="0.2">
      <c r="U2838" s="12"/>
      <c r="V2838" s="13"/>
      <c r="W2838" s="16"/>
    </row>
    <row r="2839" spans="21:23" ht="16" x14ac:dyDescent="0.2">
      <c r="U2839" s="12"/>
      <c r="V2839" s="13"/>
      <c r="W2839" s="16"/>
    </row>
    <row r="2840" spans="21:23" ht="16" x14ac:dyDescent="0.2">
      <c r="U2840" s="12"/>
      <c r="V2840" s="13"/>
      <c r="W2840" s="16"/>
    </row>
    <row r="2841" spans="21:23" ht="16" x14ac:dyDescent="0.2">
      <c r="U2841" s="12"/>
      <c r="V2841" s="13"/>
      <c r="W2841" s="16"/>
    </row>
    <row r="2842" spans="21:23" ht="16" x14ac:dyDescent="0.2">
      <c r="U2842" s="12"/>
      <c r="V2842" s="13"/>
      <c r="W2842" s="16"/>
    </row>
    <row r="2843" spans="21:23" ht="16" x14ac:dyDescent="0.2">
      <c r="U2843" s="12"/>
      <c r="V2843" s="13"/>
      <c r="W2843" s="16"/>
    </row>
    <row r="2844" spans="21:23" ht="16" x14ac:dyDescent="0.2">
      <c r="U2844" s="12"/>
      <c r="V2844" s="13"/>
      <c r="W2844" s="16"/>
    </row>
    <row r="2845" spans="21:23" ht="16" x14ac:dyDescent="0.2">
      <c r="U2845" s="12"/>
      <c r="V2845" s="13"/>
      <c r="W2845" s="16"/>
    </row>
    <row r="2846" spans="21:23" ht="16" x14ac:dyDescent="0.2">
      <c r="U2846" s="12"/>
      <c r="V2846" s="13"/>
      <c r="W2846" s="16"/>
    </row>
    <row r="2847" spans="21:23" ht="16" x14ac:dyDescent="0.2">
      <c r="U2847" s="12"/>
      <c r="V2847" s="13"/>
      <c r="W2847" s="16"/>
    </row>
    <row r="2848" spans="21:23" ht="16" x14ac:dyDescent="0.2">
      <c r="U2848" s="12"/>
      <c r="V2848" s="13"/>
      <c r="W2848" s="16"/>
    </row>
    <row r="2849" spans="21:23" ht="16" x14ac:dyDescent="0.2">
      <c r="U2849" s="12"/>
      <c r="V2849" s="13"/>
      <c r="W2849" s="16"/>
    </row>
    <row r="2850" spans="21:23" ht="16" x14ac:dyDescent="0.2">
      <c r="U2850" s="12"/>
      <c r="V2850" s="13"/>
      <c r="W2850" s="16"/>
    </row>
    <row r="2851" spans="21:23" ht="16" x14ac:dyDescent="0.2">
      <c r="U2851" s="12"/>
      <c r="V2851" s="13"/>
      <c r="W2851" s="16"/>
    </row>
    <row r="2852" spans="21:23" ht="16" x14ac:dyDescent="0.2">
      <c r="U2852" s="12"/>
      <c r="V2852" s="13"/>
      <c r="W2852" s="16"/>
    </row>
    <row r="2853" spans="21:23" ht="16" x14ac:dyDescent="0.2">
      <c r="U2853" s="12"/>
      <c r="V2853" s="13"/>
      <c r="W2853" s="16"/>
    </row>
    <row r="2854" spans="21:23" ht="16" x14ac:dyDescent="0.2">
      <c r="U2854" s="12"/>
      <c r="V2854" s="13"/>
      <c r="W2854" s="16"/>
    </row>
    <row r="2855" spans="21:23" ht="16" x14ac:dyDescent="0.2">
      <c r="U2855" s="12"/>
      <c r="V2855" s="13"/>
      <c r="W2855" s="16"/>
    </row>
    <row r="2856" spans="21:23" ht="16" x14ac:dyDescent="0.2">
      <c r="U2856" s="12"/>
      <c r="V2856" s="13"/>
      <c r="W2856" s="16"/>
    </row>
    <row r="2857" spans="21:23" ht="16" x14ac:dyDescent="0.2">
      <c r="U2857" s="12"/>
      <c r="V2857" s="13"/>
      <c r="W2857" s="16"/>
    </row>
    <row r="2858" spans="21:23" ht="16" x14ac:dyDescent="0.2">
      <c r="U2858" s="12"/>
      <c r="V2858" s="13"/>
      <c r="W2858" s="16"/>
    </row>
    <row r="2859" spans="21:23" ht="16" x14ac:dyDescent="0.2">
      <c r="U2859" s="12"/>
      <c r="V2859" s="13"/>
      <c r="W2859" s="16"/>
    </row>
    <row r="2860" spans="21:23" ht="16" x14ac:dyDescent="0.2">
      <c r="U2860" s="12"/>
      <c r="V2860" s="13"/>
      <c r="W2860" s="16"/>
    </row>
    <row r="2861" spans="21:23" ht="16" x14ac:dyDescent="0.2">
      <c r="U2861" s="12"/>
      <c r="V2861" s="13"/>
      <c r="W2861" s="16"/>
    </row>
    <row r="2862" spans="21:23" ht="16" x14ac:dyDescent="0.2">
      <c r="U2862" s="12"/>
      <c r="V2862" s="13"/>
      <c r="W2862" s="16"/>
    </row>
    <row r="2863" spans="21:23" ht="16" x14ac:dyDescent="0.2">
      <c r="U2863" s="12"/>
      <c r="V2863" s="13"/>
      <c r="W2863" s="16"/>
    </row>
    <row r="2864" spans="21:23" ht="16" x14ac:dyDescent="0.2">
      <c r="U2864" s="12"/>
      <c r="V2864" s="13"/>
      <c r="W2864" s="16"/>
    </row>
    <row r="2865" spans="21:23" ht="16" x14ac:dyDescent="0.2">
      <c r="U2865" s="12"/>
      <c r="V2865" s="13"/>
      <c r="W2865" s="16"/>
    </row>
    <row r="2866" spans="21:23" ht="16" x14ac:dyDescent="0.2">
      <c r="U2866" s="12"/>
      <c r="V2866" s="13"/>
      <c r="W2866" s="16"/>
    </row>
    <row r="2867" spans="21:23" ht="16" x14ac:dyDescent="0.2">
      <c r="U2867" s="12"/>
      <c r="V2867" s="13"/>
      <c r="W2867" s="16"/>
    </row>
    <row r="2868" spans="21:23" ht="16" x14ac:dyDescent="0.2">
      <c r="U2868" s="12"/>
      <c r="V2868" s="13"/>
      <c r="W2868" s="16"/>
    </row>
    <row r="2869" spans="21:23" ht="16" x14ac:dyDescent="0.2">
      <c r="U2869" s="12"/>
      <c r="V2869" s="13"/>
      <c r="W2869" s="16"/>
    </row>
    <row r="2870" spans="21:23" ht="16" x14ac:dyDescent="0.2">
      <c r="U2870" s="12"/>
      <c r="V2870" s="13"/>
      <c r="W2870" s="16"/>
    </row>
    <row r="2871" spans="21:23" ht="16" x14ac:dyDescent="0.2">
      <c r="U2871" s="12"/>
      <c r="V2871" s="13"/>
      <c r="W2871" s="16"/>
    </row>
    <row r="2872" spans="21:23" ht="16" x14ac:dyDescent="0.2">
      <c r="U2872" s="12"/>
      <c r="V2872" s="13"/>
      <c r="W2872" s="16"/>
    </row>
    <row r="2873" spans="21:23" ht="16" x14ac:dyDescent="0.2">
      <c r="U2873" s="12"/>
      <c r="V2873" s="13"/>
      <c r="W2873" s="16"/>
    </row>
    <row r="2874" spans="21:23" ht="16" x14ac:dyDescent="0.2">
      <c r="U2874" s="12"/>
      <c r="V2874" s="13"/>
      <c r="W2874" s="16"/>
    </row>
    <row r="2875" spans="21:23" ht="16" x14ac:dyDescent="0.2">
      <c r="U2875" s="12"/>
      <c r="V2875" s="13"/>
      <c r="W2875" s="16"/>
    </row>
    <row r="2876" spans="21:23" ht="16" x14ac:dyDescent="0.2">
      <c r="U2876" s="12"/>
      <c r="V2876" s="13"/>
      <c r="W2876" s="16"/>
    </row>
    <row r="2877" spans="21:23" ht="16" x14ac:dyDescent="0.2">
      <c r="U2877" s="12"/>
      <c r="V2877" s="13"/>
      <c r="W2877" s="16"/>
    </row>
    <row r="2878" spans="21:23" ht="16" x14ac:dyDescent="0.2">
      <c r="U2878" s="12"/>
      <c r="V2878" s="13"/>
      <c r="W2878" s="16"/>
    </row>
    <row r="2879" spans="21:23" ht="16" x14ac:dyDescent="0.2">
      <c r="U2879" s="12"/>
      <c r="V2879" s="13"/>
      <c r="W2879" s="16"/>
    </row>
    <row r="2880" spans="21:23" ht="16" x14ac:dyDescent="0.2">
      <c r="U2880" s="12"/>
      <c r="V2880" s="13"/>
      <c r="W2880" s="16"/>
    </row>
    <row r="2881" spans="21:23" ht="16" x14ac:dyDescent="0.2">
      <c r="U2881" s="12"/>
      <c r="V2881" s="13"/>
      <c r="W2881" s="16"/>
    </row>
    <row r="2882" spans="21:23" ht="16" x14ac:dyDescent="0.2">
      <c r="U2882" s="12"/>
      <c r="V2882" s="13"/>
      <c r="W2882" s="16"/>
    </row>
    <row r="2883" spans="21:23" ht="16" x14ac:dyDescent="0.2">
      <c r="U2883" s="12"/>
      <c r="V2883" s="13"/>
      <c r="W2883" s="16"/>
    </row>
    <row r="2884" spans="21:23" ht="16" x14ac:dyDescent="0.2">
      <c r="U2884" s="12"/>
      <c r="V2884" s="13"/>
      <c r="W2884" s="16"/>
    </row>
    <row r="2885" spans="21:23" ht="16" x14ac:dyDescent="0.2">
      <c r="U2885" s="12"/>
      <c r="V2885" s="13"/>
      <c r="W2885" s="16"/>
    </row>
    <row r="2886" spans="21:23" ht="16" x14ac:dyDescent="0.2">
      <c r="U2886" s="12"/>
      <c r="V2886" s="13"/>
      <c r="W2886" s="16"/>
    </row>
    <row r="2887" spans="21:23" ht="16" x14ac:dyDescent="0.2">
      <c r="U2887" s="12"/>
      <c r="V2887" s="13"/>
      <c r="W2887" s="16"/>
    </row>
    <row r="2888" spans="21:23" ht="16" x14ac:dyDescent="0.2">
      <c r="U2888" s="12"/>
      <c r="V2888" s="13"/>
      <c r="W2888" s="16"/>
    </row>
    <row r="2889" spans="21:23" ht="16" x14ac:dyDescent="0.2">
      <c r="U2889" s="12"/>
      <c r="V2889" s="13"/>
      <c r="W2889" s="16"/>
    </row>
    <row r="2890" spans="21:23" ht="16" x14ac:dyDescent="0.2">
      <c r="U2890" s="12"/>
      <c r="V2890" s="13"/>
      <c r="W2890" s="16"/>
    </row>
    <row r="2891" spans="21:23" ht="16" x14ac:dyDescent="0.2">
      <c r="U2891" s="12"/>
      <c r="V2891" s="13"/>
      <c r="W2891" s="16"/>
    </row>
    <row r="2892" spans="21:23" ht="16" x14ac:dyDescent="0.2">
      <c r="U2892" s="12"/>
      <c r="V2892" s="13"/>
      <c r="W2892" s="16"/>
    </row>
    <row r="2893" spans="21:23" ht="16" x14ac:dyDescent="0.2">
      <c r="U2893" s="12"/>
      <c r="V2893" s="13"/>
      <c r="W2893" s="16"/>
    </row>
    <row r="2894" spans="21:23" ht="16" x14ac:dyDescent="0.2">
      <c r="U2894" s="12"/>
      <c r="V2894" s="13"/>
      <c r="W2894" s="16"/>
    </row>
    <row r="2895" spans="21:23" ht="16" x14ac:dyDescent="0.2">
      <c r="U2895" s="12"/>
      <c r="V2895" s="13"/>
      <c r="W2895" s="16"/>
    </row>
    <row r="2896" spans="21:23" ht="16" x14ac:dyDescent="0.2">
      <c r="U2896" s="12"/>
      <c r="V2896" s="13"/>
      <c r="W2896" s="16"/>
    </row>
    <row r="2897" spans="21:23" ht="16" x14ac:dyDescent="0.2">
      <c r="U2897" s="12"/>
      <c r="V2897" s="13"/>
      <c r="W2897" s="16"/>
    </row>
    <row r="2898" spans="21:23" ht="16" x14ac:dyDescent="0.2">
      <c r="U2898" s="12"/>
      <c r="V2898" s="13"/>
      <c r="W2898" s="16"/>
    </row>
    <row r="2899" spans="21:23" ht="16" x14ac:dyDescent="0.2">
      <c r="U2899" s="12"/>
      <c r="V2899" s="13"/>
      <c r="W2899" s="16"/>
    </row>
    <row r="2900" spans="21:23" ht="16" x14ac:dyDescent="0.2">
      <c r="U2900" s="12"/>
      <c r="V2900" s="13"/>
      <c r="W2900" s="16"/>
    </row>
    <row r="2901" spans="21:23" ht="16" x14ac:dyDescent="0.2">
      <c r="U2901" s="12"/>
      <c r="V2901" s="13"/>
      <c r="W2901" s="16"/>
    </row>
    <row r="2902" spans="21:23" ht="16" x14ac:dyDescent="0.2">
      <c r="U2902" s="12"/>
      <c r="V2902" s="13"/>
      <c r="W2902" s="16"/>
    </row>
    <row r="2903" spans="21:23" ht="16" x14ac:dyDescent="0.2">
      <c r="U2903" s="12"/>
      <c r="V2903" s="13"/>
      <c r="W2903" s="16"/>
    </row>
    <row r="2904" spans="21:23" ht="16" x14ac:dyDescent="0.2">
      <c r="U2904" s="12"/>
      <c r="V2904" s="13"/>
      <c r="W2904" s="16"/>
    </row>
    <row r="2905" spans="21:23" ht="16" x14ac:dyDescent="0.2">
      <c r="U2905" s="12"/>
      <c r="V2905" s="13"/>
      <c r="W2905" s="16"/>
    </row>
    <row r="2906" spans="21:23" ht="16" x14ac:dyDescent="0.2">
      <c r="U2906" s="12"/>
      <c r="V2906" s="13"/>
      <c r="W2906" s="16"/>
    </row>
    <row r="2907" spans="21:23" ht="16" x14ac:dyDescent="0.2">
      <c r="U2907" s="12"/>
      <c r="V2907" s="13"/>
      <c r="W2907" s="16"/>
    </row>
    <row r="2908" spans="21:23" ht="16" x14ac:dyDescent="0.2">
      <c r="U2908" s="12"/>
      <c r="V2908" s="13"/>
      <c r="W2908" s="16"/>
    </row>
    <row r="2909" spans="21:23" ht="16" x14ac:dyDescent="0.2">
      <c r="U2909" s="12"/>
      <c r="V2909" s="13"/>
      <c r="W2909" s="16"/>
    </row>
    <row r="2910" spans="21:23" ht="16" x14ac:dyDescent="0.2">
      <c r="U2910" s="12"/>
      <c r="V2910" s="13"/>
      <c r="W2910" s="16"/>
    </row>
    <row r="2911" spans="21:23" ht="16" x14ac:dyDescent="0.2">
      <c r="U2911" s="12"/>
      <c r="V2911" s="13"/>
      <c r="W2911" s="16"/>
    </row>
    <row r="2912" spans="21:23" ht="16" x14ac:dyDescent="0.2">
      <c r="U2912" s="12"/>
      <c r="V2912" s="13"/>
      <c r="W2912" s="16"/>
    </row>
    <row r="2913" spans="21:23" ht="16" x14ac:dyDescent="0.2">
      <c r="U2913" s="12"/>
      <c r="V2913" s="13"/>
      <c r="W2913" s="16"/>
    </row>
    <row r="2914" spans="21:23" ht="16" x14ac:dyDescent="0.2">
      <c r="U2914" s="12"/>
      <c r="V2914" s="13"/>
      <c r="W2914" s="16"/>
    </row>
    <row r="2915" spans="21:23" ht="16" x14ac:dyDescent="0.2">
      <c r="U2915" s="12"/>
      <c r="V2915" s="13"/>
      <c r="W2915" s="16"/>
    </row>
    <row r="2916" spans="21:23" ht="16" x14ac:dyDescent="0.2">
      <c r="U2916" s="12"/>
      <c r="V2916" s="13"/>
      <c r="W2916" s="16"/>
    </row>
    <row r="2917" spans="21:23" ht="16" x14ac:dyDescent="0.2">
      <c r="U2917" s="12"/>
      <c r="V2917" s="13"/>
      <c r="W2917" s="16"/>
    </row>
    <row r="2918" spans="21:23" ht="16" x14ac:dyDescent="0.2">
      <c r="U2918" s="12"/>
      <c r="V2918" s="13"/>
      <c r="W2918" s="16"/>
    </row>
    <row r="2919" spans="21:23" ht="16" x14ac:dyDescent="0.2">
      <c r="U2919" s="12"/>
      <c r="V2919" s="13"/>
      <c r="W2919" s="16"/>
    </row>
    <row r="2920" spans="21:23" ht="16" x14ac:dyDescent="0.2">
      <c r="U2920" s="12"/>
      <c r="V2920" s="13"/>
      <c r="W2920" s="16"/>
    </row>
    <row r="2921" spans="21:23" ht="16" x14ac:dyDescent="0.2">
      <c r="U2921" s="12"/>
      <c r="V2921" s="13"/>
      <c r="W2921" s="16"/>
    </row>
    <row r="2922" spans="21:23" ht="16" x14ac:dyDescent="0.2">
      <c r="U2922" s="12"/>
      <c r="V2922" s="13"/>
      <c r="W2922" s="16"/>
    </row>
    <row r="2923" spans="21:23" ht="16" x14ac:dyDescent="0.2">
      <c r="U2923" s="12"/>
      <c r="V2923" s="13"/>
      <c r="W2923" s="16"/>
    </row>
    <row r="2924" spans="21:23" ht="16" x14ac:dyDescent="0.2">
      <c r="U2924" s="12"/>
      <c r="V2924" s="13"/>
      <c r="W2924" s="16"/>
    </row>
    <row r="2925" spans="21:23" ht="16" x14ac:dyDescent="0.2">
      <c r="U2925" s="12"/>
      <c r="V2925" s="13"/>
      <c r="W2925" s="16"/>
    </row>
    <row r="2926" spans="21:23" ht="16" x14ac:dyDescent="0.2">
      <c r="U2926" s="12"/>
      <c r="V2926" s="13"/>
      <c r="W2926" s="16"/>
    </row>
    <row r="2927" spans="21:23" ht="16" x14ac:dyDescent="0.2">
      <c r="U2927" s="12"/>
      <c r="V2927" s="13"/>
      <c r="W2927" s="16"/>
    </row>
    <row r="2928" spans="21:23" ht="16" x14ac:dyDescent="0.2">
      <c r="U2928" s="12"/>
      <c r="V2928" s="13"/>
      <c r="W2928" s="16"/>
    </row>
    <row r="2929" spans="21:23" ht="16" x14ac:dyDescent="0.2">
      <c r="U2929" s="12"/>
      <c r="V2929" s="13"/>
      <c r="W2929" s="16"/>
    </row>
    <row r="2930" spans="21:23" ht="16" x14ac:dyDescent="0.2">
      <c r="U2930" s="12"/>
      <c r="V2930" s="13"/>
      <c r="W2930" s="16"/>
    </row>
    <row r="2931" spans="21:23" ht="16" x14ac:dyDescent="0.2">
      <c r="U2931" s="12"/>
      <c r="V2931" s="13"/>
      <c r="W2931" s="16"/>
    </row>
    <row r="2932" spans="21:23" ht="16" x14ac:dyDescent="0.2">
      <c r="U2932" s="12"/>
      <c r="V2932" s="13"/>
      <c r="W2932" s="16"/>
    </row>
    <row r="2933" spans="21:23" ht="16" x14ac:dyDescent="0.2">
      <c r="U2933" s="12"/>
      <c r="V2933" s="13"/>
      <c r="W2933" s="16"/>
    </row>
    <row r="2934" spans="21:23" ht="16" x14ac:dyDescent="0.2">
      <c r="U2934" s="12"/>
      <c r="V2934" s="13"/>
      <c r="W2934" s="16"/>
    </row>
    <row r="2935" spans="21:23" ht="16" x14ac:dyDescent="0.2">
      <c r="U2935" s="12"/>
      <c r="V2935" s="13"/>
      <c r="W2935" s="16"/>
    </row>
    <row r="2936" spans="21:23" ht="16" x14ac:dyDescent="0.2">
      <c r="U2936" s="12"/>
      <c r="V2936" s="13"/>
      <c r="W2936" s="16"/>
    </row>
    <row r="2937" spans="21:23" ht="16" x14ac:dyDescent="0.2">
      <c r="U2937" s="12"/>
      <c r="V2937" s="13"/>
      <c r="W2937" s="16"/>
    </row>
    <row r="2938" spans="21:23" ht="16" x14ac:dyDescent="0.2">
      <c r="U2938" s="12"/>
      <c r="V2938" s="13"/>
      <c r="W2938" s="16"/>
    </row>
    <row r="2939" spans="21:23" ht="16" x14ac:dyDescent="0.2">
      <c r="U2939" s="12"/>
      <c r="V2939" s="13"/>
      <c r="W2939" s="16"/>
    </row>
    <row r="2940" spans="21:23" ht="16" x14ac:dyDescent="0.2">
      <c r="U2940" s="12"/>
      <c r="V2940" s="13"/>
      <c r="W2940" s="16"/>
    </row>
    <row r="2941" spans="21:23" ht="16" x14ac:dyDescent="0.2">
      <c r="U2941" s="12"/>
      <c r="V2941" s="13"/>
      <c r="W2941" s="16"/>
    </row>
    <row r="2942" spans="21:23" ht="16" x14ac:dyDescent="0.2">
      <c r="U2942" s="12"/>
      <c r="V2942" s="13"/>
      <c r="W2942" s="16"/>
    </row>
    <row r="2943" spans="21:23" ht="16" x14ac:dyDescent="0.2">
      <c r="U2943" s="12"/>
      <c r="V2943" s="13"/>
      <c r="W2943" s="16"/>
    </row>
    <row r="2944" spans="21:23" ht="16" x14ac:dyDescent="0.2">
      <c r="U2944" s="12"/>
      <c r="V2944" s="13"/>
      <c r="W2944" s="16"/>
    </row>
    <row r="2945" spans="21:23" ht="16" x14ac:dyDescent="0.2">
      <c r="U2945" s="12"/>
      <c r="V2945" s="13"/>
      <c r="W2945" s="16"/>
    </row>
    <row r="2946" spans="21:23" ht="16" x14ac:dyDescent="0.2">
      <c r="U2946" s="12"/>
      <c r="V2946" s="13"/>
      <c r="W2946" s="16"/>
    </row>
    <row r="2947" spans="21:23" ht="16" x14ac:dyDescent="0.2">
      <c r="U2947" s="12"/>
      <c r="V2947" s="13"/>
      <c r="W2947" s="16"/>
    </row>
    <row r="2948" spans="21:23" ht="16" x14ac:dyDescent="0.2">
      <c r="U2948" s="12"/>
      <c r="V2948" s="13"/>
      <c r="W2948" s="16"/>
    </row>
    <row r="2949" spans="21:23" ht="16" x14ac:dyDescent="0.2">
      <c r="U2949" s="12"/>
      <c r="V2949" s="13"/>
      <c r="W2949" s="16"/>
    </row>
    <row r="2950" spans="21:23" ht="16" x14ac:dyDescent="0.2">
      <c r="U2950" s="12"/>
      <c r="V2950" s="13"/>
      <c r="W2950" s="16"/>
    </row>
    <row r="2951" spans="21:23" ht="16" x14ac:dyDescent="0.2">
      <c r="U2951" s="12"/>
      <c r="V2951" s="13"/>
      <c r="W2951" s="16"/>
    </row>
    <row r="2952" spans="21:23" ht="16" x14ac:dyDescent="0.2">
      <c r="U2952" s="12"/>
      <c r="V2952" s="13"/>
      <c r="W2952" s="16"/>
    </row>
    <row r="2953" spans="21:23" ht="16" x14ac:dyDescent="0.2">
      <c r="U2953" s="12"/>
      <c r="V2953" s="13"/>
      <c r="W2953" s="16"/>
    </row>
    <row r="2954" spans="21:23" ht="16" x14ac:dyDescent="0.2">
      <c r="U2954" s="12"/>
      <c r="V2954" s="13"/>
      <c r="W2954" s="16"/>
    </row>
    <row r="2955" spans="21:23" ht="16" x14ac:dyDescent="0.2">
      <c r="U2955" s="12"/>
      <c r="V2955" s="13"/>
      <c r="W2955" s="16"/>
    </row>
    <row r="2956" spans="21:23" ht="16" x14ac:dyDescent="0.2">
      <c r="U2956" s="12"/>
      <c r="V2956" s="13"/>
      <c r="W2956" s="16"/>
    </row>
    <row r="2957" spans="21:23" ht="16" x14ac:dyDescent="0.2">
      <c r="U2957" s="12"/>
      <c r="V2957" s="13"/>
      <c r="W2957" s="16"/>
    </row>
    <row r="2958" spans="21:23" ht="16" x14ac:dyDescent="0.2">
      <c r="U2958" s="12"/>
      <c r="V2958" s="13"/>
      <c r="W2958" s="16"/>
    </row>
    <row r="2959" spans="21:23" ht="16" x14ac:dyDescent="0.2">
      <c r="U2959" s="12"/>
      <c r="V2959" s="13"/>
      <c r="W2959" s="16"/>
    </row>
    <row r="2960" spans="21:23" ht="16" x14ac:dyDescent="0.2">
      <c r="U2960" s="12"/>
      <c r="V2960" s="13"/>
      <c r="W2960" s="16"/>
    </row>
    <row r="2961" spans="21:23" ht="16" x14ac:dyDescent="0.2">
      <c r="U2961" s="12"/>
      <c r="V2961" s="13"/>
      <c r="W2961" s="16"/>
    </row>
    <row r="2962" spans="21:23" ht="16" x14ac:dyDescent="0.2">
      <c r="U2962" s="12"/>
      <c r="V2962" s="13"/>
      <c r="W2962" s="16"/>
    </row>
    <row r="2963" spans="21:23" ht="16" x14ac:dyDescent="0.2">
      <c r="U2963" s="12"/>
      <c r="V2963" s="13"/>
      <c r="W2963" s="16"/>
    </row>
    <row r="2964" spans="21:23" ht="16" x14ac:dyDescent="0.2">
      <c r="U2964" s="12"/>
      <c r="V2964" s="13"/>
      <c r="W2964" s="16"/>
    </row>
    <row r="2965" spans="21:23" ht="16" x14ac:dyDescent="0.2">
      <c r="U2965" s="12"/>
      <c r="V2965" s="13"/>
      <c r="W2965" s="16"/>
    </row>
    <row r="2966" spans="21:23" ht="16" x14ac:dyDescent="0.2">
      <c r="U2966" s="12"/>
      <c r="V2966" s="13"/>
      <c r="W2966" s="16"/>
    </row>
    <row r="2967" spans="21:23" ht="16" x14ac:dyDescent="0.2">
      <c r="U2967" s="12"/>
      <c r="V2967" s="13"/>
      <c r="W2967" s="16"/>
    </row>
    <row r="2968" spans="21:23" ht="16" x14ac:dyDescent="0.2">
      <c r="U2968" s="12"/>
      <c r="V2968" s="13"/>
      <c r="W2968" s="16"/>
    </row>
    <row r="2969" spans="21:23" ht="16" x14ac:dyDescent="0.2">
      <c r="U2969" s="12"/>
      <c r="V2969" s="13"/>
      <c r="W2969" s="16"/>
    </row>
    <row r="2970" spans="21:23" ht="16" x14ac:dyDescent="0.2">
      <c r="U2970" s="12"/>
      <c r="V2970" s="13"/>
      <c r="W2970" s="16"/>
    </row>
    <row r="2971" spans="21:23" ht="16" x14ac:dyDescent="0.2">
      <c r="U2971" s="12"/>
      <c r="V2971" s="13"/>
      <c r="W2971" s="16"/>
    </row>
    <row r="2972" spans="21:23" ht="16" x14ac:dyDescent="0.2">
      <c r="U2972" s="12"/>
      <c r="V2972" s="13"/>
      <c r="W2972" s="16"/>
    </row>
    <row r="2973" spans="21:23" ht="16" x14ac:dyDescent="0.2">
      <c r="U2973" s="12"/>
      <c r="V2973" s="13"/>
      <c r="W2973" s="16"/>
    </row>
    <row r="2974" spans="21:23" ht="16" x14ac:dyDescent="0.2">
      <c r="U2974" s="12"/>
      <c r="V2974" s="13"/>
      <c r="W2974" s="16"/>
    </row>
    <row r="2975" spans="21:23" ht="16" x14ac:dyDescent="0.2">
      <c r="U2975" s="12"/>
      <c r="V2975" s="13"/>
      <c r="W2975" s="16"/>
    </row>
    <row r="2976" spans="21:23" ht="16" x14ac:dyDescent="0.2">
      <c r="U2976" s="12"/>
      <c r="V2976" s="13"/>
      <c r="W2976" s="16"/>
    </row>
    <row r="2977" spans="21:23" ht="16" x14ac:dyDescent="0.2">
      <c r="U2977" s="12"/>
      <c r="V2977" s="13"/>
      <c r="W2977" s="16"/>
    </row>
    <row r="2978" spans="21:23" ht="16" x14ac:dyDescent="0.2">
      <c r="U2978" s="12"/>
      <c r="V2978" s="13"/>
      <c r="W2978" s="16"/>
    </row>
    <row r="2979" spans="21:23" ht="16" x14ac:dyDescent="0.2">
      <c r="U2979" s="12"/>
      <c r="V2979" s="13"/>
      <c r="W2979" s="16"/>
    </row>
    <row r="2980" spans="21:23" ht="16" x14ac:dyDescent="0.2">
      <c r="U2980" s="12"/>
      <c r="V2980" s="13"/>
      <c r="W2980" s="16"/>
    </row>
    <row r="2981" spans="21:23" ht="16" x14ac:dyDescent="0.2">
      <c r="U2981" s="12"/>
      <c r="V2981" s="13"/>
      <c r="W2981" s="16"/>
    </row>
    <row r="2982" spans="21:23" ht="16" x14ac:dyDescent="0.2">
      <c r="U2982" s="12"/>
      <c r="V2982" s="13"/>
      <c r="W2982" s="16"/>
    </row>
    <row r="2983" spans="21:23" ht="16" x14ac:dyDescent="0.2">
      <c r="U2983" s="12"/>
      <c r="V2983" s="13"/>
      <c r="W2983" s="16"/>
    </row>
    <row r="2984" spans="21:23" ht="16" x14ac:dyDescent="0.2">
      <c r="U2984" s="12"/>
      <c r="V2984" s="13"/>
      <c r="W2984" s="16"/>
    </row>
    <row r="2985" spans="21:23" ht="16" x14ac:dyDescent="0.2">
      <c r="U2985" s="12"/>
      <c r="V2985" s="13"/>
      <c r="W2985" s="16"/>
    </row>
    <row r="2986" spans="21:23" ht="16" x14ac:dyDescent="0.2">
      <c r="U2986" s="12"/>
      <c r="V2986" s="13"/>
      <c r="W2986" s="16"/>
    </row>
    <row r="2987" spans="21:23" ht="16" x14ac:dyDescent="0.2">
      <c r="U2987" s="12"/>
      <c r="V2987" s="13"/>
      <c r="W2987" s="16"/>
    </row>
    <row r="2988" spans="21:23" ht="16" x14ac:dyDescent="0.2">
      <c r="U2988" s="12"/>
      <c r="V2988" s="13"/>
      <c r="W2988" s="16"/>
    </row>
    <row r="2989" spans="21:23" ht="16" x14ac:dyDescent="0.2">
      <c r="U2989" s="12"/>
      <c r="V2989" s="13"/>
      <c r="W2989" s="16"/>
    </row>
    <row r="2990" spans="21:23" ht="16" x14ac:dyDescent="0.2">
      <c r="U2990" s="12"/>
      <c r="V2990" s="13"/>
      <c r="W2990" s="16"/>
    </row>
    <row r="2991" spans="21:23" ht="16" x14ac:dyDescent="0.2">
      <c r="U2991" s="12"/>
      <c r="V2991" s="13"/>
      <c r="W2991" s="16"/>
    </row>
    <row r="2992" spans="21:23" ht="16" x14ac:dyDescent="0.2">
      <c r="U2992" s="12"/>
      <c r="V2992" s="13"/>
      <c r="W2992" s="16"/>
    </row>
    <row r="2993" spans="21:23" ht="16" x14ac:dyDescent="0.2">
      <c r="U2993" s="12"/>
      <c r="V2993" s="13"/>
      <c r="W2993" s="16"/>
    </row>
    <row r="2994" spans="21:23" ht="16" x14ac:dyDescent="0.2">
      <c r="U2994" s="12"/>
      <c r="V2994" s="13"/>
      <c r="W2994" s="16"/>
    </row>
    <row r="2995" spans="21:23" ht="16" x14ac:dyDescent="0.2">
      <c r="U2995" s="12"/>
      <c r="V2995" s="13"/>
      <c r="W2995" s="16"/>
    </row>
    <row r="2996" spans="21:23" ht="16" x14ac:dyDescent="0.2">
      <c r="U2996" s="12"/>
      <c r="V2996" s="13"/>
      <c r="W2996" s="16"/>
    </row>
    <row r="2997" spans="21:23" ht="16" x14ac:dyDescent="0.2">
      <c r="U2997" s="12"/>
      <c r="V2997" s="13"/>
      <c r="W2997" s="16"/>
    </row>
    <row r="2998" spans="21:23" ht="16" x14ac:dyDescent="0.2">
      <c r="U2998" s="12"/>
      <c r="V2998" s="13"/>
      <c r="W2998" s="16"/>
    </row>
    <row r="2999" spans="21:23" ht="16" x14ac:dyDescent="0.2">
      <c r="U2999" s="12"/>
      <c r="V2999" s="13"/>
      <c r="W2999" s="16"/>
    </row>
    <row r="3000" spans="21:23" ht="16" x14ac:dyDescent="0.2">
      <c r="U3000" s="12"/>
      <c r="V3000" s="13"/>
      <c r="W3000" s="16"/>
    </row>
    <row r="3001" spans="21:23" ht="16" x14ac:dyDescent="0.2">
      <c r="U3001" s="12"/>
      <c r="V3001" s="13"/>
      <c r="W3001" s="16"/>
    </row>
    <row r="3002" spans="21:23" ht="16" x14ac:dyDescent="0.2">
      <c r="U3002" s="12"/>
      <c r="V3002" s="13"/>
      <c r="W3002" s="16"/>
    </row>
    <row r="3003" spans="21:23" ht="16" x14ac:dyDescent="0.2">
      <c r="U3003" s="12"/>
      <c r="V3003" s="13"/>
      <c r="W3003" s="16"/>
    </row>
    <row r="3004" spans="21:23" ht="16" x14ac:dyDescent="0.2">
      <c r="U3004" s="12"/>
      <c r="V3004" s="13"/>
      <c r="W3004" s="16"/>
    </row>
    <row r="3005" spans="21:23" ht="16" x14ac:dyDescent="0.2">
      <c r="U3005" s="12"/>
      <c r="V3005" s="13"/>
      <c r="W3005" s="16"/>
    </row>
    <row r="3006" spans="21:23" ht="16" x14ac:dyDescent="0.2">
      <c r="U3006" s="12"/>
      <c r="V3006" s="13"/>
      <c r="W3006" s="16"/>
    </row>
    <row r="3007" spans="21:23" ht="16" x14ac:dyDescent="0.2">
      <c r="U3007" s="12"/>
      <c r="V3007" s="13"/>
      <c r="W3007" s="16"/>
    </row>
    <row r="3008" spans="21:23" ht="16" x14ac:dyDescent="0.2">
      <c r="U3008" s="12"/>
      <c r="V3008" s="13"/>
      <c r="W3008" s="16"/>
    </row>
    <row r="3009" spans="21:23" ht="16" x14ac:dyDescent="0.2">
      <c r="U3009" s="12"/>
      <c r="V3009" s="13"/>
      <c r="W3009" s="16"/>
    </row>
    <row r="3010" spans="21:23" ht="16" x14ac:dyDescent="0.2">
      <c r="U3010" s="12"/>
      <c r="V3010" s="13"/>
      <c r="W3010" s="16"/>
    </row>
    <row r="3011" spans="21:23" ht="16" x14ac:dyDescent="0.2">
      <c r="U3011" s="12"/>
      <c r="V3011" s="13"/>
      <c r="W3011" s="16"/>
    </row>
    <row r="3012" spans="21:23" ht="16" x14ac:dyDescent="0.2">
      <c r="U3012" s="12"/>
      <c r="V3012" s="13"/>
      <c r="W3012" s="16"/>
    </row>
    <row r="3013" spans="21:23" ht="16" x14ac:dyDescent="0.2">
      <c r="U3013" s="12"/>
      <c r="V3013" s="13"/>
      <c r="W3013" s="16"/>
    </row>
    <row r="3014" spans="21:23" ht="16" x14ac:dyDescent="0.2">
      <c r="U3014" s="12"/>
      <c r="V3014" s="13"/>
      <c r="W3014" s="16"/>
    </row>
    <row r="3015" spans="21:23" ht="16" x14ac:dyDescent="0.2">
      <c r="U3015" s="12"/>
      <c r="V3015" s="13"/>
      <c r="W3015" s="16"/>
    </row>
    <row r="3016" spans="21:23" ht="16" x14ac:dyDescent="0.2">
      <c r="U3016" s="12"/>
      <c r="V3016" s="13"/>
      <c r="W3016" s="16"/>
    </row>
    <row r="3017" spans="21:23" ht="16" x14ac:dyDescent="0.2">
      <c r="U3017" s="12"/>
      <c r="V3017" s="13"/>
      <c r="W3017" s="16"/>
    </row>
    <row r="3018" spans="21:23" ht="16" x14ac:dyDescent="0.2">
      <c r="U3018" s="12"/>
      <c r="V3018" s="13"/>
      <c r="W3018" s="16"/>
    </row>
    <row r="3019" spans="21:23" ht="16" x14ac:dyDescent="0.2">
      <c r="U3019" s="12"/>
      <c r="V3019" s="13"/>
      <c r="W3019" s="16"/>
    </row>
    <row r="3020" spans="21:23" ht="16" x14ac:dyDescent="0.2">
      <c r="U3020" s="12"/>
      <c r="V3020" s="13"/>
      <c r="W3020" s="16"/>
    </row>
    <row r="3021" spans="21:23" ht="16" x14ac:dyDescent="0.2">
      <c r="U3021" s="12"/>
      <c r="V3021" s="13"/>
      <c r="W3021" s="16"/>
    </row>
    <row r="3022" spans="21:23" ht="16" x14ac:dyDescent="0.2">
      <c r="U3022" s="12"/>
      <c r="V3022" s="13"/>
      <c r="W3022" s="16"/>
    </row>
    <row r="3023" spans="21:23" ht="16" x14ac:dyDescent="0.2">
      <c r="U3023" s="12"/>
      <c r="V3023" s="13"/>
      <c r="W3023" s="16"/>
    </row>
    <row r="3024" spans="21:23" ht="16" x14ac:dyDescent="0.2">
      <c r="U3024" s="12"/>
      <c r="V3024" s="13"/>
      <c r="W3024" s="16"/>
    </row>
    <row r="3025" spans="21:23" ht="16" x14ac:dyDescent="0.2">
      <c r="U3025" s="12"/>
      <c r="V3025" s="13"/>
      <c r="W3025" s="16"/>
    </row>
    <row r="3026" spans="21:23" ht="16" x14ac:dyDescent="0.2">
      <c r="U3026" s="12"/>
      <c r="V3026" s="13"/>
      <c r="W3026" s="16"/>
    </row>
    <row r="3027" spans="21:23" ht="16" x14ac:dyDescent="0.2">
      <c r="U3027" s="12"/>
      <c r="V3027" s="13"/>
      <c r="W3027" s="16"/>
    </row>
    <row r="3028" spans="21:23" ht="16" x14ac:dyDescent="0.2">
      <c r="U3028" s="12"/>
      <c r="V3028" s="13"/>
      <c r="W3028" s="16"/>
    </row>
    <row r="3029" spans="21:23" ht="16" x14ac:dyDescent="0.2">
      <c r="U3029" s="12"/>
      <c r="V3029" s="13"/>
      <c r="W3029" s="16"/>
    </row>
    <row r="3030" spans="21:23" ht="16" x14ac:dyDescent="0.2">
      <c r="U3030" s="12"/>
      <c r="V3030" s="13"/>
      <c r="W3030" s="16"/>
    </row>
    <row r="3031" spans="21:23" ht="16" x14ac:dyDescent="0.2">
      <c r="U3031" s="12"/>
      <c r="V3031" s="13"/>
      <c r="W3031" s="16"/>
    </row>
    <row r="3032" spans="21:23" ht="16" x14ac:dyDescent="0.2">
      <c r="U3032" s="12"/>
      <c r="V3032" s="13"/>
      <c r="W3032" s="16"/>
    </row>
    <row r="3033" spans="21:23" ht="16" x14ac:dyDescent="0.2">
      <c r="U3033" s="12"/>
      <c r="V3033" s="13"/>
      <c r="W3033" s="16"/>
    </row>
    <row r="3034" spans="21:23" ht="16" x14ac:dyDescent="0.2">
      <c r="U3034" s="12"/>
      <c r="V3034" s="13"/>
      <c r="W3034" s="16"/>
    </row>
    <row r="3035" spans="21:23" ht="16" x14ac:dyDescent="0.2">
      <c r="U3035" s="12"/>
      <c r="V3035" s="13"/>
      <c r="W3035" s="16"/>
    </row>
    <row r="3036" spans="21:23" ht="16" x14ac:dyDescent="0.2">
      <c r="U3036" s="12"/>
      <c r="V3036" s="13"/>
      <c r="W3036" s="16"/>
    </row>
    <row r="3037" spans="21:23" ht="16" x14ac:dyDescent="0.2">
      <c r="U3037" s="12"/>
      <c r="V3037" s="13"/>
      <c r="W3037" s="16"/>
    </row>
    <row r="3038" spans="21:23" ht="16" x14ac:dyDescent="0.2">
      <c r="U3038" s="12"/>
      <c r="V3038" s="13"/>
      <c r="W3038" s="16"/>
    </row>
    <row r="3039" spans="21:23" ht="16" x14ac:dyDescent="0.2">
      <c r="U3039" s="12"/>
      <c r="V3039" s="13"/>
      <c r="W3039" s="16"/>
    </row>
    <row r="3040" spans="21:23" ht="16" x14ac:dyDescent="0.2">
      <c r="U3040" s="12"/>
      <c r="V3040" s="13"/>
      <c r="W3040" s="16"/>
    </row>
    <row r="3041" spans="21:23" ht="16" x14ac:dyDescent="0.2">
      <c r="U3041" s="12"/>
      <c r="V3041" s="13"/>
      <c r="W3041" s="16"/>
    </row>
    <row r="3042" spans="21:23" ht="16" x14ac:dyDescent="0.2">
      <c r="U3042" s="12"/>
      <c r="V3042" s="13"/>
      <c r="W3042" s="16"/>
    </row>
    <row r="3043" spans="21:23" ht="16" x14ac:dyDescent="0.2">
      <c r="U3043" s="12"/>
      <c r="V3043" s="13"/>
      <c r="W3043" s="16"/>
    </row>
    <row r="3044" spans="21:23" ht="16" x14ac:dyDescent="0.2">
      <c r="U3044" s="12"/>
      <c r="V3044" s="13"/>
      <c r="W3044" s="16"/>
    </row>
    <row r="3045" spans="21:23" ht="16" x14ac:dyDescent="0.2">
      <c r="U3045" s="12"/>
      <c r="V3045" s="13"/>
      <c r="W3045" s="16"/>
    </row>
    <row r="3046" spans="21:23" ht="16" x14ac:dyDescent="0.2">
      <c r="U3046" s="12"/>
      <c r="V3046" s="13"/>
      <c r="W3046" s="16"/>
    </row>
    <row r="3047" spans="21:23" ht="16" x14ac:dyDescent="0.2">
      <c r="U3047" s="12"/>
      <c r="V3047" s="13"/>
      <c r="W3047" s="16"/>
    </row>
    <row r="3048" spans="21:23" ht="16" x14ac:dyDescent="0.2">
      <c r="U3048" s="12"/>
      <c r="V3048" s="13"/>
      <c r="W3048" s="16"/>
    </row>
    <row r="3049" spans="21:23" ht="16" x14ac:dyDescent="0.2">
      <c r="U3049" s="12"/>
      <c r="V3049" s="13"/>
      <c r="W3049" s="16"/>
    </row>
    <row r="3050" spans="21:23" ht="16" x14ac:dyDescent="0.2">
      <c r="U3050" s="12"/>
      <c r="V3050" s="13"/>
      <c r="W3050" s="16"/>
    </row>
    <row r="3051" spans="21:23" ht="16" x14ac:dyDescent="0.2">
      <c r="U3051" s="12"/>
      <c r="V3051" s="13"/>
      <c r="W3051" s="16"/>
    </row>
    <row r="3052" spans="21:23" ht="16" x14ac:dyDescent="0.2">
      <c r="U3052" s="12"/>
      <c r="V3052" s="13"/>
      <c r="W3052" s="16"/>
    </row>
    <row r="3053" spans="21:23" ht="16" x14ac:dyDescent="0.2">
      <c r="U3053" s="12"/>
      <c r="V3053" s="13"/>
      <c r="W3053" s="16"/>
    </row>
    <row r="3054" spans="21:23" ht="16" x14ac:dyDescent="0.2">
      <c r="U3054" s="12"/>
      <c r="V3054" s="13"/>
      <c r="W3054" s="16"/>
    </row>
    <row r="3055" spans="21:23" ht="16" x14ac:dyDescent="0.2">
      <c r="U3055" s="12"/>
      <c r="V3055" s="13"/>
      <c r="W3055" s="16"/>
    </row>
    <row r="3056" spans="21:23" ht="16" x14ac:dyDescent="0.2">
      <c r="U3056" s="12"/>
      <c r="V3056" s="13"/>
      <c r="W3056" s="16"/>
    </row>
    <row r="3057" spans="21:23" ht="16" x14ac:dyDescent="0.2">
      <c r="U3057" s="12"/>
      <c r="V3057" s="13"/>
      <c r="W3057" s="16"/>
    </row>
    <row r="3058" spans="21:23" ht="16" x14ac:dyDescent="0.2">
      <c r="U3058" s="12"/>
      <c r="V3058" s="13"/>
      <c r="W3058" s="16"/>
    </row>
    <row r="3059" spans="21:23" ht="16" x14ac:dyDescent="0.2">
      <c r="U3059" s="12"/>
      <c r="V3059" s="13"/>
      <c r="W3059" s="16"/>
    </row>
    <row r="3060" spans="21:23" ht="16" x14ac:dyDescent="0.2">
      <c r="U3060" s="12"/>
      <c r="V3060" s="13"/>
      <c r="W3060" s="16"/>
    </row>
    <row r="3061" spans="21:23" ht="16" x14ac:dyDescent="0.2">
      <c r="U3061" s="12"/>
      <c r="V3061" s="13"/>
      <c r="W3061" s="16"/>
    </row>
    <row r="3062" spans="21:23" ht="16" x14ac:dyDescent="0.2">
      <c r="U3062" s="12"/>
      <c r="V3062" s="13"/>
      <c r="W3062" s="16"/>
    </row>
    <row r="3063" spans="21:23" ht="16" x14ac:dyDescent="0.2">
      <c r="U3063" s="12"/>
      <c r="V3063" s="13"/>
      <c r="W3063" s="16"/>
    </row>
    <row r="3064" spans="21:23" ht="16" x14ac:dyDescent="0.2">
      <c r="U3064" s="12"/>
      <c r="V3064" s="13"/>
      <c r="W3064" s="16"/>
    </row>
    <row r="3065" spans="21:23" ht="16" x14ac:dyDescent="0.2">
      <c r="U3065" s="12"/>
      <c r="V3065" s="13"/>
      <c r="W3065" s="16"/>
    </row>
    <row r="3066" spans="21:23" ht="16" x14ac:dyDescent="0.2">
      <c r="U3066" s="12"/>
      <c r="V3066" s="13"/>
      <c r="W3066" s="16"/>
    </row>
    <row r="3067" spans="21:23" ht="16" x14ac:dyDescent="0.2">
      <c r="U3067" s="12"/>
      <c r="V3067" s="13"/>
      <c r="W3067" s="16"/>
    </row>
    <row r="3068" spans="21:23" ht="16" x14ac:dyDescent="0.2">
      <c r="U3068" s="12"/>
      <c r="V3068" s="13"/>
      <c r="W3068" s="16"/>
    </row>
    <row r="3069" spans="21:23" ht="16" x14ac:dyDescent="0.2">
      <c r="U3069" s="12"/>
      <c r="V3069" s="13"/>
      <c r="W3069" s="16"/>
    </row>
    <row r="3070" spans="21:23" ht="16" x14ac:dyDescent="0.2">
      <c r="U3070" s="12"/>
      <c r="V3070" s="13"/>
      <c r="W3070" s="16"/>
    </row>
    <row r="3071" spans="21:23" ht="16" x14ac:dyDescent="0.2">
      <c r="U3071" s="12"/>
      <c r="V3071" s="13"/>
      <c r="W3071" s="16"/>
    </row>
    <row r="3072" spans="21:23" ht="16" x14ac:dyDescent="0.2">
      <c r="U3072" s="12"/>
      <c r="V3072" s="13"/>
      <c r="W3072" s="16"/>
    </row>
    <row r="3073" spans="21:23" ht="16" x14ac:dyDescent="0.2">
      <c r="U3073" s="12"/>
      <c r="V3073" s="13"/>
      <c r="W3073" s="16"/>
    </row>
    <row r="3074" spans="21:23" ht="16" x14ac:dyDescent="0.2">
      <c r="U3074" s="12"/>
      <c r="V3074" s="13"/>
      <c r="W3074" s="16"/>
    </row>
    <row r="3075" spans="21:23" ht="16" x14ac:dyDescent="0.2">
      <c r="U3075" s="12"/>
      <c r="V3075" s="13"/>
      <c r="W3075" s="16"/>
    </row>
    <row r="3076" spans="21:23" ht="16" x14ac:dyDescent="0.2">
      <c r="U3076" s="12"/>
      <c r="V3076" s="13"/>
      <c r="W3076" s="16"/>
    </row>
    <row r="3077" spans="21:23" ht="16" x14ac:dyDescent="0.2">
      <c r="U3077" s="12"/>
      <c r="V3077" s="13"/>
      <c r="W3077" s="16"/>
    </row>
    <row r="3078" spans="21:23" ht="16" x14ac:dyDescent="0.2">
      <c r="U3078" s="12"/>
      <c r="V3078" s="13"/>
      <c r="W3078" s="16"/>
    </row>
    <row r="3079" spans="21:23" ht="16" x14ac:dyDescent="0.2">
      <c r="U3079" s="12"/>
      <c r="V3079" s="13"/>
      <c r="W3079" s="16"/>
    </row>
    <row r="3080" spans="21:23" ht="16" x14ac:dyDescent="0.2">
      <c r="U3080" s="12"/>
      <c r="V3080" s="13"/>
      <c r="W3080" s="16"/>
    </row>
    <row r="3081" spans="21:23" ht="16" x14ac:dyDescent="0.2">
      <c r="U3081" s="12"/>
      <c r="V3081" s="13"/>
      <c r="W3081" s="16"/>
    </row>
    <row r="3082" spans="21:23" ht="16" x14ac:dyDescent="0.2">
      <c r="U3082" s="12"/>
      <c r="V3082" s="13"/>
      <c r="W3082" s="16"/>
    </row>
    <row r="3083" spans="21:23" ht="16" x14ac:dyDescent="0.2">
      <c r="U3083" s="12"/>
      <c r="V3083" s="13"/>
      <c r="W3083" s="16"/>
    </row>
    <row r="3084" spans="21:23" ht="16" x14ac:dyDescent="0.2">
      <c r="U3084" s="12"/>
      <c r="V3084" s="13"/>
      <c r="W3084" s="16"/>
    </row>
    <row r="3085" spans="21:23" ht="16" x14ac:dyDescent="0.2">
      <c r="U3085" s="12"/>
      <c r="V3085" s="13"/>
      <c r="W3085" s="16"/>
    </row>
    <row r="3086" spans="21:23" ht="16" x14ac:dyDescent="0.2">
      <c r="U3086" s="12"/>
      <c r="V3086" s="13"/>
      <c r="W3086" s="16"/>
    </row>
    <row r="3087" spans="21:23" ht="16" x14ac:dyDescent="0.2">
      <c r="U3087" s="12"/>
      <c r="V3087" s="13"/>
      <c r="W3087" s="16"/>
    </row>
    <row r="3088" spans="21:23" ht="16" x14ac:dyDescent="0.2">
      <c r="U3088" s="12"/>
      <c r="V3088" s="13"/>
      <c r="W3088" s="16"/>
    </row>
    <row r="3089" spans="21:23" ht="16" x14ac:dyDescent="0.2">
      <c r="U3089" s="12"/>
      <c r="V3089" s="13"/>
      <c r="W3089" s="16"/>
    </row>
    <row r="3090" spans="21:23" ht="16" x14ac:dyDescent="0.2">
      <c r="U3090" s="12"/>
      <c r="V3090" s="13"/>
      <c r="W3090" s="16"/>
    </row>
    <row r="3091" spans="21:23" ht="16" x14ac:dyDescent="0.2">
      <c r="U3091" s="12"/>
      <c r="V3091" s="13"/>
      <c r="W3091" s="16"/>
    </row>
    <row r="3092" spans="21:23" ht="16" x14ac:dyDescent="0.2">
      <c r="U3092" s="12"/>
      <c r="V3092" s="13"/>
      <c r="W3092" s="16"/>
    </row>
    <row r="3093" spans="21:23" ht="16" x14ac:dyDescent="0.2">
      <c r="U3093" s="12"/>
      <c r="V3093" s="13"/>
      <c r="W3093" s="16"/>
    </row>
    <row r="3094" spans="21:23" ht="16" x14ac:dyDescent="0.2">
      <c r="U3094" s="12"/>
      <c r="V3094" s="13"/>
      <c r="W3094" s="16"/>
    </row>
    <row r="3095" spans="21:23" ht="16" x14ac:dyDescent="0.2">
      <c r="U3095" s="12"/>
      <c r="V3095" s="13"/>
      <c r="W3095" s="16"/>
    </row>
    <row r="3096" spans="21:23" ht="16" x14ac:dyDescent="0.2">
      <c r="U3096" s="12"/>
      <c r="V3096" s="13"/>
      <c r="W3096" s="16"/>
    </row>
    <row r="3097" spans="21:23" ht="16" x14ac:dyDescent="0.2">
      <c r="U3097" s="12"/>
      <c r="V3097" s="13"/>
      <c r="W3097" s="16"/>
    </row>
    <row r="3098" spans="21:23" ht="16" x14ac:dyDescent="0.2">
      <c r="U3098" s="12"/>
      <c r="V3098" s="13"/>
      <c r="W3098" s="16"/>
    </row>
    <row r="3099" spans="21:23" ht="16" x14ac:dyDescent="0.2">
      <c r="U3099" s="12"/>
      <c r="V3099" s="13"/>
      <c r="W3099" s="16"/>
    </row>
    <row r="3100" spans="21:23" ht="16" x14ac:dyDescent="0.2">
      <c r="U3100" s="12"/>
      <c r="V3100" s="13"/>
      <c r="W3100" s="16"/>
    </row>
    <row r="3101" spans="21:23" ht="16" x14ac:dyDescent="0.2">
      <c r="U3101" s="12"/>
      <c r="V3101" s="13"/>
      <c r="W3101" s="16"/>
    </row>
    <row r="3102" spans="21:23" ht="16" x14ac:dyDescent="0.2">
      <c r="U3102" s="12"/>
      <c r="V3102" s="13"/>
      <c r="W3102" s="16"/>
    </row>
    <row r="3103" spans="21:23" ht="16" x14ac:dyDescent="0.2">
      <c r="U3103" s="12"/>
      <c r="V3103" s="13"/>
      <c r="W3103" s="16"/>
    </row>
    <row r="3104" spans="21:23" ht="16" x14ac:dyDescent="0.2">
      <c r="U3104" s="12"/>
      <c r="V3104" s="13"/>
      <c r="W3104" s="16"/>
    </row>
    <row r="3105" spans="21:23" ht="16" x14ac:dyDescent="0.2">
      <c r="U3105" s="12"/>
      <c r="V3105" s="13"/>
      <c r="W3105" s="16"/>
    </row>
    <row r="3106" spans="21:23" ht="16" x14ac:dyDescent="0.2">
      <c r="U3106" s="12"/>
      <c r="V3106" s="13"/>
      <c r="W3106" s="16"/>
    </row>
    <row r="3107" spans="21:23" ht="16" x14ac:dyDescent="0.2">
      <c r="U3107" s="12"/>
      <c r="V3107" s="13"/>
      <c r="W3107" s="16"/>
    </row>
    <row r="3108" spans="21:23" ht="16" x14ac:dyDescent="0.2">
      <c r="U3108" s="12"/>
      <c r="V3108" s="13"/>
      <c r="W3108" s="16"/>
    </row>
    <row r="3109" spans="21:23" ht="16" x14ac:dyDescent="0.2">
      <c r="U3109" s="12"/>
      <c r="V3109" s="13"/>
      <c r="W3109" s="16"/>
    </row>
    <row r="3110" spans="21:23" ht="16" x14ac:dyDescent="0.2">
      <c r="U3110" s="12"/>
      <c r="V3110" s="13"/>
      <c r="W3110" s="16"/>
    </row>
    <row r="3111" spans="21:23" ht="16" x14ac:dyDescent="0.2">
      <c r="U3111" s="12"/>
      <c r="V3111" s="13"/>
      <c r="W3111" s="16"/>
    </row>
    <row r="3112" spans="21:23" ht="16" x14ac:dyDescent="0.2">
      <c r="U3112" s="12"/>
      <c r="V3112" s="13"/>
      <c r="W3112" s="16"/>
    </row>
    <row r="3113" spans="21:23" ht="16" x14ac:dyDescent="0.2">
      <c r="U3113" s="12"/>
      <c r="V3113" s="13"/>
      <c r="W3113" s="16"/>
    </row>
    <row r="3114" spans="21:23" ht="16" x14ac:dyDescent="0.2">
      <c r="U3114" s="12"/>
      <c r="V3114" s="13"/>
      <c r="W3114" s="16"/>
    </row>
    <row r="3115" spans="21:23" ht="16" x14ac:dyDescent="0.2">
      <c r="U3115" s="12"/>
      <c r="V3115" s="13"/>
      <c r="W3115" s="16"/>
    </row>
    <row r="3116" spans="21:23" ht="16" x14ac:dyDescent="0.2">
      <c r="U3116" s="12"/>
      <c r="V3116" s="13"/>
      <c r="W3116" s="16"/>
    </row>
    <row r="3117" spans="21:23" ht="16" x14ac:dyDescent="0.2">
      <c r="U3117" s="12"/>
      <c r="V3117" s="13"/>
      <c r="W3117" s="16"/>
    </row>
    <row r="3118" spans="21:23" ht="16" x14ac:dyDescent="0.2">
      <c r="U3118" s="12"/>
      <c r="V3118" s="13"/>
      <c r="W3118" s="16"/>
    </row>
    <row r="3119" spans="21:23" ht="16" x14ac:dyDescent="0.2">
      <c r="U3119" s="12"/>
      <c r="V3119" s="13"/>
      <c r="W3119" s="16"/>
    </row>
    <row r="3120" spans="21:23" ht="16" x14ac:dyDescent="0.2">
      <c r="U3120" s="12"/>
      <c r="V3120" s="13"/>
      <c r="W3120" s="16"/>
    </row>
    <row r="3121" spans="21:23" ht="16" x14ac:dyDescent="0.2">
      <c r="U3121" s="12"/>
      <c r="V3121" s="13"/>
      <c r="W3121" s="16"/>
    </row>
    <row r="3122" spans="21:23" ht="16" x14ac:dyDescent="0.2">
      <c r="U3122" s="12"/>
      <c r="V3122" s="13"/>
      <c r="W3122" s="16"/>
    </row>
    <row r="3123" spans="21:23" ht="16" x14ac:dyDescent="0.2">
      <c r="U3123" s="12"/>
      <c r="V3123" s="13"/>
      <c r="W3123" s="16"/>
    </row>
    <row r="3124" spans="21:23" ht="16" x14ac:dyDescent="0.2">
      <c r="U3124" s="12"/>
      <c r="V3124" s="13"/>
      <c r="W3124" s="16"/>
    </row>
    <row r="3125" spans="21:23" ht="16" x14ac:dyDescent="0.2">
      <c r="U3125" s="12"/>
      <c r="V3125" s="13"/>
      <c r="W3125" s="16"/>
    </row>
    <row r="3126" spans="21:23" ht="16" x14ac:dyDescent="0.2">
      <c r="U3126" s="12"/>
      <c r="V3126" s="13"/>
      <c r="W3126" s="16"/>
    </row>
    <row r="3127" spans="21:23" ht="16" x14ac:dyDescent="0.2">
      <c r="U3127" s="12"/>
      <c r="V3127" s="13"/>
      <c r="W3127" s="16"/>
    </row>
    <row r="3128" spans="21:23" ht="16" x14ac:dyDescent="0.2">
      <c r="U3128" s="12"/>
      <c r="V3128" s="13"/>
      <c r="W3128" s="16"/>
    </row>
    <row r="3129" spans="21:23" ht="16" x14ac:dyDescent="0.2">
      <c r="U3129" s="12"/>
      <c r="V3129" s="13"/>
      <c r="W3129" s="16"/>
    </row>
    <row r="3130" spans="21:23" ht="16" x14ac:dyDescent="0.2">
      <c r="U3130" s="12"/>
      <c r="V3130" s="13"/>
      <c r="W3130" s="16"/>
    </row>
    <row r="3131" spans="21:23" ht="16" x14ac:dyDescent="0.2">
      <c r="U3131" s="12"/>
      <c r="V3131" s="13"/>
      <c r="W3131" s="16"/>
    </row>
    <row r="3132" spans="21:23" ht="16" x14ac:dyDescent="0.2">
      <c r="U3132" s="12"/>
      <c r="V3132" s="13"/>
      <c r="W3132" s="16"/>
    </row>
    <row r="3133" spans="21:23" ht="16" x14ac:dyDescent="0.2">
      <c r="U3133" s="12"/>
      <c r="V3133" s="13"/>
      <c r="W3133" s="16"/>
    </row>
    <row r="3134" spans="21:23" ht="16" x14ac:dyDescent="0.2">
      <c r="U3134" s="12"/>
      <c r="V3134" s="13"/>
      <c r="W3134" s="16"/>
    </row>
    <row r="3135" spans="21:23" ht="16" x14ac:dyDescent="0.2">
      <c r="U3135" s="12"/>
      <c r="V3135" s="13"/>
      <c r="W3135" s="16"/>
    </row>
    <row r="3136" spans="21:23" ht="16" x14ac:dyDescent="0.2">
      <c r="U3136" s="12"/>
      <c r="V3136" s="13"/>
      <c r="W3136" s="16"/>
    </row>
    <row r="3137" spans="21:23" ht="16" x14ac:dyDescent="0.2">
      <c r="U3137" s="12"/>
      <c r="V3137" s="13"/>
      <c r="W3137" s="16"/>
    </row>
    <row r="3138" spans="21:23" ht="16" x14ac:dyDescent="0.2">
      <c r="U3138" s="12"/>
      <c r="V3138" s="13"/>
      <c r="W3138" s="16"/>
    </row>
    <row r="3139" spans="21:23" ht="16" x14ac:dyDescent="0.2">
      <c r="U3139" s="12"/>
      <c r="V3139" s="13"/>
      <c r="W3139" s="16"/>
    </row>
    <row r="3140" spans="21:23" ht="16" x14ac:dyDescent="0.2">
      <c r="U3140" s="12"/>
      <c r="V3140" s="13"/>
      <c r="W3140" s="16"/>
    </row>
    <row r="3141" spans="21:23" ht="16" x14ac:dyDescent="0.2">
      <c r="U3141" s="12"/>
      <c r="V3141" s="13"/>
      <c r="W3141" s="16"/>
    </row>
    <row r="3142" spans="21:23" ht="16" x14ac:dyDescent="0.2">
      <c r="U3142" s="12"/>
      <c r="V3142" s="13"/>
      <c r="W3142" s="16"/>
    </row>
    <row r="3143" spans="21:23" ht="16" x14ac:dyDescent="0.2">
      <c r="U3143" s="12"/>
      <c r="V3143" s="13"/>
      <c r="W3143" s="16"/>
    </row>
    <row r="3144" spans="21:23" ht="16" x14ac:dyDescent="0.2">
      <c r="U3144" s="12"/>
      <c r="V3144" s="13"/>
      <c r="W3144" s="16"/>
    </row>
    <row r="3145" spans="21:23" ht="16" x14ac:dyDescent="0.2">
      <c r="U3145" s="12"/>
      <c r="V3145" s="13"/>
      <c r="W3145" s="16"/>
    </row>
    <row r="3146" spans="21:23" ht="16" x14ac:dyDescent="0.2">
      <c r="U3146" s="12"/>
      <c r="V3146" s="13"/>
      <c r="W3146" s="16"/>
    </row>
    <row r="3147" spans="21:23" ht="16" x14ac:dyDescent="0.2">
      <c r="U3147" s="12"/>
      <c r="V3147" s="13"/>
      <c r="W3147" s="16"/>
    </row>
    <row r="3148" spans="21:23" ht="16" x14ac:dyDescent="0.2">
      <c r="U3148" s="12"/>
      <c r="V3148" s="13"/>
      <c r="W3148" s="16"/>
    </row>
    <row r="3149" spans="21:23" ht="16" x14ac:dyDescent="0.2">
      <c r="U3149" s="12"/>
      <c r="V3149" s="13"/>
      <c r="W3149" s="16"/>
    </row>
    <row r="3150" spans="21:23" ht="16" x14ac:dyDescent="0.2">
      <c r="U3150" s="12"/>
      <c r="V3150" s="13"/>
      <c r="W3150" s="16"/>
    </row>
    <row r="3151" spans="21:23" ht="16" x14ac:dyDescent="0.2">
      <c r="U3151" s="12"/>
      <c r="V3151" s="13"/>
      <c r="W3151" s="16"/>
    </row>
    <row r="3152" spans="21:23" ht="16" x14ac:dyDescent="0.2">
      <c r="U3152" s="12"/>
      <c r="V3152" s="13"/>
      <c r="W3152" s="16"/>
    </row>
    <row r="3153" spans="21:23" ht="16" x14ac:dyDescent="0.2">
      <c r="U3153" s="12"/>
      <c r="V3153" s="13"/>
      <c r="W3153" s="16"/>
    </row>
    <row r="3154" spans="21:23" ht="16" x14ac:dyDescent="0.2">
      <c r="U3154" s="12"/>
      <c r="V3154" s="13"/>
      <c r="W3154" s="16"/>
    </row>
    <row r="3155" spans="21:23" ht="16" x14ac:dyDescent="0.2">
      <c r="U3155" s="12"/>
      <c r="V3155" s="13"/>
      <c r="W3155" s="16"/>
    </row>
    <row r="3156" spans="21:23" ht="16" x14ac:dyDescent="0.2">
      <c r="U3156" s="12"/>
      <c r="V3156" s="13"/>
      <c r="W3156" s="16"/>
    </row>
    <row r="3157" spans="21:23" ht="16" x14ac:dyDescent="0.2">
      <c r="U3157" s="12"/>
      <c r="V3157" s="13"/>
      <c r="W3157" s="16"/>
    </row>
    <row r="3158" spans="21:23" ht="16" x14ac:dyDescent="0.2">
      <c r="U3158" s="12"/>
      <c r="V3158" s="13"/>
      <c r="W3158" s="16"/>
    </row>
    <row r="3159" spans="21:23" ht="16" x14ac:dyDescent="0.2">
      <c r="U3159" s="12"/>
      <c r="V3159" s="13"/>
      <c r="W3159" s="16"/>
    </row>
    <row r="3160" spans="21:23" ht="16" x14ac:dyDescent="0.2">
      <c r="U3160" s="12"/>
      <c r="V3160" s="13"/>
      <c r="W3160" s="16"/>
    </row>
    <row r="3161" spans="21:23" ht="16" x14ac:dyDescent="0.2">
      <c r="U3161" s="12"/>
      <c r="V3161" s="13"/>
      <c r="W3161" s="16"/>
    </row>
    <row r="3162" spans="21:23" ht="16" x14ac:dyDescent="0.2">
      <c r="U3162" s="12"/>
      <c r="V3162" s="13"/>
      <c r="W3162" s="16"/>
    </row>
    <row r="3163" spans="21:23" ht="16" x14ac:dyDescent="0.2">
      <c r="U3163" s="12"/>
      <c r="V3163" s="13"/>
      <c r="W3163" s="16"/>
    </row>
    <row r="3164" spans="21:23" ht="16" x14ac:dyDescent="0.2">
      <c r="U3164" s="12"/>
      <c r="V3164" s="13"/>
      <c r="W3164" s="16"/>
    </row>
    <row r="3165" spans="21:23" ht="16" x14ac:dyDescent="0.2">
      <c r="U3165" s="12"/>
      <c r="V3165" s="13"/>
      <c r="W3165" s="16"/>
    </row>
    <row r="3166" spans="21:23" ht="16" x14ac:dyDescent="0.2">
      <c r="U3166" s="12"/>
      <c r="V3166" s="13"/>
      <c r="W3166" s="16"/>
    </row>
    <row r="3167" spans="21:23" ht="16" x14ac:dyDescent="0.2">
      <c r="U3167" s="12"/>
      <c r="V3167" s="13"/>
      <c r="W3167" s="16"/>
    </row>
    <row r="3168" spans="21:23" ht="16" x14ac:dyDescent="0.2">
      <c r="U3168" s="12"/>
      <c r="V3168" s="13"/>
      <c r="W3168" s="16"/>
    </row>
    <row r="3169" spans="21:23" ht="16" x14ac:dyDescent="0.2">
      <c r="U3169" s="12"/>
      <c r="V3169" s="13"/>
      <c r="W3169" s="16"/>
    </row>
    <row r="3170" spans="21:23" ht="16" x14ac:dyDescent="0.2">
      <c r="U3170" s="12"/>
      <c r="V3170" s="13"/>
      <c r="W3170" s="16"/>
    </row>
    <row r="3171" spans="21:23" ht="16" x14ac:dyDescent="0.2">
      <c r="U3171" s="12"/>
      <c r="V3171" s="13"/>
      <c r="W3171" s="16"/>
    </row>
    <row r="3172" spans="21:23" ht="16" x14ac:dyDescent="0.2">
      <c r="U3172" s="12"/>
      <c r="V3172" s="13"/>
      <c r="W3172" s="16"/>
    </row>
    <row r="3173" spans="21:23" ht="16" x14ac:dyDescent="0.2">
      <c r="U3173" s="12"/>
      <c r="V3173" s="13"/>
      <c r="W3173" s="16"/>
    </row>
    <row r="3174" spans="21:23" ht="16" x14ac:dyDescent="0.2">
      <c r="U3174" s="12"/>
      <c r="V3174" s="13"/>
      <c r="W3174" s="16"/>
    </row>
    <row r="3175" spans="21:23" ht="16" x14ac:dyDescent="0.2">
      <c r="U3175" s="12"/>
      <c r="V3175" s="13"/>
      <c r="W3175" s="16"/>
    </row>
    <row r="3176" spans="21:23" ht="16" x14ac:dyDescent="0.2">
      <c r="U3176" s="12"/>
      <c r="V3176" s="13"/>
      <c r="W3176" s="16"/>
    </row>
    <row r="3177" spans="21:23" ht="16" x14ac:dyDescent="0.2">
      <c r="U3177" s="12"/>
      <c r="V3177" s="13"/>
      <c r="W3177" s="16"/>
    </row>
    <row r="3178" spans="21:23" ht="16" x14ac:dyDescent="0.2">
      <c r="U3178" s="12"/>
      <c r="V3178" s="13"/>
      <c r="W3178" s="16"/>
    </row>
    <row r="3179" spans="21:23" ht="16" x14ac:dyDescent="0.2">
      <c r="U3179" s="12"/>
      <c r="V3179" s="13"/>
      <c r="W3179" s="16"/>
    </row>
    <row r="3180" spans="21:23" ht="16" x14ac:dyDescent="0.2">
      <c r="U3180" s="12"/>
      <c r="V3180" s="13"/>
      <c r="W3180" s="16"/>
    </row>
    <row r="3181" spans="21:23" ht="16" x14ac:dyDescent="0.2">
      <c r="U3181" s="12"/>
      <c r="V3181" s="13"/>
      <c r="W3181" s="16"/>
    </row>
    <row r="3182" spans="21:23" ht="16" x14ac:dyDescent="0.2">
      <c r="U3182" s="12"/>
      <c r="V3182" s="13"/>
      <c r="W3182" s="16"/>
    </row>
    <row r="3183" spans="21:23" ht="16" x14ac:dyDescent="0.2">
      <c r="U3183" s="12"/>
      <c r="V3183" s="13"/>
      <c r="W3183" s="16"/>
    </row>
    <row r="3184" spans="21:23" ht="16" x14ac:dyDescent="0.2">
      <c r="U3184" s="12"/>
      <c r="V3184" s="13"/>
      <c r="W3184" s="16"/>
    </row>
    <row r="3185" spans="21:23" ht="16" x14ac:dyDescent="0.2">
      <c r="U3185" s="12"/>
      <c r="V3185" s="13"/>
      <c r="W3185" s="16"/>
    </row>
    <row r="3186" spans="21:23" ht="16" x14ac:dyDescent="0.2">
      <c r="U3186" s="12"/>
      <c r="V3186" s="13"/>
      <c r="W3186" s="16"/>
    </row>
    <row r="3187" spans="21:23" ht="16" x14ac:dyDescent="0.2">
      <c r="U3187" s="12"/>
      <c r="V3187" s="13"/>
      <c r="W3187" s="16"/>
    </row>
    <row r="3188" spans="21:23" ht="16" x14ac:dyDescent="0.2">
      <c r="U3188" s="12"/>
      <c r="V3188" s="13"/>
      <c r="W3188" s="16"/>
    </row>
    <row r="3189" spans="21:23" ht="16" x14ac:dyDescent="0.2">
      <c r="U3189" s="12"/>
      <c r="V3189" s="13"/>
      <c r="W3189" s="16"/>
    </row>
    <row r="3190" spans="21:23" ht="16" x14ac:dyDescent="0.2">
      <c r="U3190" s="12"/>
      <c r="V3190" s="13"/>
      <c r="W3190" s="16"/>
    </row>
    <row r="3191" spans="21:23" ht="16" x14ac:dyDescent="0.2">
      <c r="U3191" s="12"/>
      <c r="V3191" s="13"/>
      <c r="W3191" s="16"/>
    </row>
    <row r="3192" spans="21:23" ht="16" x14ac:dyDescent="0.2">
      <c r="U3192" s="12"/>
      <c r="V3192" s="13"/>
      <c r="W3192" s="16"/>
    </row>
    <row r="3193" spans="21:23" ht="16" x14ac:dyDescent="0.2">
      <c r="U3193" s="12"/>
      <c r="V3193" s="13"/>
      <c r="W3193" s="16"/>
    </row>
    <row r="3194" spans="21:23" ht="16" x14ac:dyDescent="0.2">
      <c r="U3194" s="12"/>
      <c r="V3194" s="13"/>
      <c r="W3194" s="16"/>
    </row>
    <row r="3195" spans="21:23" ht="16" x14ac:dyDescent="0.2">
      <c r="U3195" s="12"/>
      <c r="V3195" s="13"/>
      <c r="W3195" s="16"/>
    </row>
    <row r="3196" spans="21:23" ht="16" x14ac:dyDescent="0.2">
      <c r="U3196" s="12"/>
      <c r="V3196" s="13"/>
      <c r="W3196" s="16"/>
    </row>
    <row r="3197" spans="21:23" ht="16" x14ac:dyDescent="0.2">
      <c r="U3197" s="12"/>
      <c r="V3197" s="13"/>
      <c r="W3197" s="16"/>
    </row>
    <row r="3198" spans="21:23" ht="16" x14ac:dyDescent="0.2">
      <c r="U3198" s="12"/>
      <c r="V3198" s="13"/>
      <c r="W3198" s="16"/>
    </row>
    <row r="3199" spans="21:23" ht="16" x14ac:dyDescent="0.2">
      <c r="U3199" s="12"/>
      <c r="V3199" s="13"/>
      <c r="W3199" s="16"/>
    </row>
    <row r="3200" spans="21:23" ht="16" x14ac:dyDescent="0.2">
      <c r="U3200" s="12"/>
      <c r="V3200" s="13"/>
      <c r="W3200" s="16"/>
    </row>
    <row r="3201" spans="21:23" ht="16" x14ac:dyDescent="0.2">
      <c r="U3201" s="12"/>
      <c r="V3201" s="13"/>
      <c r="W3201" s="16"/>
    </row>
    <row r="3202" spans="21:23" ht="16" x14ac:dyDescent="0.2">
      <c r="U3202" s="12"/>
      <c r="V3202" s="13"/>
      <c r="W3202" s="16"/>
    </row>
    <row r="3203" spans="21:23" ht="16" x14ac:dyDescent="0.2">
      <c r="U3203" s="12"/>
      <c r="V3203" s="13"/>
      <c r="W3203" s="16"/>
    </row>
    <row r="3204" spans="21:23" ht="16" x14ac:dyDescent="0.2">
      <c r="U3204" s="12"/>
      <c r="V3204" s="13"/>
      <c r="W3204" s="16"/>
    </row>
    <row r="3205" spans="21:23" ht="16" x14ac:dyDescent="0.2">
      <c r="U3205" s="12"/>
      <c r="V3205" s="13"/>
      <c r="W3205" s="16"/>
    </row>
    <row r="3206" spans="21:23" ht="16" x14ac:dyDescent="0.2">
      <c r="U3206" s="12"/>
      <c r="V3206" s="13"/>
      <c r="W3206" s="16"/>
    </row>
    <row r="3207" spans="21:23" ht="16" x14ac:dyDescent="0.2">
      <c r="U3207" s="12"/>
      <c r="V3207" s="13"/>
      <c r="W3207" s="16"/>
    </row>
    <row r="3208" spans="21:23" ht="16" x14ac:dyDescent="0.2">
      <c r="U3208" s="12"/>
      <c r="V3208" s="13"/>
      <c r="W3208" s="16"/>
    </row>
    <row r="3209" spans="21:23" ht="16" x14ac:dyDescent="0.2">
      <c r="U3209" s="12"/>
      <c r="V3209" s="13"/>
      <c r="W3209" s="16"/>
    </row>
    <row r="3210" spans="21:23" ht="16" x14ac:dyDescent="0.2">
      <c r="U3210" s="12"/>
      <c r="V3210" s="13"/>
      <c r="W3210" s="16"/>
    </row>
    <row r="3211" spans="21:23" ht="16" x14ac:dyDescent="0.2">
      <c r="U3211" s="12"/>
      <c r="V3211" s="13"/>
      <c r="W3211" s="16"/>
    </row>
    <row r="3212" spans="21:23" ht="16" x14ac:dyDescent="0.2">
      <c r="U3212" s="12"/>
      <c r="V3212" s="13"/>
      <c r="W3212" s="16"/>
    </row>
    <row r="3213" spans="21:23" ht="16" x14ac:dyDescent="0.2">
      <c r="U3213" s="12"/>
      <c r="V3213" s="13"/>
      <c r="W3213" s="16"/>
    </row>
    <row r="3214" spans="21:23" ht="16" x14ac:dyDescent="0.2">
      <c r="U3214" s="12"/>
      <c r="V3214" s="13"/>
      <c r="W3214" s="16"/>
    </row>
    <row r="3215" spans="21:23" ht="16" x14ac:dyDescent="0.2">
      <c r="U3215" s="12"/>
      <c r="V3215" s="13"/>
      <c r="W3215" s="16"/>
    </row>
    <row r="3216" spans="21:23" ht="16" x14ac:dyDescent="0.2">
      <c r="U3216" s="12"/>
      <c r="V3216" s="13"/>
      <c r="W3216" s="16"/>
    </row>
    <row r="3217" spans="21:23" ht="16" x14ac:dyDescent="0.2">
      <c r="U3217" s="12"/>
      <c r="V3217" s="13"/>
      <c r="W3217" s="16"/>
    </row>
    <row r="3218" spans="21:23" ht="16" x14ac:dyDescent="0.2">
      <c r="U3218" s="12"/>
      <c r="V3218" s="13"/>
      <c r="W3218" s="16"/>
    </row>
    <row r="3219" spans="21:23" ht="16" x14ac:dyDescent="0.2">
      <c r="U3219" s="12"/>
      <c r="V3219" s="13"/>
      <c r="W3219" s="16"/>
    </row>
    <row r="3220" spans="21:23" ht="16" x14ac:dyDescent="0.2">
      <c r="U3220" s="12"/>
      <c r="V3220" s="13"/>
      <c r="W3220" s="16"/>
    </row>
    <row r="3221" spans="21:23" ht="16" x14ac:dyDescent="0.2">
      <c r="U3221" s="12"/>
      <c r="V3221" s="13"/>
      <c r="W3221" s="16"/>
    </row>
    <row r="3222" spans="21:23" ht="16" x14ac:dyDescent="0.2">
      <c r="U3222" s="12"/>
      <c r="V3222" s="13"/>
      <c r="W3222" s="16"/>
    </row>
    <row r="3223" spans="21:23" ht="16" x14ac:dyDescent="0.2">
      <c r="U3223" s="12"/>
      <c r="V3223" s="13"/>
      <c r="W3223" s="16"/>
    </row>
    <row r="3224" spans="21:23" ht="16" x14ac:dyDescent="0.2">
      <c r="U3224" s="12"/>
      <c r="V3224" s="13"/>
      <c r="W3224" s="16"/>
    </row>
    <row r="3225" spans="21:23" ht="16" x14ac:dyDescent="0.2">
      <c r="U3225" s="12"/>
      <c r="V3225" s="13"/>
      <c r="W3225" s="16"/>
    </row>
    <row r="3226" spans="21:23" ht="16" x14ac:dyDescent="0.2">
      <c r="U3226" s="12"/>
      <c r="V3226" s="13"/>
      <c r="W3226" s="16"/>
    </row>
    <row r="3227" spans="21:23" ht="16" x14ac:dyDescent="0.2">
      <c r="U3227" s="12"/>
      <c r="V3227" s="13"/>
      <c r="W3227" s="16"/>
    </row>
    <row r="3228" spans="21:23" ht="16" x14ac:dyDescent="0.2">
      <c r="U3228" s="12"/>
      <c r="V3228" s="13"/>
      <c r="W3228" s="16"/>
    </row>
    <row r="3229" spans="21:23" ht="16" x14ac:dyDescent="0.2">
      <c r="U3229" s="12"/>
      <c r="V3229" s="13"/>
      <c r="W3229" s="16"/>
    </row>
    <row r="3230" spans="21:23" ht="16" x14ac:dyDescent="0.2">
      <c r="U3230" s="12"/>
      <c r="V3230" s="13"/>
      <c r="W3230" s="16"/>
    </row>
    <row r="3231" spans="21:23" ht="16" x14ac:dyDescent="0.2">
      <c r="U3231" s="12"/>
      <c r="V3231" s="13"/>
      <c r="W3231" s="16"/>
    </row>
    <row r="3232" spans="21:23" ht="16" x14ac:dyDescent="0.2">
      <c r="U3232" s="12"/>
      <c r="V3232" s="13"/>
      <c r="W3232" s="16"/>
    </row>
    <row r="3233" spans="21:23" ht="16" x14ac:dyDescent="0.2">
      <c r="U3233" s="12"/>
      <c r="V3233" s="13"/>
      <c r="W3233" s="16"/>
    </row>
    <row r="3234" spans="21:23" ht="16" x14ac:dyDescent="0.2">
      <c r="U3234" s="12"/>
      <c r="V3234" s="13"/>
      <c r="W3234" s="16"/>
    </row>
    <row r="3235" spans="21:23" ht="16" x14ac:dyDescent="0.2">
      <c r="U3235" s="12"/>
      <c r="V3235" s="13"/>
      <c r="W3235" s="16"/>
    </row>
    <row r="3236" spans="21:23" ht="16" x14ac:dyDescent="0.2">
      <c r="U3236" s="12"/>
      <c r="V3236" s="13"/>
      <c r="W3236" s="16"/>
    </row>
    <row r="3237" spans="21:23" ht="16" x14ac:dyDescent="0.2">
      <c r="U3237" s="12"/>
      <c r="V3237" s="13"/>
      <c r="W3237" s="16"/>
    </row>
    <row r="3238" spans="21:23" ht="16" x14ac:dyDescent="0.2">
      <c r="U3238" s="12"/>
      <c r="V3238" s="13"/>
      <c r="W3238" s="16"/>
    </row>
    <row r="3239" spans="21:23" ht="16" x14ac:dyDescent="0.2">
      <c r="U3239" s="12"/>
      <c r="V3239" s="13"/>
      <c r="W3239" s="16"/>
    </row>
    <row r="3240" spans="21:23" ht="16" x14ac:dyDescent="0.2">
      <c r="U3240" s="12"/>
      <c r="V3240" s="13"/>
      <c r="W3240" s="16"/>
    </row>
    <row r="3241" spans="21:23" ht="16" x14ac:dyDescent="0.2">
      <c r="U3241" s="12"/>
      <c r="V3241" s="13"/>
      <c r="W3241" s="16"/>
    </row>
    <row r="3242" spans="21:23" ht="16" x14ac:dyDescent="0.2">
      <c r="U3242" s="12"/>
      <c r="V3242" s="13"/>
      <c r="W3242" s="16"/>
    </row>
    <row r="3243" spans="21:23" ht="16" x14ac:dyDescent="0.2">
      <c r="U3243" s="12"/>
      <c r="V3243" s="13"/>
      <c r="W3243" s="16"/>
    </row>
    <row r="3244" spans="21:23" ht="16" x14ac:dyDescent="0.2">
      <c r="U3244" s="12"/>
      <c r="V3244" s="13"/>
      <c r="W3244" s="16"/>
    </row>
    <row r="3245" spans="21:23" ht="16" x14ac:dyDescent="0.2">
      <c r="U3245" s="12"/>
      <c r="V3245" s="13"/>
      <c r="W3245" s="16"/>
    </row>
    <row r="3246" spans="21:23" ht="16" x14ac:dyDescent="0.2">
      <c r="U3246" s="12"/>
      <c r="V3246" s="13"/>
      <c r="W3246" s="16"/>
    </row>
    <row r="3247" spans="21:23" ht="16" x14ac:dyDescent="0.2">
      <c r="U3247" s="12"/>
      <c r="V3247" s="13"/>
      <c r="W3247" s="16"/>
    </row>
    <row r="3248" spans="21:23" ht="16" x14ac:dyDescent="0.2">
      <c r="U3248" s="12"/>
      <c r="V3248" s="13"/>
      <c r="W3248" s="16"/>
    </row>
    <row r="3249" spans="21:23" ht="16" x14ac:dyDescent="0.2">
      <c r="U3249" s="12"/>
      <c r="V3249" s="13"/>
      <c r="W3249" s="16"/>
    </row>
    <row r="3250" spans="21:23" ht="16" x14ac:dyDescent="0.2">
      <c r="U3250" s="12"/>
      <c r="V3250" s="13"/>
      <c r="W3250" s="16"/>
    </row>
    <row r="3251" spans="21:23" ht="16" x14ac:dyDescent="0.2">
      <c r="U3251" s="12"/>
      <c r="V3251" s="13"/>
      <c r="W3251" s="16"/>
    </row>
    <row r="3252" spans="21:23" ht="16" x14ac:dyDescent="0.2">
      <c r="U3252" s="12"/>
      <c r="V3252" s="13"/>
      <c r="W3252" s="16"/>
    </row>
    <row r="3253" spans="21:23" ht="16" x14ac:dyDescent="0.2">
      <c r="U3253" s="12"/>
      <c r="V3253" s="13"/>
      <c r="W3253" s="16"/>
    </row>
    <row r="3254" spans="21:23" ht="16" x14ac:dyDescent="0.2">
      <c r="U3254" s="12"/>
      <c r="V3254" s="13"/>
      <c r="W3254" s="16"/>
    </row>
    <row r="3255" spans="21:23" ht="16" x14ac:dyDescent="0.2">
      <c r="U3255" s="12"/>
      <c r="V3255" s="13"/>
      <c r="W3255" s="16"/>
    </row>
    <row r="3256" spans="21:23" ht="16" x14ac:dyDescent="0.2">
      <c r="U3256" s="12"/>
      <c r="V3256" s="13"/>
      <c r="W3256" s="16"/>
    </row>
    <row r="3257" spans="21:23" ht="16" x14ac:dyDescent="0.2">
      <c r="U3257" s="12"/>
      <c r="V3257" s="13"/>
      <c r="W3257" s="16"/>
    </row>
    <row r="3258" spans="21:23" ht="16" x14ac:dyDescent="0.2">
      <c r="U3258" s="12"/>
      <c r="V3258" s="13"/>
      <c r="W3258" s="16"/>
    </row>
    <row r="3259" spans="21:23" ht="16" x14ac:dyDescent="0.2">
      <c r="U3259" s="12"/>
      <c r="V3259" s="13"/>
      <c r="W3259" s="16"/>
    </row>
    <row r="3260" spans="21:23" ht="16" x14ac:dyDescent="0.2">
      <c r="U3260" s="12"/>
      <c r="V3260" s="13"/>
      <c r="W3260" s="16"/>
    </row>
    <row r="3261" spans="21:23" ht="16" x14ac:dyDescent="0.2">
      <c r="U3261" s="12"/>
      <c r="V3261" s="13"/>
      <c r="W3261" s="16"/>
    </row>
    <row r="3262" spans="21:23" ht="16" x14ac:dyDescent="0.2">
      <c r="U3262" s="12"/>
      <c r="V3262" s="13"/>
      <c r="W3262" s="16"/>
    </row>
    <row r="3263" spans="21:23" ht="16" x14ac:dyDescent="0.2">
      <c r="U3263" s="12"/>
      <c r="V3263" s="13"/>
      <c r="W3263" s="16"/>
    </row>
    <row r="3264" spans="21:23" ht="16" x14ac:dyDescent="0.2">
      <c r="U3264" s="12"/>
      <c r="V3264" s="13"/>
      <c r="W3264" s="16"/>
    </row>
    <row r="3265" spans="21:23" ht="16" x14ac:dyDescent="0.2">
      <c r="U3265" s="12"/>
      <c r="V3265" s="13"/>
      <c r="W3265" s="16"/>
    </row>
    <row r="3266" spans="21:23" ht="16" x14ac:dyDescent="0.2">
      <c r="U3266" s="12"/>
      <c r="V3266" s="13"/>
      <c r="W3266" s="16"/>
    </row>
    <row r="3267" spans="21:23" ht="16" x14ac:dyDescent="0.2">
      <c r="U3267" s="12"/>
      <c r="V3267" s="13"/>
      <c r="W3267" s="16"/>
    </row>
    <row r="3268" spans="21:23" ht="16" x14ac:dyDescent="0.2">
      <c r="U3268" s="12"/>
      <c r="V3268" s="13"/>
      <c r="W3268" s="16"/>
    </row>
    <row r="3269" spans="21:23" ht="16" x14ac:dyDescent="0.2">
      <c r="U3269" s="12"/>
      <c r="V3269" s="13"/>
      <c r="W3269" s="16"/>
    </row>
    <row r="3270" spans="21:23" ht="16" x14ac:dyDescent="0.2">
      <c r="U3270" s="12"/>
      <c r="V3270" s="13"/>
      <c r="W3270" s="16"/>
    </row>
    <row r="3271" spans="21:23" ht="16" x14ac:dyDescent="0.2">
      <c r="U3271" s="12"/>
      <c r="V3271" s="13"/>
      <c r="W3271" s="16"/>
    </row>
    <row r="3272" spans="21:23" ht="16" x14ac:dyDescent="0.2">
      <c r="U3272" s="12"/>
      <c r="V3272" s="13"/>
      <c r="W3272" s="16"/>
    </row>
    <row r="3273" spans="21:23" ht="16" x14ac:dyDescent="0.2">
      <c r="U3273" s="12"/>
      <c r="V3273" s="13"/>
      <c r="W3273" s="16"/>
    </row>
    <row r="3274" spans="21:23" ht="16" x14ac:dyDescent="0.2">
      <c r="U3274" s="12"/>
      <c r="V3274" s="13"/>
      <c r="W3274" s="16"/>
    </row>
    <row r="3275" spans="21:23" ht="16" x14ac:dyDescent="0.2">
      <c r="U3275" s="12"/>
      <c r="V3275" s="13"/>
      <c r="W3275" s="16"/>
    </row>
    <row r="3276" spans="21:23" ht="16" x14ac:dyDescent="0.2">
      <c r="U3276" s="12"/>
      <c r="V3276" s="13"/>
      <c r="W3276" s="16"/>
    </row>
    <row r="3277" spans="21:23" ht="16" x14ac:dyDescent="0.2">
      <c r="U3277" s="12"/>
      <c r="V3277" s="13"/>
      <c r="W3277" s="16"/>
    </row>
    <row r="3278" spans="21:23" ht="16" x14ac:dyDescent="0.2">
      <c r="U3278" s="12"/>
      <c r="V3278" s="13"/>
      <c r="W3278" s="16"/>
    </row>
    <row r="3279" spans="21:23" ht="16" x14ac:dyDescent="0.2">
      <c r="U3279" s="12"/>
      <c r="V3279" s="13"/>
      <c r="W3279" s="16"/>
    </row>
    <row r="3280" spans="21:23" ht="16" x14ac:dyDescent="0.2">
      <c r="U3280" s="12"/>
      <c r="V3280" s="13"/>
      <c r="W3280" s="16"/>
    </row>
    <row r="3281" spans="21:23" ht="16" x14ac:dyDescent="0.2">
      <c r="U3281" s="12"/>
      <c r="V3281" s="13"/>
      <c r="W3281" s="16"/>
    </row>
    <row r="3282" spans="21:23" ht="16" x14ac:dyDescent="0.2">
      <c r="U3282" s="12"/>
      <c r="V3282" s="13"/>
      <c r="W3282" s="16"/>
    </row>
    <row r="3283" spans="21:23" ht="16" x14ac:dyDescent="0.2">
      <c r="U3283" s="12"/>
      <c r="V3283" s="13"/>
      <c r="W3283" s="16"/>
    </row>
    <row r="3284" spans="21:23" ht="16" x14ac:dyDescent="0.2">
      <c r="U3284" s="12"/>
      <c r="V3284" s="13"/>
      <c r="W3284" s="16"/>
    </row>
    <row r="3285" spans="21:23" ht="16" x14ac:dyDescent="0.2">
      <c r="U3285" s="12"/>
      <c r="V3285" s="13"/>
      <c r="W3285" s="16"/>
    </row>
    <row r="3286" spans="21:23" ht="16" x14ac:dyDescent="0.2">
      <c r="U3286" s="12"/>
      <c r="V3286" s="13"/>
      <c r="W3286" s="16"/>
    </row>
    <row r="3287" spans="21:23" ht="16" x14ac:dyDescent="0.2">
      <c r="U3287" s="12"/>
      <c r="V3287" s="13"/>
      <c r="W3287" s="16"/>
    </row>
    <row r="3288" spans="21:23" ht="16" x14ac:dyDescent="0.2">
      <c r="U3288" s="12"/>
      <c r="V3288" s="13"/>
      <c r="W3288" s="16"/>
    </row>
    <row r="3289" spans="21:23" ht="16" x14ac:dyDescent="0.2">
      <c r="U3289" s="12"/>
      <c r="V3289" s="13"/>
      <c r="W3289" s="16"/>
    </row>
    <row r="3290" spans="21:23" ht="16" x14ac:dyDescent="0.2">
      <c r="U3290" s="12"/>
      <c r="V3290" s="13"/>
      <c r="W3290" s="16"/>
    </row>
    <row r="3291" spans="21:23" ht="16" x14ac:dyDescent="0.2">
      <c r="U3291" s="12"/>
      <c r="V3291" s="13"/>
      <c r="W3291" s="16"/>
    </row>
    <row r="3292" spans="21:23" ht="16" x14ac:dyDescent="0.2">
      <c r="U3292" s="12"/>
      <c r="V3292" s="13"/>
      <c r="W3292" s="16"/>
    </row>
    <row r="3293" spans="21:23" ht="16" x14ac:dyDescent="0.2">
      <c r="U3293" s="12"/>
      <c r="V3293" s="13"/>
      <c r="W3293" s="16"/>
    </row>
    <row r="3294" spans="21:23" ht="16" x14ac:dyDescent="0.2">
      <c r="U3294" s="12"/>
      <c r="V3294" s="13"/>
      <c r="W3294" s="16"/>
    </row>
    <row r="3295" spans="21:23" ht="16" x14ac:dyDescent="0.2">
      <c r="U3295" s="12"/>
      <c r="V3295" s="13"/>
      <c r="W3295" s="16"/>
    </row>
    <row r="3296" spans="21:23" ht="16" x14ac:dyDescent="0.2">
      <c r="U3296" s="12"/>
      <c r="V3296" s="13"/>
      <c r="W3296" s="16"/>
    </row>
    <row r="3297" spans="21:23" ht="16" x14ac:dyDescent="0.2">
      <c r="U3297" s="12"/>
      <c r="V3297" s="13"/>
      <c r="W3297" s="16"/>
    </row>
    <row r="3298" spans="21:23" ht="16" x14ac:dyDescent="0.2">
      <c r="U3298" s="12"/>
      <c r="V3298" s="13"/>
      <c r="W3298" s="16"/>
    </row>
    <row r="3299" spans="21:23" ht="16" x14ac:dyDescent="0.2">
      <c r="U3299" s="12"/>
      <c r="V3299" s="13"/>
      <c r="W3299" s="16"/>
    </row>
    <row r="3300" spans="21:23" ht="16" x14ac:dyDescent="0.2">
      <c r="U3300" s="12"/>
      <c r="V3300" s="13"/>
      <c r="W3300" s="16"/>
    </row>
    <row r="3301" spans="21:23" ht="16" x14ac:dyDescent="0.2">
      <c r="U3301" s="12"/>
      <c r="V3301" s="13"/>
      <c r="W3301" s="16"/>
    </row>
    <row r="3302" spans="21:23" ht="16" x14ac:dyDescent="0.2">
      <c r="U3302" s="12"/>
      <c r="V3302" s="13"/>
      <c r="W3302" s="16"/>
    </row>
    <row r="3303" spans="21:23" ht="16" x14ac:dyDescent="0.2">
      <c r="U3303" s="12"/>
      <c r="V3303" s="13"/>
      <c r="W3303" s="16"/>
    </row>
    <row r="3304" spans="21:23" ht="16" x14ac:dyDescent="0.2">
      <c r="U3304" s="12"/>
      <c r="V3304" s="13"/>
      <c r="W3304" s="16"/>
    </row>
    <row r="3305" spans="21:23" ht="16" x14ac:dyDescent="0.2">
      <c r="U3305" s="12"/>
      <c r="V3305" s="13"/>
      <c r="W3305" s="16"/>
    </row>
    <row r="3306" spans="21:23" ht="16" x14ac:dyDescent="0.2">
      <c r="U3306" s="12"/>
      <c r="V3306" s="13"/>
      <c r="W3306" s="16"/>
    </row>
    <row r="3307" spans="21:23" ht="16" x14ac:dyDescent="0.2">
      <c r="U3307" s="12"/>
      <c r="V3307" s="13"/>
      <c r="W3307" s="16"/>
    </row>
    <row r="3308" spans="21:23" ht="16" x14ac:dyDescent="0.2">
      <c r="U3308" s="12"/>
      <c r="V3308" s="13"/>
      <c r="W3308" s="16"/>
    </row>
    <row r="3309" spans="21:23" ht="16" x14ac:dyDescent="0.2">
      <c r="U3309" s="12"/>
      <c r="V3309" s="13"/>
      <c r="W3309" s="16"/>
    </row>
    <row r="3310" spans="21:23" ht="16" x14ac:dyDescent="0.2">
      <c r="U3310" s="12"/>
      <c r="V3310" s="13"/>
      <c r="W3310" s="16"/>
    </row>
    <row r="3311" spans="21:23" ht="16" x14ac:dyDescent="0.2">
      <c r="U3311" s="12"/>
      <c r="V3311" s="13"/>
      <c r="W3311" s="16"/>
    </row>
    <row r="3312" spans="21:23" ht="16" x14ac:dyDescent="0.2">
      <c r="U3312" s="12"/>
      <c r="V3312" s="13"/>
      <c r="W3312" s="16"/>
    </row>
    <row r="3313" spans="21:23" ht="16" x14ac:dyDescent="0.2">
      <c r="U3313" s="12"/>
      <c r="V3313" s="13"/>
      <c r="W3313" s="16"/>
    </row>
    <row r="3314" spans="21:23" ht="16" x14ac:dyDescent="0.2">
      <c r="U3314" s="12"/>
      <c r="V3314" s="13"/>
      <c r="W3314" s="16"/>
    </row>
    <row r="3315" spans="21:23" ht="16" x14ac:dyDescent="0.2">
      <c r="U3315" s="12"/>
      <c r="V3315" s="13"/>
      <c r="W3315" s="16"/>
    </row>
    <row r="3316" spans="21:23" ht="16" x14ac:dyDescent="0.2">
      <c r="U3316" s="12"/>
      <c r="V3316" s="13"/>
      <c r="W3316" s="16"/>
    </row>
    <row r="3317" spans="21:23" ht="16" x14ac:dyDescent="0.2">
      <c r="U3317" s="12"/>
      <c r="V3317" s="13"/>
      <c r="W3317" s="16"/>
    </row>
    <row r="3318" spans="21:23" ht="16" x14ac:dyDescent="0.2">
      <c r="U3318" s="12"/>
      <c r="V3318" s="13"/>
      <c r="W3318" s="16"/>
    </row>
    <row r="3319" spans="21:23" ht="16" x14ac:dyDescent="0.2">
      <c r="U3319" s="12"/>
      <c r="V3319" s="13"/>
      <c r="W3319" s="16"/>
    </row>
    <row r="3320" spans="21:23" ht="16" x14ac:dyDescent="0.2">
      <c r="U3320" s="12"/>
      <c r="V3320" s="13"/>
      <c r="W3320" s="16"/>
    </row>
    <row r="3321" spans="21:23" ht="16" x14ac:dyDescent="0.2">
      <c r="U3321" s="12"/>
      <c r="V3321" s="13"/>
      <c r="W3321" s="16"/>
    </row>
    <row r="3322" spans="21:23" ht="16" x14ac:dyDescent="0.2">
      <c r="U3322" s="12"/>
      <c r="V3322" s="13"/>
      <c r="W3322" s="16"/>
    </row>
    <row r="3323" spans="21:23" ht="16" x14ac:dyDescent="0.2">
      <c r="U3323" s="12"/>
      <c r="V3323" s="13"/>
      <c r="W3323" s="16"/>
    </row>
    <row r="3324" spans="21:23" ht="16" x14ac:dyDescent="0.2">
      <c r="U3324" s="12"/>
      <c r="V3324" s="13"/>
      <c r="W3324" s="16"/>
    </row>
    <row r="3325" spans="21:23" ht="16" x14ac:dyDescent="0.2">
      <c r="U3325" s="12"/>
      <c r="V3325" s="13"/>
      <c r="W3325" s="16"/>
    </row>
    <row r="3326" spans="21:23" ht="16" x14ac:dyDescent="0.2">
      <c r="U3326" s="12"/>
      <c r="V3326" s="13"/>
      <c r="W3326" s="16"/>
    </row>
    <row r="3327" spans="21:23" ht="16" x14ac:dyDescent="0.2">
      <c r="U3327" s="12"/>
      <c r="V3327" s="13"/>
      <c r="W3327" s="16"/>
    </row>
    <row r="3328" spans="21:23" ht="16" x14ac:dyDescent="0.2">
      <c r="U3328" s="12"/>
      <c r="V3328" s="13"/>
      <c r="W3328" s="16"/>
    </row>
    <row r="3329" spans="21:23" ht="16" x14ac:dyDescent="0.2">
      <c r="U3329" s="12"/>
      <c r="V3329" s="13"/>
      <c r="W3329" s="16"/>
    </row>
    <row r="3330" spans="21:23" ht="16" x14ac:dyDescent="0.2">
      <c r="U3330" s="12"/>
      <c r="V3330" s="13"/>
      <c r="W3330" s="16"/>
    </row>
    <row r="3331" spans="21:23" ht="16" x14ac:dyDescent="0.2">
      <c r="U3331" s="12"/>
      <c r="V3331" s="13"/>
      <c r="W3331" s="16"/>
    </row>
    <row r="3332" spans="21:23" ht="16" x14ac:dyDescent="0.2">
      <c r="U3332" s="12"/>
      <c r="V3332" s="13"/>
      <c r="W3332" s="16"/>
    </row>
    <row r="3333" spans="21:23" ht="16" x14ac:dyDescent="0.2">
      <c r="U3333" s="12"/>
      <c r="V3333" s="13"/>
      <c r="W3333" s="16"/>
    </row>
    <row r="3334" spans="21:23" ht="16" x14ac:dyDescent="0.2">
      <c r="U3334" s="12"/>
      <c r="V3334" s="13"/>
      <c r="W3334" s="16"/>
    </row>
    <row r="3335" spans="21:23" ht="16" x14ac:dyDescent="0.2">
      <c r="U3335" s="12"/>
      <c r="V3335" s="13"/>
      <c r="W3335" s="16"/>
    </row>
    <row r="3336" spans="21:23" ht="16" x14ac:dyDescent="0.2">
      <c r="U3336" s="12"/>
      <c r="V3336" s="13"/>
      <c r="W3336" s="16"/>
    </row>
    <row r="3337" spans="21:23" ht="16" x14ac:dyDescent="0.2">
      <c r="U3337" s="12"/>
      <c r="V3337" s="13"/>
      <c r="W3337" s="16"/>
    </row>
    <row r="3338" spans="21:23" ht="16" x14ac:dyDescent="0.2">
      <c r="U3338" s="12"/>
      <c r="V3338" s="13"/>
      <c r="W3338" s="16"/>
    </row>
    <row r="3339" spans="21:23" ht="16" x14ac:dyDescent="0.2">
      <c r="U3339" s="12"/>
      <c r="V3339" s="13"/>
      <c r="W3339" s="16"/>
    </row>
    <row r="3340" spans="21:23" ht="16" x14ac:dyDescent="0.2">
      <c r="U3340" s="12"/>
      <c r="V3340" s="13"/>
      <c r="W3340" s="16"/>
    </row>
    <row r="3341" spans="21:23" ht="16" x14ac:dyDescent="0.2">
      <c r="U3341" s="12"/>
      <c r="V3341" s="13"/>
      <c r="W3341" s="16"/>
    </row>
    <row r="3342" spans="21:23" ht="16" x14ac:dyDescent="0.2">
      <c r="U3342" s="12"/>
      <c r="V3342" s="13"/>
      <c r="W3342" s="16"/>
    </row>
    <row r="3343" spans="21:23" ht="16" x14ac:dyDescent="0.2">
      <c r="U3343" s="12"/>
      <c r="V3343" s="13"/>
      <c r="W3343" s="16"/>
    </row>
    <row r="3344" spans="21:23" ht="16" x14ac:dyDescent="0.2">
      <c r="U3344" s="12"/>
      <c r="V3344" s="13"/>
      <c r="W3344" s="16"/>
    </row>
    <row r="3345" spans="21:23" ht="16" x14ac:dyDescent="0.2">
      <c r="U3345" s="12"/>
      <c r="V3345" s="13"/>
      <c r="W3345" s="16"/>
    </row>
    <row r="3346" spans="21:23" ht="16" x14ac:dyDescent="0.2">
      <c r="U3346" s="12"/>
      <c r="V3346" s="13"/>
      <c r="W3346" s="16"/>
    </row>
    <row r="3347" spans="21:23" ht="16" x14ac:dyDescent="0.2">
      <c r="U3347" s="12"/>
      <c r="V3347" s="13"/>
      <c r="W3347" s="16"/>
    </row>
    <row r="3348" spans="21:23" ht="16" x14ac:dyDescent="0.2">
      <c r="U3348" s="12"/>
      <c r="V3348" s="13"/>
      <c r="W3348" s="16"/>
    </row>
    <row r="3349" spans="21:23" ht="16" x14ac:dyDescent="0.2">
      <c r="U3349" s="12"/>
      <c r="V3349" s="13"/>
      <c r="W3349" s="16"/>
    </row>
    <row r="3350" spans="21:23" ht="16" x14ac:dyDescent="0.2">
      <c r="U3350" s="12"/>
      <c r="V3350" s="13"/>
      <c r="W3350" s="16"/>
    </row>
    <row r="3351" spans="21:23" ht="16" x14ac:dyDescent="0.2">
      <c r="U3351" s="12"/>
      <c r="V3351" s="13"/>
      <c r="W3351" s="16"/>
    </row>
    <row r="3352" spans="21:23" ht="16" x14ac:dyDescent="0.2">
      <c r="U3352" s="12"/>
      <c r="V3352" s="13"/>
      <c r="W3352" s="16"/>
    </row>
    <row r="3353" spans="21:23" ht="16" x14ac:dyDescent="0.2">
      <c r="U3353" s="12"/>
      <c r="V3353" s="13"/>
      <c r="W3353" s="16"/>
    </row>
    <row r="3354" spans="21:23" ht="16" x14ac:dyDescent="0.2">
      <c r="U3354" s="12"/>
      <c r="V3354" s="13"/>
      <c r="W3354" s="16"/>
    </row>
    <row r="3355" spans="21:23" ht="16" x14ac:dyDescent="0.2">
      <c r="U3355" s="12"/>
      <c r="V3355" s="13"/>
      <c r="W3355" s="16"/>
    </row>
    <row r="3356" spans="21:23" ht="16" x14ac:dyDescent="0.2">
      <c r="U3356" s="12"/>
      <c r="V3356" s="13"/>
      <c r="W3356" s="16"/>
    </row>
    <row r="3357" spans="21:23" ht="16" x14ac:dyDescent="0.2">
      <c r="U3357" s="12"/>
      <c r="V3357" s="13"/>
      <c r="W3357" s="16"/>
    </row>
    <row r="3358" spans="21:23" ht="16" x14ac:dyDescent="0.2">
      <c r="U3358" s="12"/>
      <c r="V3358" s="13"/>
      <c r="W3358" s="16"/>
    </row>
    <row r="3359" spans="21:23" ht="16" x14ac:dyDescent="0.2">
      <c r="U3359" s="12"/>
      <c r="V3359" s="13"/>
      <c r="W3359" s="16"/>
    </row>
    <row r="3360" spans="21:23" ht="16" x14ac:dyDescent="0.2">
      <c r="U3360" s="12"/>
      <c r="V3360" s="13"/>
      <c r="W3360" s="16"/>
    </row>
    <row r="3361" spans="21:23" ht="16" x14ac:dyDescent="0.2">
      <c r="U3361" s="12"/>
      <c r="V3361" s="13"/>
      <c r="W3361" s="16"/>
    </row>
    <row r="3362" spans="21:23" ht="16" x14ac:dyDescent="0.2">
      <c r="U3362" s="12"/>
      <c r="V3362" s="13"/>
      <c r="W3362" s="16"/>
    </row>
    <row r="3363" spans="21:23" ht="16" x14ac:dyDescent="0.2">
      <c r="U3363" s="12"/>
      <c r="V3363" s="13"/>
      <c r="W3363" s="16"/>
    </row>
    <row r="3364" spans="21:23" ht="16" x14ac:dyDescent="0.2">
      <c r="U3364" s="12"/>
      <c r="V3364" s="13"/>
      <c r="W3364" s="16"/>
    </row>
    <row r="3365" spans="21:23" ht="16" x14ac:dyDescent="0.2">
      <c r="U3365" s="12"/>
      <c r="V3365" s="13"/>
      <c r="W3365" s="16"/>
    </row>
    <row r="3366" spans="21:23" ht="16" x14ac:dyDescent="0.2">
      <c r="U3366" s="12"/>
      <c r="V3366" s="13"/>
      <c r="W3366" s="16"/>
    </row>
    <row r="3367" spans="21:23" ht="16" x14ac:dyDescent="0.2">
      <c r="U3367" s="12"/>
      <c r="V3367" s="13"/>
      <c r="W3367" s="16"/>
    </row>
    <row r="3368" spans="21:23" ht="16" x14ac:dyDescent="0.2">
      <c r="U3368" s="12"/>
      <c r="V3368" s="13"/>
      <c r="W3368" s="16"/>
    </row>
    <row r="3369" spans="21:23" ht="16" x14ac:dyDescent="0.2">
      <c r="U3369" s="12"/>
      <c r="V3369" s="13"/>
      <c r="W3369" s="16"/>
    </row>
    <row r="3370" spans="21:23" ht="16" x14ac:dyDescent="0.2">
      <c r="U3370" s="12"/>
      <c r="V3370" s="13"/>
      <c r="W3370" s="16"/>
    </row>
    <row r="3371" spans="21:23" ht="16" x14ac:dyDescent="0.2">
      <c r="U3371" s="12"/>
      <c r="V3371" s="13"/>
      <c r="W3371" s="16"/>
    </row>
    <row r="3372" spans="21:23" ht="16" x14ac:dyDescent="0.2">
      <c r="U3372" s="12"/>
      <c r="V3372" s="13"/>
      <c r="W3372" s="16"/>
    </row>
    <row r="3373" spans="21:23" ht="16" x14ac:dyDescent="0.2">
      <c r="U3373" s="12"/>
      <c r="V3373" s="13"/>
      <c r="W3373" s="16"/>
    </row>
    <row r="3374" spans="21:23" ht="16" x14ac:dyDescent="0.2">
      <c r="U3374" s="12"/>
      <c r="V3374" s="13"/>
      <c r="W3374" s="16"/>
    </row>
    <row r="3375" spans="21:23" ht="16" x14ac:dyDescent="0.2">
      <c r="U3375" s="12"/>
      <c r="V3375" s="13"/>
      <c r="W3375" s="16"/>
    </row>
    <row r="3376" spans="21:23" ht="16" x14ac:dyDescent="0.2">
      <c r="U3376" s="12"/>
      <c r="V3376" s="13"/>
      <c r="W3376" s="16"/>
    </row>
    <row r="3377" spans="21:23" ht="16" x14ac:dyDescent="0.2">
      <c r="U3377" s="12"/>
      <c r="V3377" s="13"/>
      <c r="W3377" s="16"/>
    </row>
    <row r="3378" spans="21:23" ht="16" x14ac:dyDescent="0.2">
      <c r="U3378" s="12"/>
      <c r="V3378" s="13"/>
      <c r="W3378" s="16"/>
    </row>
    <row r="3379" spans="21:23" ht="16" x14ac:dyDescent="0.2">
      <c r="U3379" s="12"/>
      <c r="V3379" s="13"/>
      <c r="W3379" s="16"/>
    </row>
    <row r="3380" spans="21:23" ht="16" x14ac:dyDescent="0.2">
      <c r="U3380" s="12"/>
      <c r="V3380" s="13"/>
      <c r="W3380" s="16"/>
    </row>
    <row r="3381" spans="21:23" ht="16" x14ac:dyDescent="0.2">
      <c r="U3381" s="12"/>
      <c r="V3381" s="13"/>
      <c r="W3381" s="16"/>
    </row>
    <row r="3382" spans="21:23" ht="16" x14ac:dyDescent="0.2">
      <c r="U3382" s="12"/>
      <c r="V3382" s="13"/>
      <c r="W3382" s="16"/>
    </row>
    <row r="3383" spans="21:23" ht="16" x14ac:dyDescent="0.2">
      <c r="U3383" s="12"/>
      <c r="V3383" s="13"/>
      <c r="W3383" s="16"/>
    </row>
    <row r="3384" spans="21:23" ht="16" x14ac:dyDescent="0.2">
      <c r="U3384" s="12"/>
      <c r="V3384" s="13"/>
      <c r="W3384" s="16"/>
    </row>
    <row r="3385" spans="21:23" ht="16" x14ac:dyDescent="0.2">
      <c r="U3385" s="12"/>
      <c r="V3385" s="13"/>
      <c r="W3385" s="16"/>
    </row>
    <row r="3386" spans="21:23" ht="16" x14ac:dyDescent="0.2">
      <c r="U3386" s="12"/>
      <c r="V3386" s="13"/>
      <c r="W3386" s="16"/>
    </row>
    <row r="3387" spans="21:23" ht="16" x14ac:dyDescent="0.2">
      <c r="U3387" s="12"/>
      <c r="V3387" s="13"/>
      <c r="W3387" s="16"/>
    </row>
    <row r="3388" spans="21:23" ht="16" x14ac:dyDescent="0.2">
      <c r="U3388" s="12"/>
      <c r="V3388" s="13"/>
      <c r="W3388" s="16"/>
    </row>
    <row r="3389" spans="21:23" ht="16" x14ac:dyDescent="0.2">
      <c r="U3389" s="12"/>
      <c r="V3389" s="13"/>
      <c r="W3389" s="16"/>
    </row>
    <row r="3390" spans="21:23" ht="16" x14ac:dyDescent="0.2">
      <c r="U3390" s="12"/>
      <c r="V3390" s="13"/>
      <c r="W3390" s="16"/>
    </row>
    <row r="3391" spans="21:23" ht="16" x14ac:dyDescent="0.2">
      <c r="U3391" s="12"/>
      <c r="V3391" s="13"/>
      <c r="W3391" s="16"/>
    </row>
    <row r="3392" spans="21:23" ht="16" x14ac:dyDescent="0.2">
      <c r="U3392" s="12"/>
      <c r="V3392" s="13"/>
      <c r="W3392" s="16"/>
    </row>
    <row r="3393" spans="21:23" ht="16" x14ac:dyDescent="0.2">
      <c r="U3393" s="12"/>
      <c r="V3393" s="13"/>
      <c r="W3393" s="16"/>
    </row>
    <row r="3394" spans="21:23" ht="16" x14ac:dyDescent="0.2">
      <c r="U3394" s="12"/>
      <c r="V3394" s="13"/>
      <c r="W3394" s="16"/>
    </row>
    <row r="3395" spans="21:23" ht="16" x14ac:dyDescent="0.2">
      <c r="U3395" s="12"/>
      <c r="V3395" s="13"/>
      <c r="W3395" s="16"/>
    </row>
    <row r="3396" spans="21:23" ht="16" x14ac:dyDescent="0.2">
      <c r="U3396" s="12"/>
      <c r="V3396" s="13"/>
      <c r="W3396" s="16"/>
    </row>
    <row r="3397" spans="21:23" ht="16" x14ac:dyDescent="0.2">
      <c r="U3397" s="12"/>
      <c r="V3397" s="13"/>
      <c r="W3397" s="16"/>
    </row>
    <row r="3398" spans="21:23" ht="16" x14ac:dyDescent="0.2">
      <c r="U3398" s="12"/>
      <c r="V3398" s="13"/>
      <c r="W3398" s="16"/>
    </row>
    <row r="3399" spans="21:23" ht="16" x14ac:dyDescent="0.2">
      <c r="U3399" s="12"/>
      <c r="V3399" s="13"/>
      <c r="W3399" s="16"/>
    </row>
    <row r="3400" spans="21:23" ht="16" x14ac:dyDescent="0.2">
      <c r="U3400" s="12"/>
      <c r="V3400" s="13"/>
      <c r="W3400" s="16"/>
    </row>
    <row r="3401" spans="21:23" ht="16" x14ac:dyDescent="0.2">
      <c r="U3401" s="12"/>
      <c r="V3401" s="13"/>
      <c r="W3401" s="16"/>
    </row>
    <row r="3402" spans="21:23" ht="16" x14ac:dyDescent="0.2">
      <c r="U3402" s="12"/>
      <c r="V3402" s="13"/>
      <c r="W3402" s="16"/>
    </row>
    <row r="3403" spans="21:23" ht="16" x14ac:dyDescent="0.2">
      <c r="U3403" s="12"/>
      <c r="V3403" s="13"/>
      <c r="W3403" s="16"/>
    </row>
    <row r="3404" spans="21:23" ht="16" x14ac:dyDescent="0.2">
      <c r="U3404" s="12"/>
      <c r="V3404" s="13"/>
      <c r="W3404" s="16"/>
    </row>
    <row r="3405" spans="21:23" ht="16" x14ac:dyDescent="0.2">
      <c r="U3405" s="12"/>
      <c r="V3405" s="13"/>
      <c r="W3405" s="16"/>
    </row>
    <row r="3406" spans="21:23" ht="16" x14ac:dyDescent="0.2">
      <c r="U3406" s="12"/>
      <c r="V3406" s="13"/>
      <c r="W3406" s="16"/>
    </row>
    <row r="3407" spans="21:23" ht="16" x14ac:dyDescent="0.2">
      <c r="U3407" s="12"/>
      <c r="V3407" s="13"/>
      <c r="W3407" s="16"/>
    </row>
    <row r="3408" spans="21:23" ht="16" x14ac:dyDescent="0.2">
      <c r="U3408" s="12"/>
      <c r="V3408" s="13"/>
      <c r="W3408" s="16"/>
    </row>
    <row r="3409" spans="21:23" ht="16" x14ac:dyDescent="0.2">
      <c r="U3409" s="12"/>
      <c r="V3409" s="13"/>
      <c r="W3409" s="16"/>
    </row>
    <row r="3410" spans="21:23" ht="16" x14ac:dyDescent="0.2">
      <c r="U3410" s="12"/>
      <c r="V3410" s="13"/>
      <c r="W3410" s="16"/>
    </row>
    <row r="3411" spans="21:23" ht="16" x14ac:dyDescent="0.2">
      <c r="U3411" s="12"/>
      <c r="V3411" s="13"/>
      <c r="W3411" s="16"/>
    </row>
    <row r="3412" spans="21:23" ht="16" x14ac:dyDescent="0.2">
      <c r="U3412" s="12"/>
      <c r="V3412" s="13"/>
      <c r="W3412" s="16"/>
    </row>
    <row r="3413" spans="21:23" ht="16" x14ac:dyDescent="0.2">
      <c r="U3413" s="12"/>
      <c r="V3413" s="13"/>
      <c r="W3413" s="16"/>
    </row>
    <row r="3414" spans="21:23" ht="16" x14ac:dyDescent="0.2">
      <c r="U3414" s="12"/>
      <c r="V3414" s="13"/>
      <c r="W3414" s="16"/>
    </row>
    <row r="3415" spans="21:23" ht="16" x14ac:dyDescent="0.2">
      <c r="U3415" s="12"/>
      <c r="V3415" s="13"/>
      <c r="W3415" s="16"/>
    </row>
    <row r="3416" spans="21:23" ht="16" x14ac:dyDescent="0.2">
      <c r="U3416" s="12"/>
      <c r="V3416" s="13"/>
      <c r="W3416" s="16"/>
    </row>
    <row r="3417" spans="21:23" ht="16" x14ac:dyDescent="0.2">
      <c r="U3417" s="12"/>
      <c r="V3417" s="13"/>
      <c r="W3417" s="16"/>
    </row>
    <row r="3418" spans="21:23" ht="16" x14ac:dyDescent="0.2">
      <c r="U3418" s="12"/>
      <c r="V3418" s="13"/>
      <c r="W3418" s="16"/>
    </row>
    <row r="3419" spans="21:23" ht="16" x14ac:dyDescent="0.2">
      <c r="U3419" s="12"/>
      <c r="V3419" s="13"/>
      <c r="W3419" s="16"/>
    </row>
    <row r="3420" spans="21:23" ht="16" x14ac:dyDescent="0.2">
      <c r="U3420" s="12"/>
      <c r="V3420" s="13"/>
      <c r="W3420" s="16"/>
    </row>
    <row r="3421" spans="21:23" ht="16" x14ac:dyDescent="0.2">
      <c r="U3421" s="12"/>
      <c r="V3421" s="13"/>
      <c r="W3421" s="16"/>
    </row>
    <row r="3422" spans="21:23" ht="16" x14ac:dyDescent="0.2">
      <c r="U3422" s="12"/>
      <c r="V3422" s="13"/>
      <c r="W3422" s="16"/>
    </row>
    <row r="3423" spans="21:23" ht="16" x14ac:dyDescent="0.2">
      <c r="U3423" s="12"/>
      <c r="V3423" s="13"/>
      <c r="W3423" s="16"/>
    </row>
    <row r="3424" spans="21:23" ht="16" x14ac:dyDescent="0.2">
      <c r="U3424" s="12"/>
      <c r="V3424" s="13"/>
      <c r="W3424" s="16"/>
    </row>
    <row r="3425" spans="21:23" ht="16" x14ac:dyDescent="0.2">
      <c r="U3425" s="12"/>
      <c r="V3425" s="13"/>
      <c r="W3425" s="16"/>
    </row>
    <row r="3426" spans="21:23" ht="16" x14ac:dyDescent="0.2">
      <c r="U3426" s="12"/>
      <c r="V3426" s="13"/>
      <c r="W3426" s="16"/>
    </row>
    <row r="3427" spans="21:23" ht="16" x14ac:dyDescent="0.2">
      <c r="U3427" s="12"/>
      <c r="V3427" s="13"/>
      <c r="W3427" s="16"/>
    </row>
    <row r="3428" spans="21:23" ht="16" x14ac:dyDescent="0.2">
      <c r="U3428" s="12"/>
      <c r="V3428" s="13"/>
      <c r="W3428" s="16"/>
    </row>
    <row r="3429" spans="21:23" ht="16" x14ac:dyDescent="0.2">
      <c r="U3429" s="12"/>
      <c r="V3429" s="13"/>
      <c r="W3429" s="16"/>
    </row>
    <row r="3430" spans="21:23" ht="16" x14ac:dyDescent="0.2">
      <c r="U3430" s="12"/>
      <c r="V3430" s="13"/>
      <c r="W3430" s="16"/>
    </row>
    <row r="3431" spans="21:23" ht="16" x14ac:dyDescent="0.2">
      <c r="U3431" s="12"/>
      <c r="V3431" s="13"/>
      <c r="W3431" s="16"/>
    </row>
    <row r="3432" spans="21:23" ht="16" x14ac:dyDescent="0.2">
      <c r="U3432" s="12"/>
      <c r="V3432" s="13"/>
      <c r="W3432" s="16"/>
    </row>
    <row r="3433" spans="21:23" ht="16" x14ac:dyDescent="0.2">
      <c r="U3433" s="12"/>
      <c r="V3433" s="13"/>
      <c r="W3433" s="16"/>
    </row>
    <row r="3434" spans="21:23" ht="16" x14ac:dyDescent="0.2">
      <c r="U3434" s="12"/>
      <c r="V3434" s="13"/>
      <c r="W3434" s="16"/>
    </row>
    <row r="3435" spans="21:23" ht="16" x14ac:dyDescent="0.2">
      <c r="U3435" s="12"/>
      <c r="V3435" s="13"/>
      <c r="W3435" s="16"/>
    </row>
    <row r="3436" spans="21:23" ht="16" x14ac:dyDescent="0.2">
      <c r="U3436" s="12"/>
      <c r="V3436" s="13"/>
      <c r="W3436" s="16"/>
    </row>
    <row r="3437" spans="21:23" ht="16" x14ac:dyDescent="0.2">
      <c r="U3437" s="12"/>
      <c r="V3437" s="13"/>
      <c r="W3437" s="16"/>
    </row>
    <row r="3438" spans="21:23" ht="16" x14ac:dyDescent="0.2">
      <c r="U3438" s="12"/>
      <c r="V3438" s="13"/>
      <c r="W3438" s="16"/>
    </row>
    <row r="3439" spans="21:23" ht="16" x14ac:dyDescent="0.2">
      <c r="U3439" s="12"/>
      <c r="V3439" s="13"/>
      <c r="W3439" s="16"/>
    </row>
    <row r="3440" spans="21:23" ht="16" x14ac:dyDescent="0.2">
      <c r="U3440" s="12"/>
      <c r="V3440" s="13"/>
      <c r="W3440" s="16"/>
    </row>
    <row r="3441" spans="21:23" ht="16" x14ac:dyDescent="0.2">
      <c r="U3441" s="12"/>
      <c r="V3441" s="13"/>
      <c r="W3441" s="16"/>
    </row>
    <row r="3442" spans="21:23" ht="16" x14ac:dyDescent="0.2">
      <c r="U3442" s="12"/>
      <c r="V3442" s="13"/>
      <c r="W3442" s="16"/>
    </row>
    <row r="3443" spans="21:23" ht="16" x14ac:dyDescent="0.2">
      <c r="U3443" s="12"/>
      <c r="V3443" s="13"/>
      <c r="W3443" s="16"/>
    </row>
    <row r="3444" spans="21:23" ht="16" x14ac:dyDescent="0.2">
      <c r="U3444" s="12"/>
      <c r="V3444" s="13"/>
      <c r="W3444" s="16"/>
    </row>
    <row r="3445" spans="21:23" ht="16" x14ac:dyDescent="0.2">
      <c r="U3445" s="12"/>
      <c r="V3445" s="13"/>
      <c r="W3445" s="16"/>
    </row>
    <row r="3446" spans="21:23" ht="16" x14ac:dyDescent="0.2">
      <c r="U3446" s="12"/>
      <c r="V3446" s="13"/>
      <c r="W3446" s="16"/>
    </row>
    <row r="3447" spans="21:23" ht="16" x14ac:dyDescent="0.2">
      <c r="U3447" s="12"/>
      <c r="V3447" s="13"/>
      <c r="W3447" s="16"/>
    </row>
    <row r="3448" spans="21:23" ht="16" x14ac:dyDescent="0.2">
      <c r="U3448" s="12"/>
      <c r="V3448" s="13"/>
      <c r="W3448" s="16"/>
    </row>
    <row r="3449" spans="21:23" ht="16" x14ac:dyDescent="0.2">
      <c r="U3449" s="12"/>
      <c r="V3449" s="13"/>
      <c r="W3449" s="16"/>
    </row>
    <row r="3450" spans="21:23" ht="16" x14ac:dyDescent="0.2">
      <c r="U3450" s="12"/>
      <c r="V3450" s="13"/>
      <c r="W3450" s="16"/>
    </row>
    <row r="3451" spans="21:23" ht="16" x14ac:dyDescent="0.2">
      <c r="U3451" s="12"/>
      <c r="V3451" s="13"/>
      <c r="W3451" s="16"/>
    </row>
    <row r="3452" spans="21:23" ht="16" x14ac:dyDescent="0.2">
      <c r="U3452" s="12"/>
      <c r="V3452" s="13"/>
      <c r="W3452" s="16"/>
    </row>
    <row r="3453" spans="21:23" ht="16" x14ac:dyDescent="0.2">
      <c r="U3453" s="12"/>
      <c r="V3453" s="13"/>
      <c r="W3453" s="16"/>
    </row>
    <row r="3454" spans="21:23" ht="16" x14ac:dyDescent="0.2">
      <c r="U3454" s="12"/>
      <c r="V3454" s="13"/>
      <c r="W3454" s="16"/>
    </row>
    <row r="3455" spans="21:23" ht="16" x14ac:dyDescent="0.2">
      <c r="U3455" s="12"/>
      <c r="V3455" s="13"/>
      <c r="W3455" s="16"/>
    </row>
    <row r="3456" spans="21:23" ht="16" x14ac:dyDescent="0.2">
      <c r="U3456" s="12"/>
      <c r="V3456" s="13"/>
      <c r="W3456" s="16"/>
    </row>
    <row r="3457" spans="21:23" ht="16" x14ac:dyDescent="0.2">
      <c r="U3457" s="12"/>
      <c r="V3457" s="13"/>
      <c r="W3457" s="16"/>
    </row>
    <row r="3458" spans="21:23" ht="16" x14ac:dyDescent="0.2">
      <c r="U3458" s="12"/>
      <c r="V3458" s="13"/>
      <c r="W3458" s="16"/>
    </row>
    <row r="3459" spans="21:23" ht="16" x14ac:dyDescent="0.2">
      <c r="U3459" s="12"/>
      <c r="V3459" s="13"/>
      <c r="W3459" s="16"/>
    </row>
    <row r="3460" spans="21:23" ht="16" x14ac:dyDescent="0.2">
      <c r="U3460" s="12"/>
      <c r="V3460" s="13"/>
      <c r="W3460" s="16"/>
    </row>
    <row r="3461" spans="21:23" ht="16" x14ac:dyDescent="0.2">
      <c r="U3461" s="12"/>
      <c r="V3461" s="13"/>
      <c r="W3461" s="16"/>
    </row>
    <row r="3462" spans="21:23" ht="16" x14ac:dyDescent="0.2">
      <c r="U3462" s="12"/>
      <c r="V3462" s="13"/>
      <c r="W3462" s="16"/>
    </row>
    <row r="3463" spans="21:23" ht="16" x14ac:dyDescent="0.2">
      <c r="U3463" s="12"/>
      <c r="V3463" s="13"/>
      <c r="W3463" s="16"/>
    </row>
    <row r="3464" spans="21:23" ht="16" x14ac:dyDescent="0.2">
      <c r="U3464" s="12"/>
      <c r="V3464" s="13"/>
      <c r="W3464" s="16"/>
    </row>
    <row r="3465" spans="21:23" ht="16" x14ac:dyDescent="0.2">
      <c r="U3465" s="12"/>
      <c r="V3465" s="13"/>
      <c r="W3465" s="16"/>
    </row>
    <row r="3466" spans="21:23" ht="16" x14ac:dyDescent="0.2">
      <c r="U3466" s="12"/>
      <c r="V3466" s="13"/>
      <c r="W3466" s="16"/>
    </row>
    <row r="3467" spans="21:23" ht="16" x14ac:dyDescent="0.2">
      <c r="U3467" s="12"/>
      <c r="V3467" s="13"/>
      <c r="W3467" s="16"/>
    </row>
    <row r="3468" spans="21:23" ht="16" x14ac:dyDescent="0.2">
      <c r="U3468" s="12"/>
      <c r="V3468" s="13"/>
      <c r="W3468" s="16"/>
    </row>
    <row r="3469" spans="21:23" ht="16" x14ac:dyDescent="0.2">
      <c r="U3469" s="12"/>
      <c r="V3469" s="13"/>
      <c r="W3469" s="16"/>
    </row>
    <row r="3470" spans="21:23" ht="16" x14ac:dyDescent="0.2">
      <c r="U3470" s="12"/>
      <c r="V3470" s="13"/>
      <c r="W3470" s="16"/>
    </row>
    <row r="3471" spans="21:23" ht="16" x14ac:dyDescent="0.2">
      <c r="U3471" s="12"/>
      <c r="V3471" s="13"/>
      <c r="W3471" s="16"/>
    </row>
    <row r="3472" spans="21:23" ht="16" x14ac:dyDescent="0.2">
      <c r="U3472" s="12"/>
      <c r="V3472" s="13"/>
      <c r="W3472" s="16"/>
    </row>
    <row r="3473" spans="21:23" ht="16" x14ac:dyDescent="0.2">
      <c r="U3473" s="12"/>
      <c r="V3473" s="13"/>
      <c r="W3473" s="16"/>
    </row>
    <row r="3474" spans="21:23" ht="16" x14ac:dyDescent="0.2">
      <c r="U3474" s="12"/>
      <c r="V3474" s="13"/>
      <c r="W3474" s="16"/>
    </row>
    <row r="3475" spans="21:23" ht="16" x14ac:dyDescent="0.2">
      <c r="U3475" s="12"/>
      <c r="V3475" s="13"/>
      <c r="W3475" s="16"/>
    </row>
    <row r="3476" spans="21:23" ht="16" x14ac:dyDescent="0.2">
      <c r="U3476" s="12"/>
      <c r="V3476" s="13"/>
      <c r="W3476" s="16"/>
    </row>
    <row r="3477" spans="21:23" ht="16" x14ac:dyDescent="0.2">
      <c r="U3477" s="12"/>
      <c r="V3477" s="13"/>
      <c r="W3477" s="16"/>
    </row>
    <row r="3478" spans="21:23" ht="16" x14ac:dyDescent="0.2">
      <c r="U3478" s="12"/>
      <c r="V3478" s="13"/>
      <c r="W3478" s="16"/>
    </row>
    <row r="3479" spans="21:23" ht="16" x14ac:dyDescent="0.2">
      <c r="U3479" s="12"/>
      <c r="V3479" s="13"/>
      <c r="W3479" s="16"/>
    </row>
    <row r="3480" spans="21:23" ht="16" x14ac:dyDescent="0.2">
      <c r="U3480" s="12"/>
      <c r="V3480" s="13"/>
      <c r="W3480" s="16"/>
    </row>
    <row r="3481" spans="21:23" ht="16" x14ac:dyDescent="0.2">
      <c r="U3481" s="12"/>
      <c r="V3481" s="13"/>
      <c r="W3481" s="16"/>
    </row>
    <row r="3482" spans="21:23" ht="16" x14ac:dyDescent="0.2">
      <c r="U3482" s="12"/>
      <c r="V3482" s="13"/>
      <c r="W3482" s="16"/>
    </row>
    <row r="3483" spans="21:23" ht="16" x14ac:dyDescent="0.2">
      <c r="U3483" s="12"/>
      <c r="V3483" s="13"/>
      <c r="W3483" s="16"/>
    </row>
    <row r="3484" spans="21:23" ht="16" x14ac:dyDescent="0.2">
      <c r="U3484" s="12"/>
      <c r="V3484" s="13"/>
      <c r="W3484" s="16"/>
    </row>
    <row r="3485" spans="21:23" ht="16" x14ac:dyDescent="0.2">
      <c r="U3485" s="12"/>
      <c r="V3485" s="13"/>
      <c r="W3485" s="16"/>
    </row>
    <row r="3486" spans="21:23" ht="16" x14ac:dyDescent="0.2">
      <c r="U3486" s="12"/>
      <c r="V3486" s="13"/>
      <c r="W3486" s="16"/>
    </row>
    <row r="3487" spans="21:23" ht="16" x14ac:dyDescent="0.2">
      <c r="U3487" s="12"/>
      <c r="V3487" s="13"/>
      <c r="W3487" s="16"/>
    </row>
    <row r="3488" spans="21:23" ht="16" x14ac:dyDescent="0.2">
      <c r="U3488" s="12"/>
      <c r="V3488" s="13"/>
      <c r="W3488" s="16"/>
    </row>
    <row r="3489" spans="21:23" ht="16" x14ac:dyDescent="0.2">
      <c r="U3489" s="12"/>
      <c r="V3489" s="13"/>
      <c r="W3489" s="16"/>
    </row>
    <row r="3490" spans="21:23" ht="16" x14ac:dyDescent="0.2">
      <c r="U3490" s="12"/>
      <c r="V3490" s="13"/>
      <c r="W3490" s="16"/>
    </row>
    <row r="3491" spans="21:23" ht="16" x14ac:dyDescent="0.2">
      <c r="U3491" s="12"/>
      <c r="V3491" s="13"/>
      <c r="W3491" s="16"/>
    </row>
    <row r="3492" spans="21:23" ht="16" x14ac:dyDescent="0.2">
      <c r="U3492" s="12"/>
      <c r="V3492" s="13"/>
      <c r="W3492" s="16"/>
    </row>
    <row r="3493" spans="21:23" ht="16" x14ac:dyDescent="0.2">
      <c r="U3493" s="12"/>
      <c r="V3493" s="13"/>
      <c r="W3493" s="16"/>
    </row>
    <row r="3494" spans="21:23" ht="16" x14ac:dyDescent="0.2">
      <c r="U3494" s="12"/>
      <c r="V3494" s="13"/>
      <c r="W3494" s="16"/>
    </row>
    <row r="3495" spans="21:23" ht="16" x14ac:dyDescent="0.2">
      <c r="U3495" s="12"/>
      <c r="V3495" s="13"/>
      <c r="W3495" s="16"/>
    </row>
    <row r="3496" spans="21:23" ht="16" x14ac:dyDescent="0.2">
      <c r="U3496" s="12"/>
      <c r="V3496" s="13"/>
      <c r="W3496" s="16"/>
    </row>
    <row r="3497" spans="21:23" ht="16" x14ac:dyDescent="0.2">
      <c r="U3497" s="12"/>
      <c r="V3497" s="13"/>
      <c r="W3497" s="16"/>
    </row>
    <row r="3498" spans="21:23" ht="16" x14ac:dyDescent="0.2">
      <c r="U3498" s="12"/>
      <c r="V3498" s="13"/>
      <c r="W3498" s="16"/>
    </row>
    <row r="3499" spans="21:23" ht="16" x14ac:dyDescent="0.2">
      <c r="U3499" s="12"/>
      <c r="V3499" s="13"/>
      <c r="W3499" s="16"/>
    </row>
    <row r="3500" spans="21:23" ht="16" x14ac:dyDescent="0.2">
      <c r="U3500" s="12"/>
      <c r="V3500" s="13"/>
      <c r="W3500" s="16"/>
    </row>
    <row r="3501" spans="21:23" ht="16" x14ac:dyDescent="0.2">
      <c r="U3501" s="12"/>
      <c r="V3501" s="13"/>
      <c r="W3501" s="16"/>
    </row>
    <row r="3502" spans="21:23" ht="16" x14ac:dyDescent="0.2">
      <c r="U3502" s="12"/>
      <c r="V3502" s="13"/>
      <c r="W3502" s="16"/>
    </row>
    <row r="3503" spans="21:23" ht="16" x14ac:dyDescent="0.2">
      <c r="U3503" s="12"/>
      <c r="V3503" s="13"/>
      <c r="W3503" s="16"/>
    </row>
    <row r="3504" spans="21:23" ht="16" x14ac:dyDescent="0.2">
      <c r="U3504" s="12"/>
      <c r="V3504" s="13"/>
      <c r="W3504" s="16"/>
    </row>
    <row r="3505" spans="21:23" ht="16" x14ac:dyDescent="0.2">
      <c r="U3505" s="12"/>
      <c r="V3505" s="13"/>
      <c r="W3505" s="16"/>
    </row>
    <row r="3506" spans="21:23" ht="16" x14ac:dyDescent="0.2">
      <c r="U3506" s="12"/>
      <c r="V3506" s="13"/>
      <c r="W3506" s="16"/>
    </row>
    <row r="3507" spans="21:23" ht="16" x14ac:dyDescent="0.2">
      <c r="U3507" s="12"/>
      <c r="V3507" s="13"/>
      <c r="W3507" s="16"/>
    </row>
    <row r="3508" spans="21:23" ht="16" x14ac:dyDescent="0.2">
      <c r="U3508" s="12"/>
      <c r="V3508" s="13"/>
      <c r="W3508" s="16"/>
    </row>
    <row r="3509" spans="21:23" ht="16" x14ac:dyDescent="0.2">
      <c r="U3509" s="12"/>
      <c r="V3509" s="13"/>
      <c r="W3509" s="16"/>
    </row>
    <row r="3510" spans="21:23" ht="16" x14ac:dyDescent="0.2">
      <c r="U3510" s="12"/>
      <c r="V3510" s="13"/>
      <c r="W3510" s="16"/>
    </row>
    <row r="3511" spans="21:23" ht="16" x14ac:dyDescent="0.2">
      <c r="U3511" s="12"/>
      <c r="V3511" s="13"/>
      <c r="W3511" s="16"/>
    </row>
    <row r="3512" spans="21:23" ht="16" x14ac:dyDescent="0.2">
      <c r="U3512" s="12"/>
      <c r="V3512" s="13"/>
      <c r="W3512" s="16"/>
    </row>
    <row r="3513" spans="21:23" ht="16" x14ac:dyDescent="0.2">
      <c r="U3513" s="12"/>
      <c r="V3513" s="13"/>
      <c r="W3513" s="16"/>
    </row>
    <row r="3514" spans="21:23" ht="16" x14ac:dyDescent="0.2">
      <c r="U3514" s="12"/>
      <c r="V3514" s="13"/>
      <c r="W3514" s="16"/>
    </row>
    <row r="3515" spans="21:23" ht="16" x14ac:dyDescent="0.2">
      <c r="U3515" s="12"/>
      <c r="V3515" s="13"/>
      <c r="W3515" s="16"/>
    </row>
    <row r="3516" spans="21:23" ht="16" x14ac:dyDescent="0.2">
      <c r="U3516" s="12"/>
      <c r="V3516" s="13"/>
      <c r="W3516" s="16"/>
    </row>
    <row r="3517" spans="21:23" ht="16" x14ac:dyDescent="0.2">
      <c r="U3517" s="12"/>
      <c r="V3517" s="13"/>
      <c r="W3517" s="16"/>
    </row>
    <row r="3518" spans="21:23" ht="16" x14ac:dyDescent="0.2">
      <c r="U3518" s="12"/>
      <c r="V3518" s="13"/>
      <c r="W3518" s="16"/>
    </row>
    <row r="3519" spans="21:23" ht="16" x14ac:dyDescent="0.2">
      <c r="U3519" s="12"/>
      <c r="V3519" s="13"/>
      <c r="W3519" s="16"/>
    </row>
    <row r="3520" spans="21:23" ht="16" x14ac:dyDescent="0.2">
      <c r="U3520" s="12"/>
      <c r="V3520" s="13"/>
      <c r="W3520" s="16"/>
    </row>
    <row r="3521" spans="21:23" ht="16" x14ac:dyDescent="0.2">
      <c r="U3521" s="12"/>
      <c r="V3521" s="13"/>
      <c r="W3521" s="16"/>
    </row>
    <row r="3522" spans="21:23" ht="16" x14ac:dyDescent="0.2">
      <c r="U3522" s="12"/>
      <c r="V3522" s="13"/>
      <c r="W3522" s="16"/>
    </row>
    <row r="3523" spans="21:23" ht="16" x14ac:dyDescent="0.2">
      <c r="U3523" s="12"/>
      <c r="V3523" s="13"/>
      <c r="W3523" s="16"/>
    </row>
    <row r="3524" spans="21:23" ht="16" x14ac:dyDescent="0.2">
      <c r="U3524" s="12"/>
      <c r="V3524" s="13"/>
      <c r="W3524" s="16"/>
    </row>
    <row r="3525" spans="21:23" ht="16" x14ac:dyDescent="0.2">
      <c r="U3525" s="12"/>
      <c r="V3525" s="13"/>
      <c r="W3525" s="16"/>
    </row>
    <row r="3526" spans="21:23" ht="16" x14ac:dyDescent="0.2">
      <c r="U3526" s="12"/>
      <c r="V3526" s="13"/>
      <c r="W3526" s="16"/>
    </row>
    <row r="3527" spans="21:23" ht="16" x14ac:dyDescent="0.2">
      <c r="U3527" s="12"/>
      <c r="V3527" s="13"/>
      <c r="W3527" s="16"/>
    </row>
    <row r="3528" spans="21:23" ht="16" x14ac:dyDescent="0.2">
      <c r="U3528" s="12"/>
      <c r="V3528" s="13"/>
      <c r="W3528" s="16"/>
    </row>
    <row r="3529" spans="21:23" ht="16" x14ac:dyDescent="0.2">
      <c r="U3529" s="12"/>
      <c r="V3529" s="13"/>
      <c r="W3529" s="16"/>
    </row>
    <row r="3530" spans="21:23" ht="16" x14ac:dyDescent="0.2">
      <c r="U3530" s="12"/>
      <c r="V3530" s="13"/>
      <c r="W3530" s="16"/>
    </row>
    <row r="3531" spans="21:23" ht="16" x14ac:dyDescent="0.2">
      <c r="U3531" s="12"/>
      <c r="V3531" s="13"/>
      <c r="W3531" s="16"/>
    </row>
    <row r="3532" spans="21:23" ht="16" x14ac:dyDescent="0.2">
      <c r="U3532" s="12"/>
      <c r="V3532" s="13"/>
      <c r="W3532" s="16"/>
    </row>
    <row r="3533" spans="21:23" ht="16" x14ac:dyDescent="0.2">
      <c r="U3533" s="12"/>
      <c r="V3533" s="13"/>
      <c r="W3533" s="16"/>
    </row>
    <row r="3534" spans="21:23" ht="16" x14ac:dyDescent="0.2">
      <c r="U3534" s="12"/>
      <c r="V3534" s="13"/>
      <c r="W3534" s="16"/>
    </row>
    <row r="3535" spans="21:23" ht="16" x14ac:dyDescent="0.2">
      <c r="U3535" s="12"/>
      <c r="V3535" s="13"/>
      <c r="W3535" s="16"/>
    </row>
    <row r="3536" spans="21:23" ht="16" x14ac:dyDescent="0.2">
      <c r="U3536" s="12"/>
      <c r="V3536" s="13"/>
      <c r="W3536" s="16"/>
    </row>
    <row r="3537" spans="21:23" ht="16" x14ac:dyDescent="0.2">
      <c r="U3537" s="12"/>
      <c r="V3537" s="13"/>
      <c r="W3537" s="16"/>
    </row>
    <row r="3538" spans="21:23" ht="16" x14ac:dyDescent="0.2">
      <c r="U3538" s="12"/>
      <c r="V3538" s="13"/>
      <c r="W3538" s="16"/>
    </row>
    <row r="3539" spans="21:23" ht="16" x14ac:dyDescent="0.2">
      <c r="U3539" s="12"/>
      <c r="V3539" s="13"/>
      <c r="W3539" s="16"/>
    </row>
    <row r="3540" spans="21:23" ht="16" x14ac:dyDescent="0.2">
      <c r="U3540" s="12"/>
      <c r="V3540" s="13"/>
      <c r="W3540" s="16"/>
    </row>
    <row r="3541" spans="21:23" ht="16" x14ac:dyDescent="0.2">
      <c r="U3541" s="12"/>
      <c r="V3541" s="13"/>
      <c r="W3541" s="16"/>
    </row>
    <row r="3542" spans="21:23" ht="16" x14ac:dyDescent="0.2">
      <c r="U3542" s="12"/>
      <c r="V3542" s="13"/>
      <c r="W3542" s="16"/>
    </row>
    <row r="3543" spans="21:23" ht="16" x14ac:dyDescent="0.2">
      <c r="U3543" s="12"/>
      <c r="V3543" s="13"/>
      <c r="W3543" s="16"/>
    </row>
    <row r="3544" spans="21:23" ht="16" x14ac:dyDescent="0.2">
      <c r="U3544" s="12"/>
      <c r="V3544" s="13"/>
      <c r="W3544" s="16"/>
    </row>
    <row r="3545" spans="21:23" ht="16" x14ac:dyDescent="0.2">
      <c r="U3545" s="12"/>
      <c r="V3545" s="13"/>
      <c r="W3545" s="16"/>
    </row>
    <row r="3546" spans="21:23" ht="16" x14ac:dyDescent="0.2">
      <c r="U3546" s="12"/>
      <c r="V3546" s="13"/>
      <c r="W3546" s="16"/>
    </row>
    <row r="3547" spans="21:23" ht="16" x14ac:dyDescent="0.2">
      <c r="U3547" s="12"/>
      <c r="V3547" s="13"/>
      <c r="W3547" s="16"/>
    </row>
    <row r="3548" spans="21:23" ht="16" x14ac:dyDescent="0.2">
      <c r="U3548" s="12"/>
      <c r="V3548" s="13"/>
      <c r="W3548" s="16"/>
    </row>
    <row r="3549" spans="21:23" ht="16" x14ac:dyDescent="0.2">
      <c r="U3549" s="12"/>
      <c r="V3549" s="13"/>
      <c r="W3549" s="16"/>
    </row>
    <row r="3550" spans="21:23" ht="16" x14ac:dyDescent="0.2">
      <c r="U3550" s="12"/>
      <c r="V3550" s="13"/>
      <c r="W3550" s="16"/>
    </row>
    <row r="3551" spans="21:23" ht="16" x14ac:dyDescent="0.2">
      <c r="U3551" s="12"/>
      <c r="V3551" s="13"/>
      <c r="W3551" s="16"/>
    </row>
    <row r="3552" spans="21:23" ht="16" x14ac:dyDescent="0.2">
      <c r="U3552" s="12"/>
      <c r="V3552" s="13"/>
      <c r="W3552" s="16"/>
    </row>
    <row r="3553" spans="21:23" ht="16" x14ac:dyDescent="0.2">
      <c r="U3553" s="12"/>
      <c r="V3553" s="13"/>
      <c r="W3553" s="16"/>
    </row>
    <row r="3554" spans="21:23" ht="16" x14ac:dyDescent="0.2">
      <c r="U3554" s="12"/>
      <c r="V3554" s="13"/>
      <c r="W3554" s="16"/>
    </row>
    <row r="3555" spans="21:23" ht="16" x14ac:dyDescent="0.2">
      <c r="U3555" s="12"/>
      <c r="V3555" s="13"/>
      <c r="W3555" s="16"/>
    </row>
    <row r="3556" spans="21:23" ht="16" x14ac:dyDescent="0.2">
      <c r="U3556" s="12"/>
      <c r="V3556" s="13"/>
      <c r="W3556" s="16"/>
    </row>
    <row r="3557" spans="21:23" ht="16" x14ac:dyDescent="0.2">
      <c r="U3557" s="12"/>
      <c r="V3557" s="13"/>
      <c r="W3557" s="16"/>
    </row>
    <row r="3558" spans="21:23" ht="16" x14ac:dyDescent="0.2">
      <c r="U3558" s="12"/>
      <c r="V3558" s="13"/>
      <c r="W3558" s="16"/>
    </row>
    <row r="3559" spans="21:23" ht="16" x14ac:dyDescent="0.2">
      <c r="U3559" s="12"/>
      <c r="V3559" s="13"/>
      <c r="W3559" s="16"/>
    </row>
    <row r="3560" spans="21:23" ht="16" x14ac:dyDescent="0.2">
      <c r="U3560" s="12"/>
      <c r="V3560" s="13"/>
      <c r="W3560" s="16"/>
    </row>
    <row r="3561" spans="21:23" ht="16" x14ac:dyDescent="0.2">
      <c r="U3561" s="12"/>
      <c r="V3561" s="13"/>
      <c r="W3561" s="16"/>
    </row>
    <row r="3562" spans="21:23" ht="16" x14ac:dyDescent="0.2">
      <c r="U3562" s="12"/>
      <c r="V3562" s="13"/>
      <c r="W3562" s="16"/>
    </row>
    <row r="3563" spans="21:23" ht="16" x14ac:dyDescent="0.2">
      <c r="U3563" s="12"/>
      <c r="V3563" s="13"/>
      <c r="W3563" s="16"/>
    </row>
    <row r="3564" spans="21:23" ht="16" x14ac:dyDescent="0.2">
      <c r="U3564" s="12"/>
      <c r="V3564" s="13"/>
      <c r="W3564" s="16"/>
    </row>
    <row r="3565" spans="21:23" ht="16" x14ac:dyDescent="0.2">
      <c r="U3565" s="12"/>
      <c r="V3565" s="13"/>
      <c r="W3565" s="16"/>
    </row>
    <row r="3566" spans="21:23" ht="16" x14ac:dyDescent="0.2">
      <c r="U3566" s="12"/>
      <c r="V3566" s="13"/>
      <c r="W3566" s="16"/>
    </row>
    <row r="3567" spans="21:23" ht="16" x14ac:dyDescent="0.2">
      <c r="U3567" s="12"/>
      <c r="V3567" s="13"/>
      <c r="W3567" s="16"/>
    </row>
    <row r="3568" spans="21:23" ht="16" x14ac:dyDescent="0.2">
      <c r="U3568" s="12"/>
      <c r="V3568" s="13"/>
      <c r="W3568" s="16"/>
    </row>
    <row r="3569" spans="21:23" ht="16" x14ac:dyDescent="0.2">
      <c r="U3569" s="12"/>
      <c r="V3569" s="13"/>
      <c r="W3569" s="16"/>
    </row>
    <row r="3570" spans="21:23" ht="16" x14ac:dyDescent="0.2">
      <c r="U3570" s="12"/>
      <c r="V3570" s="13"/>
      <c r="W3570" s="16"/>
    </row>
    <row r="3571" spans="21:23" ht="16" x14ac:dyDescent="0.2">
      <c r="U3571" s="12"/>
      <c r="V3571" s="13"/>
      <c r="W3571" s="16"/>
    </row>
    <row r="3572" spans="21:23" ht="16" x14ac:dyDescent="0.2">
      <c r="U3572" s="12"/>
      <c r="V3572" s="13"/>
      <c r="W3572" s="16"/>
    </row>
    <row r="3573" spans="21:23" ht="16" x14ac:dyDescent="0.2">
      <c r="U3573" s="12"/>
      <c r="V3573" s="13"/>
      <c r="W3573" s="16"/>
    </row>
    <row r="3574" spans="21:23" ht="16" x14ac:dyDescent="0.2">
      <c r="U3574" s="12"/>
      <c r="V3574" s="13"/>
      <c r="W3574" s="16"/>
    </row>
    <row r="3575" spans="21:23" ht="16" x14ac:dyDescent="0.2">
      <c r="U3575" s="12"/>
      <c r="V3575" s="13"/>
      <c r="W3575" s="16"/>
    </row>
    <row r="3576" spans="21:23" ht="16" x14ac:dyDescent="0.2">
      <c r="U3576" s="12"/>
      <c r="V3576" s="13"/>
      <c r="W3576" s="16"/>
    </row>
    <row r="3577" spans="21:23" ht="16" x14ac:dyDescent="0.2">
      <c r="U3577" s="12"/>
      <c r="V3577" s="13"/>
      <c r="W3577" s="16"/>
    </row>
    <row r="3578" spans="21:23" ht="16" x14ac:dyDescent="0.2">
      <c r="U3578" s="12"/>
      <c r="V3578" s="13"/>
      <c r="W3578" s="16"/>
    </row>
    <row r="3579" spans="21:23" ht="16" x14ac:dyDescent="0.2">
      <c r="U3579" s="12"/>
      <c r="V3579" s="13"/>
      <c r="W3579" s="16"/>
    </row>
    <row r="3580" spans="21:23" ht="16" x14ac:dyDescent="0.2">
      <c r="U3580" s="12"/>
      <c r="V3580" s="13"/>
      <c r="W3580" s="16"/>
    </row>
    <row r="3581" spans="21:23" ht="16" x14ac:dyDescent="0.2">
      <c r="U3581" s="12"/>
      <c r="V3581" s="13"/>
      <c r="W3581" s="16"/>
    </row>
    <row r="3582" spans="21:23" ht="16" x14ac:dyDescent="0.2">
      <c r="U3582" s="12"/>
      <c r="V3582" s="13"/>
      <c r="W3582" s="16"/>
    </row>
    <row r="3583" spans="21:23" ht="16" x14ac:dyDescent="0.2">
      <c r="U3583" s="12"/>
      <c r="V3583" s="13"/>
      <c r="W3583" s="16"/>
    </row>
    <row r="3584" spans="21:23" ht="16" x14ac:dyDescent="0.2">
      <c r="U3584" s="12"/>
      <c r="V3584" s="13"/>
      <c r="W3584" s="16"/>
    </row>
    <row r="3585" spans="21:23" ht="16" x14ac:dyDescent="0.2">
      <c r="U3585" s="12"/>
      <c r="V3585" s="13"/>
      <c r="W3585" s="16"/>
    </row>
    <row r="3586" spans="21:23" ht="16" x14ac:dyDescent="0.2">
      <c r="U3586" s="12"/>
      <c r="V3586" s="13"/>
      <c r="W3586" s="16"/>
    </row>
    <row r="3587" spans="21:23" ht="16" x14ac:dyDescent="0.2">
      <c r="U3587" s="12"/>
      <c r="V3587" s="13"/>
      <c r="W3587" s="16"/>
    </row>
    <row r="3588" spans="21:23" ht="16" x14ac:dyDescent="0.2">
      <c r="U3588" s="12"/>
      <c r="V3588" s="13"/>
      <c r="W3588" s="16"/>
    </row>
    <row r="3589" spans="21:23" ht="16" x14ac:dyDescent="0.2">
      <c r="U3589" s="12"/>
      <c r="V3589" s="13"/>
      <c r="W3589" s="16"/>
    </row>
    <row r="3590" spans="21:23" ht="16" x14ac:dyDescent="0.2">
      <c r="U3590" s="12"/>
      <c r="V3590" s="13"/>
      <c r="W3590" s="16"/>
    </row>
    <row r="3591" spans="21:23" ht="16" x14ac:dyDescent="0.2">
      <c r="U3591" s="12"/>
      <c r="V3591" s="13"/>
      <c r="W3591" s="16"/>
    </row>
    <row r="3592" spans="21:23" ht="16" x14ac:dyDescent="0.2">
      <c r="U3592" s="12"/>
      <c r="V3592" s="13"/>
      <c r="W3592" s="16"/>
    </row>
    <row r="3593" spans="21:23" ht="16" x14ac:dyDescent="0.2">
      <c r="U3593" s="12"/>
      <c r="V3593" s="13"/>
      <c r="W3593" s="16"/>
    </row>
    <row r="3594" spans="21:23" ht="16" x14ac:dyDescent="0.2">
      <c r="U3594" s="12"/>
      <c r="V3594" s="13"/>
      <c r="W3594" s="16"/>
    </row>
    <row r="3595" spans="21:23" ht="16" x14ac:dyDescent="0.2">
      <c r="U3595" s="12"/>
      <c r="V3595" s="13"/>
      <c r="W3595" s="16"/>
    </row>
    <row r="3596" spans="21:23" ht="16" x14ac:dyDescent="0.2">
      <c r="U3596" s="12"/>
      <c r="V3596" s="13"/>
      <c r="W3596" s="16"/>
    </row>
    <row r="3597" spans="21:23" ht="16" x14ac:dyDescent="0.2">
      <c r="U3597" s="12"/>
      <c r="V3597" s="13"/>
      <c r="W3597" s="16"/>
    </row>
    <row r="3598" spans="21:23" ht="16" x14ac:dyDescent="0.2">
      <c r="U3598" s="12"/>
      <c r="V3598" s="13"/>
      <c r="W3598" s="16"/>
    </row>
    <row r="3599" spans="21:23" ht="16" x14ac:dyDescent="0.2">
      <c r="U3599" s="12"/>
      <c r="V3599" s="13"/>
      <c r="W3599" s="16"/>
    </row>
    <row r="3600" spans="21:23" ht="16" x14ac:dyDescent="0.2">
      <c r="U3600" s="12"/>
      <c r="V3600" s="13"/>
      <c r="W3600" s="16"/>
    </row>
    <row r="3601" spans="21:23" ht="16" x14ac:dyDescent="0.2">
      <c r="U3601" s="12"/>
      <c r="V3601" s="13"/>
      <c r="W3601" s="16"/>
    </row>
    <row r="3602" spans="21:23" ht="16" x14ac:dyDescent="0.2">
      <c r="U3602" s="12"/>
      <c r="V3602" s="13"/>
      <c r="W3602" s="16"/>
    </row>
    <row r="3603" spans="21:23" ht="16" x14ac:dyDescent="0.2">
      <c r="U3603" s="12"/>
      <c r="V3603" s="13"/>
      <c r="W3603" s="16"/>
    </row>
    <row r="3604" spans="21:23" ht="16" x14ac:dyDescent="0.2">
      <c r="U3604" s="12"/>
      <c r="V3604" s="13"/>
      <c r="W3604" s="16"/>
    </row>
    <row r="3605" spans="21:23" ht="16" x14ac:dyDescent="0.2">
      <c r="U3605" s="12"/>
      <c r="V3605" s="13"/>
      <c r="W3605" s="16"/>
    </row>
    <row r="3606" spans="21:23" ht="16" x14ac:dyDescent="0.2">
      <c r="U3606" s="12"/>
      <c r="V3606" s="13"/>
      <c r="W3606" s="16"/>
    </row>
    <row r="3607" spans="21:23" ht="16" x14ac:dyDescent="0.2">
      <c r="U3607" s="12"/>
      <c r="V3607" s="13"/>
      <c r="W3607" s="16"/>
    </row>
    <row r="3608" spans="21:23" ht="16" x14ac:dyDescent="0.2">
      <c r="U3608" s="12"/>
      <c r="V3608" s="13"/>
      <c r="W3608" s="16"/>
    </row>
    <row r="3609" spans="21:23" ht="16" x14ac:dyDescent="0.2">
      <c r="U3609" s="12"/>
      <c r="V3609" s="13"/>
      <c r="W3609" s="16"/>
    </row>
    <row r="3610" spans="21:23" ht="16" x14ac:dyDescent="0.2">
      <c r="U3610" s="12"/>
      <c r="V3610" s="13"/>
      <c r="W3610" s="16"/>
    </row>
    <row r="3611" spans="21:23" ht="16" x14ac:dyDescent="0.2">
      <c r="U3611" s="12"/>
      <c r="V3611" s="13"/>
      <c r="W3611" s="16"/>
    </row>
    <row r="3612" spans="21:23" ht="16" x14ac:dyDescent="0.2">
      <c r="U3612" s="12"/>
      <c r="V3612" s="13"/>
      <c r="W3612" s="16"/>
    </row>
    <row r="3613" spans="21:23" ht="16" x14ac:dyDescent="0.2">
      <c r="U3613" s="12"/>
      <c r="V3613" s="13"/>
      <c r="W3613" s="16"/>
    </row>
    <row r="3614" spans="21:23" ht="16" x14ac:dyDescent="0.2">
      <c r="U3614" s="12"/>
      <c r="V3614" s="13"/>
      <c r="W3614" s="16"/>
    </row>
    <row r="3615" spans="21:23" ht="16" x14ac:dyDescent="0.2">
      <c r="U3615" s="12"/>
      <c r="V3615" s="13"/>
      <c r="W3615" s="16"/>
    </row>
    <row r="3616" spans="21:23" ht="16" x14ac:dyDescent="0.2">
      <c r="U3616" s="12"/>
      <c r="V3616" s="13"/>
      <c r="W3616" s="16"/>
    </row>
    <row r="3617" spans="21:23" ht="16" x14ac:dyDescent="0.2">
      <c r="U3617" s="12"/>
      <c r="V3617" s="13"/>
      <c r="W3617" s="16"/>
    </row>
    <row r="3618" spans="21:23" ht="16" x14ac:dyDescent="0.2">
      <c r="U3618" s="12"/>
      <c r="V3618" s="13"/>
      <c r="W3618" s="16"/>
    </row>
    <row r="3619" spans="21:23" ht="16" x14ac:dyDescent="0.2">
      <c r="U3619" s="12"/>
      <c r="V3619" s="13"/>
      <c r="W3619" s="16"/>
    </row>
    <row r="3620" spans="21:23" ht="16" x14ac:dyDescent="0.2">
      <c r="U3620" s="12"/>
      <c r="V3620" s="13"/>
      <c r="W3620" s="16"/>
    </row>
    <row r="3621" spans="21:23" ht="16" x14ac:dyDescent="0.2">
      <c r="U3621" s="12"/>
      <c r="V3621" s="13"/>
      <c r="W3621" s="16"/>
    </row>
    <row r="3622" spans="21:23" ht="16" x14ac:dyDescent="0.2">
      <c r="U3622" s="12"/>
      <c r="V3622" s="13"/>
      <c r="W3622" s="16"/>
    </row>
    <row r="3623" spans="21:23" ht="16" x14ac:dyDescent="0.2">
      <c r="U3623" s="12"/>
      <c r="V3623" s="13"/>
      <c r="W3623" s="16"/>
    </row>
    <row r="3624" spans="21:23" ht="16" x14ac:dyDescent="0.2">
      <c r="U3624" s="12"/>
      <c r="V3624" s="13"/>
      <c r="W3624" s="16"/>
    </row>
    <row r="3625" spans="21:23" ht="16" x14ac:dyDescent="0.2">
      <c r="U3625" s="12"/>
      <c r="V3625" s="13"/>
      <c r="W3625" s="16"/>
    </row>
    <row r="3626" spans="21:23" ht="16" x14ac:dyDescent="0.2">
      <c r="U3626" s="12"/>
      <c r="V3626" s="13"/>
      <c r="W3626" s="16"/>
    </row>
    <row r="3627" spans="21:23" ht="16" x14ac:dyDescent="0.2">
      <c r="U3627" s="12"/>
      <c r="V3627" s="13"/>
      <c r="W3627" s="16"/>
    </row>
    <row r="3628" spans="21:23" ht="16" x14ac:dyDescent="0.2">
      <c r="U3628" s="12"/>
      <c r="V3628" s="13"/>
      <c r="W3628" s="16"/>
    </row>
    <row r="3629" spans="21:23" ht="16" x14ac:dyDescent="0.2">
      <c r="U3629" s="12"/>
      <c r="V3629" s="13"/>
      <c r="W3629" s="16"/>
    </row>
    <row r="3630" spans="21:23" ht="16" x14ac:dyDescent="0.2">
      <c r="U3630" s="12"/>
      <c r="V3630" s="13"/>
      <c r="W3630" s="16"/>
    </row>
    <row r="3631" spans="21:23" ht="16" x14ac:dyDescent="0.2">
      <c r="U3631" s="12"/>
      <c r="V3631" s="13"/>
      <c r="W3631" s="16"/>
    </row>
    <row r="3632" spans="21:23" ht="16" x14ac:dyDescent="0.2">
      <c r="U3632" s="12"/>
      <c r="V3632" s="13"/>
      <c r="W3632" s="16"/>
    </row>
    <row r="3633" spans="21:23" ht="16" x14ac:dyDescent="0.2">
      <c r="U3633" s="12"/>
      <c r="V3633" s="13"/>
      <c r="W3633" s="16"/>
    </row>
    <row r="3634" spans="21:23" ht="16" x14ac:dyDescent="0.2">
      <c r="U3634" s="12"/>
      <c r="V3634" s="13"/>
      <c r="W3634" s="16"/>
    </row>
    <row r="3635" spans="21:23" ht="16" x14ac:dyDescent="0.2">
      <c r="U3635" s="12"/>
      <c r="V3635" s="13"/>
      <c r="W3635" s="16"/>
    </row>
    <row r="3636" spans="21:23" ht="16" x14ac:dyDescent="0.2">
      <c r="U3636" s="12"/>
      <c r="V3636" s="13"/>
      <c r="W3636" s="16"/>
    </row>
    <row r="3637" spans="21:23" ht="16" x14ac:dyDescent="0.2">
      <c r="U3637" s="12"/>
      <c r="V3637" s="13"/>
      <c r="W3637" s="16"/>
    </row>
    <row r="3638" spans="21:23" ht="16" x14ac:dyDescent="0.2">
      <c r="U3638" s="12"/>
      <c r="V3638" s="13"/>
      <c r="W3638" s="16"/>
    </row>
    <row r="3639" spans="21:23" ht="16" x14ac:dyDescent="0.2">
      <c r="U3639" s="12"/>
      <c r="V3639" s="13"/>
      <c r="W3639" s="16"/>
    </row>
    <row r="3640" spans="21:23" ht="16" x14ac:dyDescent="0.2">
      <c r="U3640" s="12"/>
      <c r="V3640" s="13"/>
      <c r="W3640" s="16"/>
    </row>
    <row r="3641" spans="21:23" ht="16" x14ac:dyDescent="0.2">
      <c r="U3641" s="12"/>
      <c r="V3641" s="13"/>
      <c r="W3641" s="16"/>
    </row>
    <row r="3642" spans="21:23" ht="16" x14ac:dyDescent="0.2">
      <c r="U3642" s="12"/>
      <c r="V3642" s="13"/>
      <c r="W3642" s="16"/>
    </row>
    <row r="3643" spans="21:23" ht="16" x14ac:dyDescent="0.2">
      <c r="U3643" s="12"/>
      <c r="V3643" s="13"/>
      <c r="W3643" s="16"/>
    </row>
    <row r="3644" spans="21:23" ht="16" x14ac:dyDescent="0.2">
      <c r="U3644" s="12"/>
      <c r="V3644" s="13"/>
      <c r="W3644" s="16"/>
    </row>
    <row r="3645" spans="21:23" ht="16" x14ac:dyDescent="0.2">
      <c r="U3645" s="12"/>
      <c r="V3645" s="13"/>
      <c r="W3645" s="16"/>
    </row>
    <row r="3646" spans="21:23" ht="16" x14ac:dyDescent="0.2">
      <c r="U3646" s="12"/>
      <c r="V3646" s="13"/>
      <c r="W3646" s="16"/>
    </row>
    <row r="3647" spans="21:23" ht="16" x14ac:dyDescent="0.2">
      <c r="U3647" s="12"/>
      <c r="V3647" s="13"/>
      <c r="W3647" s="16"/>
    </row>
    <row r="3648" spans="21:23" ht="16" x14ac:dyDescent="0.2">
      <c r="U3648" s="12"/>
      <c r="V3648" s="13"/>
      <c r="W3648" s="16"/>
    </row>
    <row r="3649" spans="21:23" ht="16" x14ac:dyDescent="0.2">
      <c r="U3649" s="12"/>
      <c r="V3649" s="13"/>
      <c r="W3649" s="16"/>
    </row>
    <row r="3650" spans="21:23" ht="16" x14ac:dyDescent="0.2">
      <c r="U3650" s="12"/>
      <c r="V3650" s="13"/>
      <c r="W3650" s="16"/>
    </row>
    <row r="3651" spans="21:23" ht="16" x14ac:dyDescent="0.2">
      <c r="U3651" s="12"/>
      <c r="V3651" s="13"/>
      <c r="W3651" s="16"/>
    </row>
    <row r="3652" spans="21:23" ht="16" x14ac:dyDescent="0.2">
      <c r="U3652" s="12"/>
      <c r="V3652" s="13"/>
      <c r="W3652" s="16"/>
    </row>
    <row r="3653" spans="21:23" ht="16" x14ac:dyDescent="0.2">
      <c r="U3653" s="12"/>
      <c r="V3653" s="13"/>
      <c r="W3653" s="16"/>
    </row>
    <row r="3654" spans="21:23" ht="16" x14ac:dyDescent="0.2">
      <c r="U3654" s="12"/>
      <c r="V3654" s="13"/>
      <c r="W3654" s="16"/>
    </row>
    <row r="3655" spans="21:23" ht="16" x14ac:dyDescent="0.2">
      <c r="U3655" s="12"/>
      <c r="V3655" s="13"/>
      <c r="W3655" s="16"/>
    </row>
    <row r="3656" spans="21:23" ht="16" x14ac:dyDescent="0.2">
      <c r="U3656" s="12"/>
      <c r="V3656" s="13"/>
      <c r="W3656" s="16"/>
    </row>
    <row r="3657" spans="21:23" ht="16" x14ac:dyDescent="0.2">
      <c r="U3657" s="12"/>
      <c r="V3657" s="13"/>
      <c r="W3657" s="16"/>
    </row>
    <row r="3658" spans="21:23" ht="16" x14ac:dyDescent="0.2">
      <c r="U3658" s="12"/>
      <c r="V3658" s="13"/>
      <c r="W3658" s="16"/>
    </row>
    <row r="3659" spans="21:23" ht="16" x14ac:dyDescent="0.2">
      <c r="U3659" s="12"/>
      <c r="V3659" s="13"/>
      <c r="W3659" s="16"/>
    </row>
    <row r="3660" spans="21:23" ht="16" x14ac:dyDescent="0.2">
      <c r="U3660" s="12"/>
      <c r="V3660" s="13"/>
      <c r="W3660" s="16"/>
    </row>
    <row r="3661" spans="21:23" ht="16" x14ac:dyDescent="0.2">
      <c r="U3661" s="12"/>
      <c r="V3661" s="13"/>
      <c r="W3661" s="16"/>
    </row>
    <row r="3662" spans="21:23" ht="16" x14ac:dyDescent="0.2">
      <c r="U3662" s="12"/>
      <c r="V3662" s="13"/>
      <c r="W3662" s="16"/>
    </row>
    <row r="3663" spans="21:23" ht="16" x14ac:dyDescent="0.2">
      <c r="U3663" s="12"/>
      <c r="V3663" s="13"/>
      <c r="W3663" s="16"/>
    </row>
    <row r="3664" spans="21:23" ht="16" x14ac:dyDescent="0.2">
      <c r="U3664" s="12"/>
      <c r="V3664" s="13"/>
      <c r="W3664" s="16"/>
    </row>
    <row r="3665" spans="21:23" ht="16" x14ac:dyDescent="0.2">
      <c r="U3665" s="12"/>
      <c r="V3665" s="13"/>
      <c r="W3665" s="16"/>
    </row>
    <row r="3666" spans="21:23" ht="16" x14ac:dyDescent="0.2">
      <c r="U3666" s="12"/>
      <c r="V3666" s="13"/>
      <c r="W3666" s="16"/>
    </row>
    <row r="3667" spans="21:23" ht="16" x14ac:dyDescent="0.2">
      <c r="U3667" s="12"/>
      <c r="V3667" s="13"/>
      <c r="W3667" s="16"/>
    </row>
    <row r="3668" spans="21:23" ht="16" x14ac:dyDescent="0.2">
      <c r="U3668" s="12"/>
      <c r="V3668" s="13"/>
      <c r="W3668" s="16"/>
    </row>
    <row r="3669" spans="21:23" ht="16" x14ac:dyDescent="0.2">
      <c r="U3669" s="12"/>
      <c r="V3669" s="13"/>
      <c r="W3669" s="16"/>
    </row>
    <row r="3670" spans="21:23" ht="16" x14ac:dyDescent="0.2">
      <c r="U3670" s="12"/>
      <c r="V3670" s="13"/>
      <c r="W3670" s="16"/>
    </row>
    <row r="3671" spans="21:23" ht="16" x14ac:dyDescent="0.2">
      <c r="U3671" s="12"/>
      <c r="V3671" s="13"/>
      <c r="W3671" s="16"/>
    </row>
    <row r="3672" spans="21:23" ht="16" x14ac:dyDescent="0.2">
      <c r="U3672" s="12"/>
      <c r="V3672" s="13"/>
      <c r="W3672" s="16"/>
    </row>
    <row r="3673" spans="21:23" ht="16" x14ac:dyDescent="0.2">
      <c r="U3673" s="12"/>
      <c r="V3673" s="13"/>
      <c r="W3673" s="16"/>
    </row>
    <row r="3674" spans="21:23" ht="16" x14ac:dyDescent="0.2">
      <c r="U3674" s="12"/>
      <c r="V3674" s="13"/>
      <c r="W3674" s="16"/>
    </row>
    <row r="3675" spans="21:23" ht="16" x14ac:dyDescent="0.2">
      <c r="U3675" s="12"/>
      <c r="V3675" s="13"/>
      <c r="W3675" s="16"/>
    </row>
    <row r="3676" spans="21:23" ht="16" x14ac:dyDescent="0.2">
      <c r="U3676" s="12"/>
      <c r="V3676" s="13"/>
      <c r="W3676" s="16"/>
    </row>
    <row r="3677" spans="21:23" ht="16" x14ac:dyDescent="0.2">
      <c r="U3677" s="12"/>
      <c r="V3677" s="13"/>
      <c r="W3677" s="16"/>
    </row>
    <row r="3678" spans="21:23" ht="16" x14ac:dyDescent="0.2">
      <c r="U3678" s="12"/>
      <c r="V3678" s="13"/>
      <c r="W3678" s="16"/>
    </row>
    <row r="3679" spans="21:23" ht="16" x14ac:dyDescent="0.2">
      <c r="U3679" s="12"/>
      <c r="V3679" s="13"/>
      <c r="W3679" s="16"/>
    </row>
    <row r="3680" spans="21:23" ht="16" x14ac:dyDescent="0.2">
      <c r="U3680" s="12"/>
      <c r="V3680" s="13"/>
      <c r="W3680" s="16"/>
    </row>
    <row r="3681" spans="21:23" ht="16" x14ac:dyDescent="0.2">
      <c r="U3681" s="12"/>
      <c r="V3681" s="13"/>
      <c r="W3681" s="16"/>
    </row>
    <row r="3682" spans="21:23" ht="16" x14ac:dyDescent="0.2">
      <c r="U3682" s="12"/>
      <c r="V3682" s="13"/>
      <c r="W3682" s="16"/>
    </row>
    <row r="3683" spans="21:23" ht="16" x14ac:dyDescent="0.2">
      <c r="U3683" s="12"/>
      <c r="V3683" s="13"/>
      <c r="W3683" s="16"/>
    </row>
    <row r="3684" spans="21:23" ht="16" x14ac:dyDescent="0.2">
      <c r="U3684" s="12"/>
      <c r="V3684" s="13"/>
      <c r="W3684" s="16"/>
    </row>
    <row r="3685" spans="21:23" ht="16" x14ac:dyDescent="0.2">
      <c r="U3685" s="12"/>
      <c r="V3685" s="13"/>
      <c r="W3685" s="16"/>
    </row>
    <row r="3686" spans="21:23" ht="16" x14ac:dyDescent="0.2">
      <c r="U3686" s="12"/>
      <c r="V3686" s="13"/>
      <c r="W3686" s="16"/>
    </row>
    <row r="3687" spans="21:23" ht="16" x14ac:dyDescent="0.2">
      <c r="U3687" s="12"/>
      <c r="V3687" s="13"/>
      <c r="W3687" s="16"/>
    </row>
    <row r="3688" spans="21:23" ht="16" x14ac:dyDescent="0.2">
      <c r="U3688" s="12"/>
      <c r="V3688" s="13"/>
      <c r="W3688" s="16"/>
    </row>
    <row r="3689" spans="21:23" ht="16" x14ac:dyDescent="0.2">
      <c r="U3689" s="12"/>
      <c r="V3689" s="13"/>
      <c r="W3689" s="16"/>
    </row>
    <row r="3690" spans="21:23" ht="16" x14ac:dyDescent="0.2">
      <c r="U3690" s="12"/>
      <c r="V3690" s="13"/>
      <c r="W3690" s="16"/>
    </row>
    <row r="3691" spans="21:23" ht="16" x14ac:dyDescent="0.2">
      <c r="U3691" s="12"/>
      <c r="V3691" s="13"/>
      <c r="W3691" s="16"/>
    </row>
    <row r="3692" spans="21:23" ht="16" x14ac:dyDescent="0.2">
      <c r="U3692" s="12"/>
      <c r="V3692" s="13"/>
      <c r="W3692" s="16"/>
    </row>
    <row r="3693" spans="21:23" ht="16" x14ac:dyDescent="0.2">
      <c r="U3693" s="12"/>
      <c r="V3693" s="13"/>
      <c r="W3693" s="16"/>
    </row>
    <row r="3694" spans="21:23" ht="16" x14ac:dyDescent="0.2">
      <c r="U3694" s="12"/>
      <c r="V3694" s="13"/>
      <c r="W3694" s="16"/>
    </row>
    <row r="3695" spans="21:23" ht="16" x14ac:dyDescent="0.2">
      <c r="U3695" s="12"/>
      <c r="V3695" s="13"/>
      <c r="W3695" s="16"/>
    </row>
    <row r="3696" spans="21:23" ht="16" x14ac:dyDescent="0.2">
      <c r="U3696" s="12"/>
      <c r="V3696" s="13"/>
      <c r="W3696" s="16"/>
    </row>
    <row r="3697" spans="21:23" ht="16" x14ac:dyDescent="0.2">
      <c r="U3697" s="12"/>
      <c r="V3697" s="13"/>
      <c r="W3697" s="16"/>
    </row>
    <row r="3698" spans="21:23" ht="16" x14ac:dyDescent="0.2">
      <c r="U3698" s="12"/>
      <c r="V3698" s="13"/>
      <c r="W3698" s="16"/>
    </row>
    <row r="3699" spans="21:23" ht="16" x14ac:dyDescent="0.2">
      <c r="U3699" s="12"/>
      <c r="V3699" s="13"/>
      <c r="W3699" s="16"/>
    </row>
    <row r="3700" spans="21:23" ht="16" x14ac:dyDescent="0.2">
      <c r="U3700" s="12"/>
      <c r="V3700" s="13"/>
      <c r="W3700" s="16"/>
    </row>
    <row r="3701" spans="21:23" ht="16" x14ac:dyDescent="0.2">
      <c r="U3701" s="12"/>
      <c r="V3701" s="13"/>
      <c r="W3701" s="16"/>
    </row>
    <row r="3702" spans="21:23" ht="16" x14ac:dyDescent="0.2">
      <c r="U3702" s="12"/>
      <c r="V3702" s="13"/>
      <c r="W3702" s="16"/>
    </row>
    <row r="3703" spans="21:23" ht="16" x14ac:dyDescent="0.2">
      <c r="U3703" s="12"/>
      <c r="V3703" s="13"/>
      <c r="W3703" s="16"/>
    </row>
    <row r="3704" spans="21:23" ht="16" x14ac:dyDescent="0.2">
      <c r="U3704" s="12"/>
      <c r="V3704" s="13"/>
      <c r="W3704" s="16"/>
    </row>
    <row r="3705" spans="21:23" ht="16" x14ac:dyDescent="0.2">
      <c r="U3705" s="12"/>
      <c r="V3705" s="13"/>
      <c r="W3705" s="16"/>
    </row>
    <row r="3706" spans="21:23" ht="16" x14ac:dyDescent="0.2">
      <c r="U3706" s="12"/>
      <c r="V3706" s="13"/>
      <c r="W3706" s="16"/>
    </row>
    <row r="3707" spans="21:23" ht="16" x14ac:dyDescent="0.2">
      <c r="U3707" s="12"/>
      <c r="V3707" s="13"/>
      <c r="W3707" s="16"/>
    </row>
    <row r="3708" spans="21:23" ht="16" x14ac:dyDescent="0.2">
      <c r="U3708" s="12"/>
      <c r="V3708" s="13"/>
      <c r="W3708" s="16"/>
    </row>
    <row r="3709" spans="21:23" ht="16" x14ac:dyDescent="0.2">
      <c r="U3709" s="12"/>
      <c r="V3709" s="13"/>
      <c r="W3709" s="16"/>
    </row>
    <row r="3710" spans="21:23" ht="16" x14ac:dyDescent="0.2">
      <c r="U3710" s="12"/>
      <c r="V3710" s="13"/>
      <c r="W3710" s="16"/>
    </row>
    <row r="3711" spans="21:23" ht="16" x14ac:dyDescent="0.2">
      <c r="U3711" s="12"/>
      <c r="V3711" s="13"/>
      <c r="W3711" s="16"/>
    </row>
    <row r="3712" spans="21:23" ht="16" x14ac:dyDescent="0.2">
      <c r="U3712" s="12"/>
      <c r="V3712" s="13"/>
      <c r="W3712" s="16"/>
    </row>
    <row r="3713" spans="21:23" ht="16" x14ac:dyDescent="0.2">
      <c r="U3713" s="12"/>
      <c r="V3713" s="13"/>
      <c r="W3713" s="16"/>
    </row>
    <row r="3714" spans="21:23" ht="16" x14ac:dyDescent="0.2">
      <c r="U3714" s="12"/>
      <c r="V3714" s="13"/>
      <c r="W3714" s="16"/>
    </row>
    <row r="3715" spans="21:23" ht="16" x14ac:dyDescent="0.2">
      <c r="U3715" s="12"/>
      <c r="V3715" s="13"/>
      <c r="W3715" s="16"/>
    </row>
    <row r="3716" spans="21:23" ht="16" x14ac:dyDescent="0.2">
      <c r="U3716" s="12"/>
      <c r="V3716" s="13"/>
      <c r="W3716" s="16"/>
    </row>
    <row r="3717" spans="21:23" ht="16" x14ac:dyDescent="0.2">
      <c r="U3717" s="12"/>
      <c r="V3717" s="13"/>
      <c r="W3717" s="16"/>
    </row>
    <row r="3718" spans="21:23" ht="16" x14ac:dyDescent="0.2">
      <c r="U3718" s="12"/>
      <c r="V3718" s="13"/>
      <c r="W3718" s="16"/>
    </row>
    <row r="3719" spans="21:23" ht="16" x14ac:dyDescent="0.2">
      <c r="U3719" s="12"/>
      <c r="V3719" s="13"/>
      <c r="W3719" s="16"/>
    </row>
    <row r="3720" spans="21:23" ht="16" x14ac:dyDescent="0.2">
      <c r="U3720" s="12"/>
      <c r="V3720" s="13"/>
      <c r="W3720" s="16"/>
    </row>
    <row r="3721" spans="21:23" ht="16" x14ac:dyDescent="0.2">
      <c r="U3721" s="12"/>
      <c r="V3721" s="13"/>
      <c r="W3721" s="16"/>
    </row>
    <row r="3722" spans="21:23" ht="16" x14ac:dyDescent="0.2">
      <c r="U3722" s="12"/>
      <c r="V3722" s="13"/>
      <c r="W3722" s="16"/>
    </row>
    <row r="3723" spans="21:23" ht="16" x14ac:dyDescent="0.2">
      <c r="U3723" s="12"/>
      <c r="V3723" s="13"/>
      <c r="W3723" s="16"/>
    </row>
    <row r="3724" spans="21:23" ht="16" x14ac:dyDescent="0.2">
      <c r="U3724" s="12"/>
      <c r="V3724" s="13"/>
      <c r="W3724" s="16"/>
    </row>
    <row r="3725" spans="21:23" ht="16" x14ac:dyDescent="0.2">
      <c r="U3725" s="12"/>
      <c r="V3725" s="13"/>
      <c r="W3725" s="16"/>
    </row>
    <row r="3726" spans="21:23" ht="16" x14ac:dyDescent="0.2">
      <c r="U3726" s="12"/>
      <c r="V3726" s="13"/>
      <c r="W3726" s="16"/>
    </row>
    <row r="3727" spans="21:23" ht="16" x14ac:dyDescent="0.2">
      <c r="U3727" s="12"/>
      <c r="V3727" s="13"/>
      <c r="W3727" s="16"/>
    </row>
    <row r="3728" spans="21:23" ht="16" x14ac:dyDescent="0.2">
      <c r="U3728" s="12"/>
      <c r="V3728" s="13"/>
      <c r="W3728" s="16"/>
    </row>
    <row r="3729" spans="21:23" ht="16" x14ac:dyDescent="0.2">
      <c r="U3729" s="12"/>
      <c r="V3729" s="13"/>
      <c r="W3729" s="16"/>
    </row>
    <row r="3730" spans="21:23" ht="16" x14ac:dyDescent="0.2">
      <c r="U3730" s="12"/>
      <c r="V3730" s="13"/>
      <c r="W3730" s="16"/>
    </row>
    <row r="3731" spans="21:23" ht="16" x14ac:dyDescent="0.2">
      <c r="U3731" s="12"/>
      <c r="V3731" s="13"/>
      <c r="W3731" s="16"/>
    </row>
    <row r="3732" spans="21:23" ht="16" x14ac:dyDescent="0.2">
      <c r="U3732" s="12"/>
      <c r="V3732" s="13"/>
      <c r="W3732" s="16"/>
    </row>
    <row r="3733" spans="21:23" ht="16" x14ac:dyDescent="0.2">
      <c r="U3733" s="12"/>
      <c r="V3733" s="13"/>
      <c r="W3733" s="16"/>
    </row>
    <row r="3734" spans="21:23" ht="16" x14ac:dyDescent="0.2">
      <c r="U3734" s="12"/>
      <c r="V3734" s="13"/>
      <c r="W3734" s="16"/>
    </row>
    <row r="3735" spans="21:23" ht="16" x14ac:dyDescent="0.2">
      <c r="U3735" s="12"/>
      <c r="V3735" s="13"/>
      <c r="W3735" s="16"/>
    </row>
    <row r="3736" spans="21:23" ht="16" x14ac:dyDescent="0.2">
      <c r="U3736" s="12"/>
      <c r="V3736" s="13"/>
      <c r="W3736" s="16"/>
    </row>
    <row r="3737" spans="21:23" ht="16" x14ac:dyDescent="0.2">
      <c r="U3737" s="12"/>
      <c r="V3737" s="13"/>
      <c r="W3737" s="16"/>
    </row>
    <row r="3738" spans="21:23" ht="16" x14ac:dyDescent="0.2">
      <c r="U3738" s="12"/>
      <c r="V3738" s="13"/>
      <c r="W3738" s="16"/>
    </row>
    <row r="3739" spans="21:23" ht="16" x14ac:dyDescent="0.2">
      <c r="U3739" s="12"/>
      <c r="V3739" s="13"/>
      <c r="W3739" s="16"/>
    </row>
    <row r="3740" spans="21:23" ht="16" x14ac:dyDescent="0.2">
      <c r="U3740" s="12"/>
      <c r="V3740" s="13"/>
      <c r="W3740" s="16"/>
    </row>
    <row r="3741" spans="21:23" ht="16" x14ac:dyDescent="0.2">
      <c r="U3741" s="12"/>
      <c r="V3741" s="13"/>
      <c r="W3741" s="16"/>
    </row>
    <row r="3742" spans="21:23" ht="16" x14ac:dyDescent="0.2">
      <c r="U3742" s="12"/>
      <c r="V3742" s="13"/>
      <c r="W3742" s="16"/>
    </row>
    <row r="3743" spans="21:23" ht="16" x14ac:dyDescent="0.2">
      <c r="U3743" s="12"/>
      <c r="V3743" s="13"/>
      <c r="W3743" s="16"/>
    </row>
    <row r="3744" spans="21:23" ht="16" x14ac:dyDescent="0.2">
      <c r="U3744" s="12"/>
      <c r="V3744" s="13"/>
      <c r="W3744" s="16"/>
    </row>
    <row r="3745" spans="21:23" ht="16" x14ac:dyDescent="0.2">
      <c r="U3745" s="12"/>
      <c r="V3745" s="13"/>
      <c r="W3745" s="16"/>
    </row>
    <row r="3746" spans="21:23" ht="16" x14ac:dyDescent="0.2">
      <c r="U3746" s="12"/>
      <c r="V3746" s="13"/>
      <c r="W3746" s="16"/>
    </row>
    <row r="3747" spans="21:23" ht="16" x14ac:dyDescent="0.2">
      <c r="U3747" s="12"/>
      <c r="V3747" s="13"/>
      <c r="W3747" s="16"/>
    </row>
    <row r="3748" spans="21:23" ht="16" x14ac:dyDescent="0.2">
      <c r="U3748" s="12"/>
      <c r="V3748" s="13"/>
      <c r="W3748" s="16"/>
    </row>
    <row r="3749" spans="21:23" ht="16" x14ac:dyDescent="0.2">
      <c r="U3749" s="12"/>
      <c r="V3749" s="13"/>
      <c r="W3749" s="16"/>
    </row>
    <row r="3750" spans="21:23" ht="16" x14ac:dyDescent="0.2">
      <c r="U3750" s="12"/>
      <c r="V3750" s="13"/>
      <c r="W3750" s="16"/>
    </row>
    <row r="3751" spans="21:23" ht="16" x14ac:dyDescent="0.2">
      <c r="U3751" s="12"/>
      <c r="V3751" s="13"/>
      <c r="W3751" s="16"/>
    </row>
    <row r="3752" spans="21:23" ht="16" x14ac:dyDescent="0.2">
      <c r="U3752" s="12"/>
      <c r="V3752" s="13"/>
      <c r="W3752" s="16"/>
    </row>
    <row r="3753" spans="21:23" ht="16" x14ac:dyDescent="0.2">
      <c r="U3753" s="12"/>
      <c r="V3753" s="13"/>
      <c r="W3753" s="16"/>
    </row>
    <row r="3754" spans="21:23" ht="16" x14ac:dyDescent="0.2">
      <c r="U3754" s="12"/>
      <c r="V3754" s="13"/>
      <c r="W3754" s="16"/>
    </row>
    <row r="3755" spans="21:23" ht="16" x14ac:dyDescent="0.2">
      <c r="U3755" s="12"/>
      <c r="V3755" s="13"/>
      <c r="W3755" s="16"/>
    </row>
    <row r="3756" spans="21:23" ht="16" x14ac:dyDescent="0.2">
      <c r="U3756" s="12"/>
      <c r="V3756" s="13"/>
      <c r="W3756" s="16"/>
    </row>
    <row r="3757" spans="21:23" ht="16" x14ac:dyDescent="0.2">
      <c r="U3757" s="12"/>
      <c r="V3757" s="13"/>
      <c r="W3757" s="16"/>
    </row>
    <row r="3758" spans="21:23" ht="16" x14ac:dyDescent="0.2">
      <c r="U3758" s="12"/>
      <c r="V3758" s="13"/>
      <c r="W3758" s="16"/>
    </row>
    <row r="3759" spans="21:23" ht="16" x14ac:dyDescent="0.2">
      <c r="U3759" s="12"/>
      <c r="V3759" s="13"/>
      <c r="W3759" s="16"/>
    </row>
    <row r="3760" spans="21:23" ht="16" x14ac:dyDescent="0.2">
      <c r="U3760" s="12"/>
      <c r="V3760" s="13"/>
      <c r="W3760" s="16"/>
    </row>
    <row r="3761" spans="21:23" ht="16" x14ac:dyDescent="0.2">
      <c r="U3761" s="12"/>
      <c r="V3761" s="13"/>
      <c r="W3761" s="16"/>
    </row>
    <row r="3762" spans="21:23" ht="16" x14ac:dyDescent="0.2">
      <c r="U3762" s="12"/>
      <c r="V3762" s="13"/>
      <c r="W3762" s="16"/>
    </row>
    <row r="3763" spans="21:23" ht="16" x14ac:dyDescent="0.2">
      <c r="U3763" s="12"/>
      <c r="V3763" s="13"/>
      <c r="W3763" s="16"/>
    </row>
    <row r="3764" spans="21:23" ht="16" x14ac:dyDescent="0.2">
      <c r="U3764" s="12"/>
      <c r="V3764" s="13"/>
      <c r="W3764" s="16"/>
    </row>
    <row r="3765" spans="21:23" ht="16" x14ac:dyDescent="0.2">
      <c r="U3765" s="12"/>
      <c r="V3765" s="13"/>
      <c r="W3765" s="16"/>
    </row>
    <row r="3766" spans="21:23" ht="16" x14ac:dyDescent="0.2">
      <c r="U3766" s="12"/>
      <c r="V3766" s="13"/>
      <c r="W3766" s="16"/>
    </row>
    <row r="3767" spans="21:23" ht="16" x14ac:dyDescent="0.2">
      <c r="U3767" s="12"/>
      <c r="V3767" s="13"/>
      <c r="W3767" s="16"/>
    </row>
    <row r="3768" spans="21:23" ht="16" x14ac:dyDescent="0.2">
      <c r="U3768" s="12"/>
      <c r="V3768" s="13"/>
      <c r="W3768" s="16"/>
    </row>
    <row r="3769" spans="21:23" ht="16" x14ac:dyDescent="0.2">
      <c r="U3769" s="12"/>
      <c r="V3769" s="13"/>
      <c r="W3769" s="16"/>
    </row>
    <row r="3770" spans="21:23" ht="16" x14ac:dyDescent="0.2">
      <c r="U3770" s="12"/>
      <c r="V3770" s="13"/>
      <c r="W3770" s="16"/>
    </row>
    <row r="3771" spans="21:23" ht="16" x14ac:dyDescent="0.2">
      <c r="U3771" s="12"/>
      <c r="V3771" s="13"/>
      <c r="W3771" s="16"/>
    </row>
    <row r="3772" spans="21:23" ht="16" x14ac:dyDescent="0.2">
      <c r="U3772" s="12"/>
      <c r="V3772" s="13"/>
      <c r="W3772" s="16"/>
    </row>
    <row r="3773" spans="21:23" ht="16" x14ac:dyDescent="0.2">
      <c r="U3773" s="12"/>
      <c r="V3773" s="13"/>
      <c r="W3773" s="16"/>
    </row>
    <row r="3774" spans="21:23" ht="16" x14ac:dyDescent="0.2">
      <c r="U3774" s="12"/>
      <c r="V3774" s="13"/>
      <c r="W3774" s="16"/>
    </row>
    <row r="3775" spans="21:23" ht="16" x14ac:dyDescent="0.2">
      <c r="U3775" s="12"/>
      <c r="V3775" s="13"/>
      <c r="W3775" s="16"/>
    </row>
    <row r="3776" spans="21:23" ht="16" x14ac:dyDescent="0.2">
      <c r="U3776" s="12"/>
      <c r="V3776" s="13"/>
      <c r="W3776" s="16"/>
    </row>
    <row r="3777" spans="21:23" ht="16" x14ac:dyDescent="0.2">
      <c r="U3777" s="12"/>
      <c r="V3777" s="13"/>
      <c r="W3777" s="16"/>
    </row>
    <row r="3778" spans="21:23" ht="16" x14ac:dyDescent="0.2">
      <c r="U3778" s="12"/>
      <c r="V3778" s="13"/>
      <c r="W3778" s="16"/>
    </row>
    <row r="3779" spans="21:23" ht="16" x14ac:dyDescent="0.2">
      <c r="U3779" s="12"/>
      <c r="V3779" s="13"/>
      <c r="W3779" s="16"/>
    </row>
    <row r="3780" spans="21:23" ht="16" x14ac:dyDescent="0.2">
      <c r="U3780" s="12"/>
      <c r="V3780" s="13"/>
      <c r="W3780" s="16"/>
    </row>
    <row r="3781" spans="21:23" ht="16" x14ac:dyDescent="0.2">
      <c r="U3781" s="12"/>
      <c r="V3781" s="13"/>
      <c r="W3781" s="16"/>
    </row>
    <row r="3782" spans="21:23" ht="16" x14ac:dyDescent="0.2">
      <c r="U3782" s="12"/>
      <c r="V3782" s="13"/>
      <c r="W3782" s="16"/>
    </row>
    <row r="3783" spans="21:23" ht="16" x14ac:dyDescent="0.2">
      <c r="U3783" s="12"/>
      <c r="V3783" s="13"/>
      <c r="W3783" s="16"/>
    </row>
    <row r="3784" spans="21:23" ht="16" x14ac:dyDescent="0.2">
      <c r="U3784" s="12"/>
      <c r="V3784" s="13"/>
      <c r="W3784" s="16"/>
    </row>
    <row r="3785" spans="21:23" ht="16" x14ac:dyDescent="0.2">
      <c r="U3785" s="12"/>
      <c r="V3785" s="13"/>
      <c r="W3785" s="16"/>
    </row>
    <row r="3786" spans="21:23" ht="16" x14ac:dyDescent="0.2">
      <c r="U3786" s="12"/>
      <c r="V3786" s="13"/>
      <c r="W3786" s="16"/>
    </row>
    <row r="3787" spans="21:23" ht="16" x14ac:dyDescent="0.2">
      <c r="U3787" s="12"/>
      <c r="V3787" s="13"/>
      <c r="W3787" s="16"/>
    </row>
    <row r="3788" spans="21:23" ht="16" x14ac:dyDescent="0.2">
      <c r="U3788" s="12"/>
      <c r="V3788" s="13"/>
      <c r="W3788" s="16"/>
    </row>
    <row r="3789" spans="21:23" ht="16" x14ac:dyDescent="0.2">
      <c r="U3789" s="12"/>
      <c r="V3789" s="13"/>
      <c r="W3789" s="16"/>
    </row>
    <row r="3790" spans="21:23" ht="16" x14ac:dyDescent="0.2">
      <c r="U3790" s="12"/>
      <c r="V3790" s="13"/>
      <c r="W3790" s="16"/>
    </row>
    <row r="3791" spans="21:23" ht="16" x14ac:dyDescent="0.2">
      <c r="U3791" s="12"/>
      <c r="V3791" s="13"/>
      <c r="W3791" s="16"/>
    </row>
    <row r="3792" spans="21:23" ht="16" x14ac:dyDescent="0.2">
      <c r="U3792" s="12"/>
      <c r="V3792" s="13"/>
      <c r="W3792" s="16"/>
    </row>
    <row r="3793" spans="21:23" ht="16" x14ac:dyDescent="0.2">
      <c r="U3793" s="12"/>
      <c r="V3793" s="13"/>
      <c r="W3793" s="16"/>
    </row>
    <row r="3794" spans="21:23" ht="16" x14ac:dyDescent="0.2">
      <c r="U3794" s="12"/>
      <c r="V3794" s="13"/>
      <c r="W3794" s="16"/>
    </row>
    <row r="3795" spans="21:23" ht="16" x14ac:dyDescent="0.2">
      <c r="U3795" s="12"/>
      <c r="V3795" s="13"/>
      <c r="W3795" s="16"/>
    </row>
    <row r="3796" spans="21:23" ht="16" x14ac:dyDescent="0.2">
      <c r="U3796" s="12"/>
      <c r="V3796" s="13"/>
      <c r="W3796" s="16"/>
    </row>
    <row r="3797" spans="21:23" ht="16" x14ac:dyDescent="0.2">
      <c r="U3797" s="12"/>
      <c r="V3797" s="13"/>
      <c r="W3797" s="16"/>
    </row>
    <row r="3798" spans="21:23" ht="16" x14ac:dyDescent="0.2">
      <c r="U3798" s="12"/>
      <c r="V3798" s="13"/>
      <c r="W3798" s="16"/>
    </row>
    <row r="3799" spans="21:23" ht="16" x14ac:dyDescent="0.2">
      <c r="U3799" s="12"/>
      <c r="V3799" s="13"/>
      <c r="W3799" s="16"/>
    </row>
    <row r="3800" spans="21:23" ht="16" x14ac:dyDescent="0.2">
      <c r="U3800" s="12"/>
      <c r="V3800" s="13"/>
      <c r="W3800" s="16"/>
    </row>
    <row r="3801" spans="21:23" ht="16" x14ac:dyDescent="0.2">
      <c r="U3801" s="12"/>
      <c r="V3801" s="13"/>
      <c r="W3801" s="16"/>
    </row>
    <row r="3802" spans="21:23" ht="16" x14ac:dyDescent="0.2">
      <c r="U3802" s="12"/>
      <c r="V3802" s="13"/>
      <c r="W3802" s="16"/>
    </row>
    <row r="3803" spans="21:23" ht="16" x14ac:dyDescent="0.2">
      <c r="U3803" s="12"/>
      <c r="V3803" s="13"/>
      <c r="W3803" s="16"/>
    </row>
    <row r="3804" spans="21:23" ht="16" x14ac:dyDescent="0.2">
      <c r="U3804" s="12"/>
      <c r="V3804" s="13"/>
      <c r="W3804" s="16"/>
    </row>
    <row r="3805" spans="21:23" ht="16" x14ac:dyDescent="0.2">
      <c r="U3805" s="12"/>
      <c r="V3805" s="13"/>
      <c r="W3805" s="16"/>
    </row>
    <row r="3806" spans="21:23" ht="16" x14ac:dyDescent="0.2">
      <c r="U3806" s="12"/>
      <c r="V3806" s="13"/>
      <c r="W3806" s="16"/>
    </row>
    <row r="3807" spans="21:23" ht="16" x14ac:dyDescent="0.2">
      <c r="U3807" s="12"/>
      <c r="V3807" s="13"/>
      <c r="W3807" s="16"/>
    </row>
    <row r="3808" spans="21:23" ht="16" x14ac:dyDescent="0.2">
      <c r="U3808" s="12"/>
      <c r="V3808" s="13"/>
      <c r="W3808" s="16"/>
    </row>
    <row r="3809" spans="21:23" ht="16" x14ac:dyDescent="0.2">
      <c r="U3809" s="12"/>
      <c r="V3809" s="13"/>
      <c r="W3809" s="16"/>
    </row>
    <row r="3810" spans="21:23" ht="16" x14ac:dyDescent="0.2">
      <c r="U3810" s="12"/>
      <c r="V3810" s="13"/>
      <c r="W3810" s="16"/>
    </row>
    <row r="3811" spans="21:23" ht="16" x14ac:dyDescent="0.2">
      <c r="U3811" s="12"/>
      <c r="V3811" s="13"/>
      <c r="W3811" s="16"/>
    </row>
    <row r="3812" spans="21:23" ht="16" x14ac:dyDescent="0.2">
      <c r="U3812" s="12"/>
      <c r="V3812" s="13"/>
      <c r="W3812" s="16"/>
    </row>
    <row r="3813" spans="21:23" ht="16" x14ac:dyDescent="0.2">
      <c r="U3813" s="12"/>
      <c r="V3813" s="13"/>
      <c r="W3813" s="16"/>
    </row>
    <row r="3814" spans="21:23" ht="16" x14ac:dyDescent="0.2">
      <c r="U3814" s="12"/>
      <c r="V3814" s="13"/>
      <c r="W3814" s="16"/>
    </row>
    <row r="3815" spans="21:23" ht="16" x14ac:dyDescent="0.2">
      <c r="U3815" s="12"/>
      <c r="V3815" s="13"/>
      <c r="W3815" s="16"/>
    </row>
    <row r="3816" spans="21:23" ht="16" x14ac:dyDescent="0.2">
      <c r="U3816" s="12"/>
      <c r="V3816" s="13"/>
      <c r="W3816" s="16"/>
    </row>
    <row r="3817" spans="21:23" ht="16" x14ac:dyDescent="0.2">
      <c r="U3817" s="12"/>
      <c r="V3817" s="13"/>
      <c r="W3817" s="16"/>
    </row>
    <row r="3818" spans="21:23" ht="16" x14ac:dyDescent="0.2">
      <c r="U3818" s="12"/>
      <c r="V3818" s="13"/>
      <c r="W3818" s="16"/>
    </row>
    <row r="3819" spans="21:23" ht="16" x14ac:dyDescent="0.2">
      <c r="U3819" s="12"/>
      <c r="V3819" s="13"/>
      <c r="W3819" s="16"/>
    </row>
    <row r="3820" spans="21:23" ht="16" x14ac:dyDescent="0.2">
      <c r="U3820" s="12"/>
      <c r="V3820" s="13"/>
      <c r="W3820" s="16"/>
    </row>
    <row r="3821" spans="21:23" ht="16" x14ac:dyDescent="0.2">
      <c r="U3821" s="12"/>
      <c r="V3821" s="13"/>
      <c r="W3821" s="16"/>
    </row>
    <row r="3822" spans="21:23" ht="16" x14ac:dyDescent="0.2">
      <c r="U3822" s="12"/>
      <c r="V3822" s="13"/>
      <c r="W3822" s="16"/>
    </row>
    <row r="3823" spans="21:23" ht="16" x14ac:dyDescent="0.2">
      <c r="U3823" s="12"/>
      <c r="V3823" s="13"/>
      <c r="W3823" s="16"/>
    </row>
    <row r="3824" spans="21:23" ht="16" x14ac:dyDescent="0.2">
      <c r="U3824" s="12"/>
      <c r="V3824" s="13"/>
      <c r="W3824" s="16"/>
    </row>
    <row r="3825" spans="21:23" ht="16" x14ac:dyDescent="0.2">
      <c r="U3825" s="12"/>
      <c r="V3825" s="13"/>
      <c r="W3825" s="16"/>
    </row>
    <row r="3826" spans="21:23" ht="16" x14ac:dyDescent="0.2">
      <c r="U3826" s="12"/>
      <c r="V3826" s="13"/>
      <c r="W3826" s="16"/>
    </row>
    <row r="3827" spans="21:23" ht="16" x14ac:dyDescent="0.2">
      <c r="U3827" s="12"/>
      <c r="V3827" s="13"/>
      <c r="W3827" s="16"/>
    </row>
    <row r="3828" spans="21:23" ht="16" x14ac:dyDescent="0.2">
      <c r="U3828" s="12"/>
      <c r="V3828" s="13"/>
      <c r="W3828" s="16"/>
    </row>
    <row r="3829" spans="21:23" ht="16" x14ac:dyDescent="0.2">
      <c r="U3829" s="12"/>
      <c r="V3829" s="13"/>
      <c r="W3829" s="16"/>
    </row>
    <row r="3830" spans="21:23" ht="16" x14ac:dyDescent="0.2">
      <c r="U3830" s="12"/>
      <c r="V3830" s="13"/>
      <c r="W3830" s="16"/>
    </row>
    <row r="3831" spans="21:23" ht="16" x14ac:dyDescent="0.2">
      <c r="U3831" s="12"/>
      <c r="V3831" s="13"/>
      <c r="W3831" s="16"/>
    </row>
    <row r="3832" spans="21:23" ht="16" x14ac:dyDescent="0.2">
      <c r="U3832" s="12"/>
      <c r="V3832" s="13"/>
      <c r="W3832" s="16"/>
    </row>
    <row r="3833" spans="21:23" ht="16" x14ac:dyDescent="0.2">
      <c r="U3833" s="12"/>
      <c r="V3833" s="13"/>
      <c r="W3833" s="16"/>
    </row>
    <row r="3834" spans="21:23" ht="16" x14ac:dyDescent="0.2">
      <c r="U3834" s="12"/>
      <c r="V3834" s="13"/>
      <c r="W3834" s="16"/>
    </row>
    <row r="3835" spans="21:23" ht="16" x14ac:dyDescent="0.2">
      <c r="U3835" s="12"/>
      <c r="V3835" s="13"/>
      <c r="W3835" s="16"/>
    </row>
    <row r="3836" spans="21:23" ht="16" x14ac:dyDescent="0.2">
      <c r="U3836" s="12"/>
      <c r="V3836" s="13"/>
      <c r="W3836" s="16"/>
    </row>
    <row r="3837" spans="21:23" ht="16" x14ac:dyDescent="0.2">
      <c r="U3837" s="12"/>
      <c r="V3837" s="13"/>
      <c r="W3837" s="16"/>
    </row>
    <row r="3838" spans="21:23" ht="16" x14ac:dyDescent="0.2">
      <c r="U3838" s="12"/>
      <c r="V3838" s="13"/>
      <c r="W3838" s="16"/>
    </row>
    <row r="3839" spans="21:23" ht="16" x14ac:dyDescent="0.2">
      <c r="U3839" s="12"/>
      <c r="V3839" s="13"/>
      <c r="W3839" s="16"/>
    </row>
    <row r="3840" spans="21:23" ht="16" x14ac:dyDescent="0.2">
      <c r="U3840" s="12"/>
      <c r="V3840" s="13"/>
      <c r="W3840" s="16"/>
    </row>
    <row r="3841" spans="21:23" ht="16" x14ac:dyDescent="0.2">
      <c r="U3841" s="12"/>
      <c r="V3841" s="13"/>
      <c r="W3841" s="16"/>
    </row>
    <row r="3842" spans="21:23" ht="16" x14ac:dyDescent="0.2">
      <c r="U3842" s="12"/>
      <c r="V3842" s="13"/>
      <c r="W3842" s="16"/>
    </row>
    <row r="3843" spans="21:23" ht="16" x14ac:dyDescent="0.2">
      <c r="U3843" s="12"/>
      <c r="V3843" s="13"/>
      <c r="W3843" s="16"/>
    </row>
    <row r="3844" spans="21:23" ht="16" x14ac:dyDescent="0.2">
      <c r="U3844" s="12"/>
      <c r="V3844" s="13"/>
      <c r="W3844" s="16"/>
    </row>
    <row r="3845" spans="21:23" ht="16" x14ac:dyDescent="0.2">
      <c r="U3845" s="12"/>
      <c r="V3845" s="13"/>
      <c r="W3845" s="16"/>
    </row>
    <row r="3846" spans="21:23" ht="16" x14ac:dyDescent="0.2">
      <c r="U3846" s="12"/>
      <c r="V3846" s="13"/>
      <c r="W3846" s="16"/>
    </row>
    <row r="3847" spans="21:23" ht="16" x14ac:dyDescent="0.2">
      <c r="U3847" s="12"/>
      <c r="V3847" s="13"/>
      <c r="W3847" s="16"/>
    </row>
    <row r="3848" spans="21:23" ht="16" x14ac:dyDescent="0.2">
      <c r="U3848" s="12"/>
      <c r="V3848" s="13"/>
      <c r="W3848" s="16"/>
    </row>
    <row r="3849" spans="21:23" ht="16" x14ac:dyDescent="0.2">
      <c r="U3849" s="12"/>
      <c r="V3849" s="13"/>
      <c r="W3849" s="16"/>
    </row>
    <row r="3850" spans="21:23" ht="16" x14ac:dyDescent="0.2">
      <c r="U3850" s="12"/>
      <c r="V3850" s="13"/>
      <c r="W3850" s="16"/>
    </row>
    <row r="3851" spans="21:23" ht="16" x14ac:dyDescent="0.2">
      <c r="U3851" s="12"/>
      <c r="V3851" s="13"/>
      <c r="W3851" s="16"/>
    </row>
    <row r="3852" spans="21:23" ht="16" x14ac:dyDescent="0.2">
      <c r="U3852" s="12"/>
      <c r="V3852" s="13"/>
      <c r="W3852" s="16"/>
    </row>
    <row r="3853" spans="21:23" ht="16" x14ac:dyDescent="0.2">
      <c r="U3853" s="12"/>
      <c r="V3853" s="13"/>
      <c r="W3853" s="16"/>
    </row>
    <row r="3854" spans="21:23" ht="16" x14ac:dyDescent="0.2">
      <c r="U3854" s="12"/>
      <c r="V3854" s="13"/>
      <c r="W3854" s="16"/>
    </row>
    <row r="3855" spans="21:23" ht="16" x14ac:dyDescent="0.2">
      <c r="U3855" s="12"/>
      <c r="V3855" s="13"/>
      <c r="W3855" s="16"/>
    </row>
    <row r="3856" spans="21:23" ht="16" x14ac:dyDescent="0.2">
      <c r="U3856" s="12"/>
      <c r="V3856" s="13"/>
      <c r="W3856" s="16"/>
    </row>
    <row r="3857" spans="21:23" ht="16" x14ac:dyDescent="0.2">
      <c r="U3857" s="12"/>
      <c r="V3857" s="13"/>
      <c r="W3857" s="16"/>
    </row>
    <row r="3858" spans="21:23" ht="16" x14ac:dyDescent="0.2">
      <c r="U3858" s="12"/>
      <c r="V3858" s="13"/>
      <c r="W3858" s="16"/>
    </row>
    <row r="3859" spans="21:23" ht="16" x14ac:dyDescent="0.2">
      <c r="U3859" s="12"/>
      <c r="V3859" s="13"/>
      <c r="W3859" s="16"/>
    </row>
    <row r="3860" spans="21:23" ht="16" x14ac:dyDescent="0.2">
      <c r="U3860" s="12"/>
      <c r="V3860" s="13"/>
      <c r="W3860" s="16"/>
    </row>
    <row r="3861" spans="21:23" ht="16" x14ac:dyDescent="0.2">
      <c r="U3861" s="12"/>
      <c r="V3861" s="13"/>
      <c r="W3861" s="16"/>
    </row>
    <row r="3862" spans="21:23" ht="16" x14ac:dyDescent="0.2">
      <c r="U3862" s="12"/>
      <c r="V3862" s="13"/>
      <c r="W3862" s="16"/>
    </row>
    <row r="3863" spans="21:23" ht="16" x14ac:dyDescent="0.2">
      <c r="U3863" s="12"/>
      <c r="V3863" s="13"/>
      <c r="W3863" s="16"/>
    </row>
    <row r="3864" spans="21:23" ht="16" x14ac:dyDescent="0.2">
      <c r="U3864" s="12"/>
      <c r="V3864" s="13"/>
      <c r="W3864" s="16"/>
    </row>
    <row r="3865" spans="21:23" ht="16" x14ac:dyDescent="0.2">
      <c r="U3865" s="12"/>
      <c r="V3865" s="13"/>
      <c r="W3865" s="16"/>
    </row>
    <row r="3866" spans="21:23" ht="16" x14ac:dyDescent="0.2">
      <c r="U3866" s="12"/>
      <c r="V3866" s="13"/>
      <c r="W3866" s="16"/>
    </row>
    <row r="3867" spans="21:23" ht="16" x14ac:dyDescent="0.2">
      <c r="U3867" s="12"/>
      <c r="V3867" s="13"/>
      <c r="W3867" s="16"/>
    </row>
    <row r="3868" spans="21:23" ht="16" x14ac:dyDescent="0.2">
      <c r="U3868" s="12"/>
      <c r="V3868" s="13"/>
      <c r="W3868" s="16"/>
    </row>
    <row r="3869" spans="21:23" ht="16" x14ac:dyDescent="0.2">
      <c r="U3869" s="12"/>
      <c r="V3869" s="13"/>
      <c r="W3869" s="16"/>
    </row>
    <row r="3870" spans="21:23" ht="16" x14ac:dyDescent="0.2">
      <c r="U3870" s="12"/>
      <c r="V3870" s="13"/>
      <c r="W3870" s="16"/>
    </row>
    <row r="3871" spans="21:23" ht="16" x14ac:dyDescent="0.2">
      <c r="U3871" s="12"/>
      <c r="V3871" s="13"/>
      <c r="W3871" s="16"/>
    </row>
    <row r="3872" spans="21:23" ht="16" x14ac:dyDescent="0.2">
      <c r="U3872" s="12"/>
      <c r="V3872" s="13"/>
      <c r="W3872" s="16"/>
    </row>
    <row r="3873" spans="21:23" ht="16" x14ac:dyDescent="0.2">
      <c r="U3873" s="12"/>
      <c r="V3873" s="13"/>
      <c r="W3873" s="16"/>
    </row>
    <row r="3874" spans="21:23" ht="16" x14ac:dyDescent="0.2">
      <c r="U3874" s="12"/>
      <c r="V3874" s="13"/>
      <c r="W3874" s="16"/>
    </row>
    <row r="3875" spans="21:23" ht="16" x14ac:dyDescent="0.2">
      <c r="U3875" s="12"/>
      <c r="V3875" s="13"/>
      <c r="W3875" s="16"/>
    </row>
    <row r="3876" spans="21:23" ht="16" x14ac:dyDescent="0.2">
      <c r="U3876" s="12"/>
      <c r="V3876" s="13"/>
      <c r="W3876" s="16"/>
    </row>
    <row r="3877" spans="21:23" ht="16" x14ac:dyDescent="0.2">
      <c r="U3877" s="12"/>
      <c r="V3877" s="13"/>
      <c r="W3877" s="16"/>
    </row>
    <row r="3878" spans="21:23" ht="16" x14ac:dyDescent="0.2">
      <c r="U3878" s="12"/>
      <c r="V3878" s="13"/>
      <c r="W3878" s="16"/>
    </row>
    <row r="3879" spans="21:23" ht="16" x14ac:dyDescent="0.2">
      <c r="U3879" s="12"/>
      <c r="V3879" s="13"/>
      <c r="W3879" s="16"/>
    </row>
    <row r="3880" spans="21:23" ht="16" x14ac:dyDescent="0.2">
      <c r="U3880" s="12"/>
      <c r="V3880" s="13"/>
      <c r="W3880" s="16"/>
    </row>
    <row r="3881" spans="21:23" ht="16" x14ac:dyDescent="0.2">
      <c r="U3881" s="12"/>
      <c r="V3881" s="13"/>
      <c r="W3881" s="16"/>
    </row>
    <row r="3882" spans="21:23" ht="16" x14ac:dyDescent="0.2">
      <c r="U3882" s="12"/>
      <c r="V3882" s="13"/>
      <c r="W3882" s="16"/>
    </row>
    <row r="3883" spans="21:23" ht="16" x14ac:dyDescent="0.2">
      <c r="U3883" s="12"/>
      <c r="V3883" s="13"/>
      <c r="W3883" s="16"/>
    </row>
    <row r="3884" spans="21:23" ht="16" x14ac:dyDescent="0.2">
      <c r="U3884" s="12"/>
      <c r="V3884" s="13"/>
      <c r="W3884" s="16"/>
    </row>
    <row r="3885" spans="21:23" ht="16" x14ac:dyDescent="0.2">
      <c r="U3885" s="12"/>
      <c r="V3885" s="13"/>
      <c r="W3885" s="16"/>
    </row>
    <row r="3886" spans="21:23" ht="16" x14ac:dyDescent="0.2">
      <c r="U3886" s="12"/>
      <c r="V3886" s="13"/>
      <c r="W3886" s="16"/>
    </row>
    <row r="3887" spans="21:23" ht="16" x14ac:dyDescent="0.2">
      <c r="U3887" s="12"/>
      <c r="V3887" s="13"/>
      <c r="W3887" s="16"/>
    </row>
    <row r="3888" spans="21:23" ht="16" x14ac:dyDescent="0.2">
      <c r="U3888" s="12"/>
      <c r="V3888" s="13"/>
      <c r="W3888" s="16"/>
    </row>
    <row r="3889" spans="21:23" ht="16" x14ac:dyDescent="0.2">
      <c r="U3889" s="12"/>
      <c r="V3889" s="13"/>
      <c r="W3889" s="16"/>
    </row>
    <row r="3890" spans="21:23" ht="16" x14ac:dyDescent="0.2">
      <c r="U3890" s="12"/>
      <c r="V3890" s="13"/>
      <c r="W3890" s="16"/>
    </row>
    <row r="3891" spans="21:23" ht="16" x14ac:dyDescent="0.2">
      <c r="U3891" s="12"/>
      <c r="V3891" s="13"/>
      <c r="W3891" s="16"/>
    </row>
    <row r="3892" spans="21:23" ht="16" x14ac:dyDescent="0.2">
      <c r="U3892" s="12"/>
      <c r="V3892" s="13"/>
      <c r="W3892" s="16"/>
    </row>
    <row r="3893" spans="21:23" ht="16" x14ac:dyDescent="0.2">
      <c r="U3893" s="12"/>
      <c r="V3893" s="13"/>
      <c r="W3893" s="16"/>
    </row>
    <row r="3894" spans="21:23" ht="16" x14ac:dyDescent="0.2">
      <c r="U3894" s="12"/>
      <c r="V3894" s="13"/>
      <c r="W3894" s="16"/>
    </row>
    <row r="3895" spans="21:23" ht="16" x14ac:dyDescent="0.2">
      <c r="U3895" s="12"/>
      <c r="V3895" s="13"/>
      <c r="W3895" s="16"/>
    </row>
    <row r="3896" spans="21:23" ht="16" x14ac:dyDescent="0.2">
      <c r="U3896" s="12"/>
      <c r="V3896" s="13"/>
      <c r="W3896" s="16"/>
    </row>
    <row r="3897" spans="21:23" ht="16" x14ac:dyDescent="0.2">
      <c r="U3897" s="12"/>
      <c r="V3897" s="13"/>
      <c r="W3897" s="16"/>
    </row>
    <row r="3898" spans="21:23" ht="16" x14ac:dyDescent="0.2">
      <c r="U3898" s="12"/>
      <c r="V3898" s="13"/>
      <c r="W3898" s="16"/>
    </row>
    <row r="3899" spans="21:23" ht="16" x14ac:dyDescent="0.2">
      <c r="U3899" s="12"/>
      <c r="V3899" s="13"/>
      <c r="W3899" s="16"/>
    </row>
    <row r="3900" spans="21:23" ht="16" x14ac:dyDescent="0.2">
      <c r="U3900" s="12"/>
      <c r="V3900" s="13"/>
      <c r="W3900" s="16"/>
    </row>
    <row r="3901" spans="21:23" ht="16" x14ac:dyDescent="0.2">
      <c r="U3901" s="12"/>
      <c r="V3901" s="13"/>
      <c r="W3901" s="16"/>
    </row>
    <row r="3902" spans="21:23" ht="16" x14ac:dyDescent="0.2">
      <c r="U3902" s="12"/>
      <c r="V3902" s="13"/>
      <c r="W3902" s="16"/>
    </row>
    <row r="3903" spans="21:23" ht="16" x14ac:dyDescent="0.2">
      <c r="U3903" s="12"/>
      <c r="V3903" s="13"/>
      <c r="W3903" s="16"/>
    </row>
    <row r="3904" spans="21:23" ht="16" x14ac:dyDescent="0.2">
      <c r="U3904" s="12"/>
      <c r="V3904" s="13"/>
      <c r="W3904" s="16"/>
    </row>
    <row r="3905" spans="21:23" ht="16" x14ac:dyDescent="0.2">
      <c r="U3905" s="12"/>
      <c r="V3905" s="13"/>
      <c r="W3905" s="16"/>
    </row>
    <row r="3906" spans="21:23" ht="16" x14ac:dyDescent="0.2">
      <c r="U3906" s="12"/>
      <c r="V3906" s="13"/>
      <c r="W3906" s="16"/>
    </row>
    <row r="3907" spans="21:23" ht="16" x14ac:dyDescent="0.2">
      <c r="U3907" s="12"/>
      <c r="V3907" s="13"/>
      <c r="W3907" s="16"/>
    </row>
    <row r="3908" spans="21:23" ht="16" x14ac:dyDescent="0.2">
      <c r="U3908" s="12"/>
      <c r="V3908" s="13"/>
      <c r="W3908" s="16"/>
    </row>
    <row r="3909" spans="21:23" ht="16" x14ac:dyDescent="0.2">
      <c r="U3909" s="12"/>
      <c r="V3909" s="13"/>
      <c r="W3909" s="16"/>
    </row>
    <row r="3910" spans="21:23" ht="16" x14ac:dyDescent="0.2">
      <c r="U3910" s="12"/>
      <c r="V3910" s="13"/>
      <c r="W3910" s="16"/>
    </row>
    <row r="3911" spans="21:23" ht="16" x14ac:dyDescent="0.2">
      <c r="U3911" s="12"/>
      <c r="V3911" s="13"/>
      <c r="W3911" s="16"/>
    </row>
    <row r="3912" spans="21:23" ht="16" x14ac:dyDescent="0.2">
      <c r="U3912" s="12"/>
      <c r="V3912" s="13"/>
      <c r="W3912" s="16"/>
    </row>
    <row r="3913" spans="21:23" ht="16" x14ac:dyDescent="0.2">
      <c r="U3913" s="12"/>
      <c r="V3913" s="13"/>
      <c r="W3913" s="16"/>
    </row>
    <row r="3914" spans="21:23" ht="16" x14ac:dyDescent="0.2">
      <c r="U3914" s="12"/>
      <c r="V3914" s="13"/>
      <c r="W3914" s="16"/>
    </row>
    <row r="3915" spans="21:23" ht="16" x14ac:dyDescent="0.2">
      <c r="U3915" s="12"/>
      <c r="V3915" s="13"/>
      <c r="W3915" s="16"/>
    </row>
    <row r="3916" spans="21:23" ht="16" x14ac:dyDescent="0.2">
      <c r="U3916" s="12"/>
      <c r="V3916" s="13"/>
      <c r="W3916" s="16"/>
    </row>
    <row r="3917" spans="21:23" ht="16" x14ac:dyDescent="0.2">
      <c r="U3917" s="12"/>
      <c r="V3917" s="13"/>
      <c r="W3917" s="16"/>
    </row>
    <row r="3918" spans="21:23" ht="16" x14ac:dyDescent="0.2">
      <c r="U3918" s="12"/>
      <c r="V3918" s="13"/>
      <c r="W3918" s="16"/>
    </row>
    <row r="3919" spans="21:23" ht="16" x14ac:dyDescent="0.2">
      <c r="U3919" s="12"/>
      <c r="V3919" s="13"/>
      <c r="W3919" s="16"/>
    </row>
    <row r="3920" spans="21:23" ht="16" x14ac:dyDescent="0.2">
      <c r="U3920" s="12"/>
      <c r="V3920" s="13"/>
      <c r="W3920" s="16"/>
    </row>
    <row r="3921" spans="21:23" ht="16" x14ac:dyDescent="0.2">
      <c r="U3921" s="12"/>
      <c r="V3921" s="13"/>
      <c r="W3921" s="16"/>
    </row>
    <row r="3922" spans="21:23" ht="16" x14ac:dyDescent="0.2">
      <c r="U3922" s="12"/>
      <c r="V3922" s="13"/>
      <c r="W3922" s="16"/>
    </row>
    <row r="3923" spans="21:23" ht="16" x14ac:dyDescent="0.2">
      <c r="U3923" s="12"/>
      <c r="V3923" s="13"/>
      <c r="W3923" s="16"/>
    </row>
    <row r="3924" spans="21:23" ht="16" x14ac:dyDescent="0.2">
      <c r="U3924" s="12"/>
      <c r="V3924" s="13"/>
      <c r="W3924" s="16"/>
    </row>
    <row r="3925" spans="21:23" ht="16" x14ac:dyDescent="0.2">
      <c r="U3925" s="12"/>
      <c r="V3925" s="13"/>
      <c r="W3925" s="16"/>
    </row>
    <row r="3926" spans="21:23" ht="16" x14ac:dyDescent="0.2">
      <c r="U3926" s="12"/>
      <c r="V3926" s="13"/>
      <c r="W3926" s="16"/>
    </row>
    <row r="3927" spans="21:23" ht="16" x14ac:dyDescent="0.2">
      <c r="U3927" s="12"/>
      <c r="V3927" s="13"/>
      <c r="W3927" s="16"/>
    </row>
    <row r="3928" spans="21:23" ht="16" x14ac:dyDescent="0.2">
      <c r="U3928" s="12"/>
      <c r="V3928" s="13"/>
      <c r="W3928" s="16"/>
    </row>
    <row r="3929" spans="21:23" ht="16" x14ac:dyDescent="0.2">
      <c r="U3929" s="12"/>
      <c r="V3929" s="13"/>
      <c r="W3929" s="16"/>
    </row>
    <row r="3930" spans="21:23" ht="16" x14ac:dyDescent="0.2">
      <c r="U3930" s="12"/>
      <c r="V3930" s="13"/>
      <c r="W3930" s="16"/>
    </row>
    <row r="3931" spans="21:23" ht="16" x14ac:dyDescent="0.2">
      <c r="U3931" s="12"/>
      <c r="V3931" s="13"/>
      <c r="W3931" s="16"/>
    </row>
    <row r="3932" spans="21:23" ht="16" x14ac:dyDescent="0.2">
      <c r="U3932" s="12"/>
      <c r="V3932" s="13"/>
      <c r="W3932" s="16"/>
    </row>
    <row r="3933" spans="21:23" ht="16" x14ac:dyDescent="0.2">
      <c r="U3933" s="12"/>
      <c r="V3933" s="13"/>
      <c r="W3933" s="16"/>
    </row>
    <row r="3934" spans="21:23" ht="16" x14ac:dyDescent="0.2">
      <c r="U3934" s="12"/>
      <c r="V3934" s="13"/>
      <c r="W3934" s="16"/>
    </row>
    <row r="3935" spans="21:23" ht="16" x14ac:dyDescent="0.2">
      <c r="U3935" s="12"/>
      <c r="V3935" s="13"/>
      <c r="W3935" s="16"/>
    </row>
    <row r="3936" spans="21:23" ht="16" x14ac:dyDescent="0.2">
      <c r="U3936" s="12"/>
      <c r="V3936" s="13"/>
      <c r="W3936" s="16"/>
    </row>
    <row r="3937" spans="21:23" ht="16" x14ac:dyDescent="0.2">
      <c r="U3937" s="12"/>
      <c r="V3937" s="13"/>
      <c r="W3937" s="16"/>
    </row>
    <row r="3938" spans="21:23" ht="16" x14ac:dyDescent="0.2">
      <c r="U3938" s="12"/>
      <c r="V3938" s="13"/>
      <c r="W3938" s="16"/>
    </row>
    <row r="3939" spans="21:23" ht="16" x14ac:dyDescent="0.2">
      <c r="U3939" s="12"/>
      <c r="V3939" s="13"/>
      <c r="W3939" s="16"/>
    </row>
    <row r="3940" spans="21:23" ht="16" x14ac:dyDescent="0.2">
      <c r="U3940" s="12"/>
      <c r="V3940" s="13"/>
      <c r="W3940" s="16"/>
    </row>
    <row r="3941" spans="21:23" ht="16" x14ac:dyDescent="0.2">
      <c r="U3941" s="12"/>
      <c r="V3941" s="13"/>
      <c r="W3941" s="16"/>
    </row>
    <row r="3942" spans="21:23" ht="16" x14ac:dyDescent="0.2">
      <c r="U3942" s="12"/>
      <c r="V3942" s="13"/>
      <c r="W3942" s="16"/>
    </row>
    <row r="3943" spans="21:23" ht="16" x14ac:dyDescent="0.2">
      <c r="U3943" s="12"/>
      <c r="V3943" s="13"/>
      <c r="W3943" s="16"/>
    </row>
    <row r="3944" spans="21:23" ht="16" x14ac:dyDescent="0.2">
      <c r="U3944" s="12"/>
      <c r="V3944" s="13"/>
      <c r="W3944" s="16"/>
    </row>
    <row r="3945" spans="21:23" ht="16" x14ac:dyDescent="0.2">
      <c r="U3945" s="12"/>
      <c r="V3945" s="13"/>
      <c r="W3945" s="16"/>
    </row>
    <row r="3946" spans="21:23" ht="16" x14ac:dyDescent="0.2">
      <c r="U3946" s="12"/>
      <c r="V3946" s="13"/>
      <c r="W3946" s="16"/>
    </row>
    <row r="3947" spans="21:23" ht="16" x14ac:dyDescent="0.2">
      <c r="U3947" s="12"/>
      <c r="V3947" s="13"/>
      <c r="W3947" s="16"/>
    </row>
    <row r="3948" spans="21:23" ht="16" x14ac:dyDescent="0.2">
      <c r="U3948" s="12"/>
      <c r="V3948" s="13"/>
      <c r="W3948" s="16"/>
    </row>
    <row r="3949" spans="21:23" ht="16" x14ac:dyDescent="0.2">
      <c r="U3949" s="12"/>
      <c r="V3949" s="13"/>
      <c r="W3949" s="16"/>
    </row>
    <row r="3950" spans="21:23" ht="16" x14ac:dyDescent="0.2">
      <c r="U3950" s="12"/>
      <c r="V3950" s="13"/>
      <c r="W3950" s="16"/>
    </row>
    <row r="3951" spans="21:23" ht="16" x14ac:dyDescent="0.2">
      <c r="U3951" s="12"/>
      <c r="V3951" s="13"/>
      <c r="W3951" s="16"/>
    </row>
    <row r="3952" spans="21:23" ht="16" x14ac:dyDescent="0.2">
      <c r="U3952" s="12"/>
      <c r="V3952" s="13"/>
      <c r="W3952" s="16"/>
    </row>
    <row r="3953" spans="21:23" ht="16" x14ac:dyDescent="0.2">
      <c r="U3953" s="12"/>
      <c r="V3953" s="13"/>
      <c r="W3953" s="16"/>
    </row>
    <row r="3954" spans="21:23" ht="16" x14ac:dyDescent="0.2">
      <c r="U3954" s="12"/>
      <c r="V3954" s="13"/>
      <c r="W3954" s="16"/>
    </row>
    <row r="3955" spans="21:23" ht="16" x14ac:dyDescent="0.2">
      <c r="U3955" s="12"/>
      <c r="V3955" s="13"/>
      <c r="W3955" s="16"/>
    </row>
    <row r="3956" spans="21:23" ht="16" x14ac:dyDescent="0.2">
      <c r="U3956" s="12"/>
      <c r="V3956" s="13"/>
      <c r="W3956" s="16"/>
    </row>
    <row r="3957" spans="21:23" ht="16" x14ac:dyDescent="0.2">
      <c r="U3957" s="12"/>
      <c r="V3957" s="13"/>
      <c r="W3957" s="16"/>
    </row>
    <row r="3958" spans="21:23" ht="16" x14ac:dyDescent="0.2">
      <c r="U3958" s="12"/>
      <c r="V3958" s="13"/>
      <c r="W3958" s="16"/>
    </row>
    <row r="3959" spans="21:23" ht="16" x14ac:dyDescent="0.2">
      <c r="U3959" s="12"/>
      <c r="V3959" s="13"/>
      <c r="W3959" s="16"/>
    </row>
    <row r="3960" spans="21:23" ht="16" x14ac:dyDescent="0.2">
      <c r="U3960" s="12"/>
      <c r="V3960" s="13"/>
      <c r="W3960" s="16"/>
    </row>
    <row r="3961" spans="21:23" ht="16" x14ac:dyDescent="0.2">
      <c r="U3961" s="12"/>
      <c r="V3961" s="13"/>
      <c r="W3961" s="16"/>
    </row>
    <row r="3962" spans="21:23" ht="16" x14ac:dyDescent="0.2">
      <c r="U3962" s="12"/>
      <c r="V3962" s="13"/>
      <c r="W3962" s="16"/>
    </row>
    <row r="3963" spans="21:23" ht="16" x14ac:dyDescent="0.2">
      <c r="U3963" s="12"/>
      <c r="V3963" s="13"/>
      <c r="W3963" s="16"/>
    </row>
    <row r="3964" spans="21:23" ht="16" x14ac:dyDescent="0.2">
      <c r="U3964" s="12"/>
      <c r="V3964" s="13"/>
      <c r="W3964" s="16"/>
    </row>
    <row r="3965" spans="21:23" ht="16" x14ac:dyDescent="0.2">
      <c r="U3965" s="12"/>
      <c r="V3965" s="13"/>
      <c r="W3965" s="16"/>
    </row>
    <row r="3966" spans="21:23" ht="16" x14ac:dyDescent="0.2">
      <c r="U3966" s="12"/>
      <c r="V3966" s="13"/>
      <c r="W3966" s="16"/>
    </row>
    <row r="3967" spans="21:23" ht="16" x14ac:dyDescent="0.2">
      <c r="U3967" s="12"/>
      <c r="V3967" s="13"/>
      <c r="W3967" s="16"/>
    </row>
    <row r="3968" spans="21:23" ht="16" x14ac:dyDescent="0.2">
      <c r="U3968" s="12"/>
      <c r="V3968" s="13"/>
      <c r="W3968" s="16"/>
    </row>
    <row r="3969" spans="21:23" ht="16" x14ac:dyDescent="0.2">
      <c r="U3969" s="12"/>
      <c r="V3969" s="13"/>
      <c r="W3969" s="16"/>
    </row>
    <row r="3970" spans="21:23" ht="16" x14ac:dyDescent="0.2">
      <c r="U3970" s="12"/>
      <c r="V3970" s="13"/>
      <c r="W3970" s="16"/>
    </row>
    <row r="3971" spans="21:23" ht="16" x14ac:dyDescent="0.2">
      <c r="U3971" s="12"/>
      <c r="V3971" s="13"/>
      <c r="W3971" s="16"/>
    </row>
    <row r="3972" spans="21:23" ht="16" x14ac:dyDescent="0.2">
      <c r="U3972" s="12"/>
      <c r="V3972" s="13"/>
      <c r="W3972" s="16"/>
    </row>
    <row r="3973" spans="21:23" ht="16" x14ac:dyDescent="0.2">
      <c r="U3973" s="12"/>
      <c r="V3973" s="13"/>
      <c r="W3973" s="16"/>
    </row>
    <row r="3974" spans="21:23" ht="16" x14ac:dyDescent="0.2">
      <c r="U3974" s="12"/>
      <c r="V3974" s="13"/>
      <c r="W3974" s="16"/>
    </row>
    <row r="3975" spans="21:23" ht="16" x14ac:dyDescent="0.2">
      <c r="U3975" s="12"/>
      <c r="V3975" s="13"/>
      <c r="W3975" s="16"/>
    </row>
    <row r="3976" spans="21:23" ht="16" x14ac:dyDescent="0.2">
      <c r="U3976" s="12"/>
      <c r="V3976" s="13"/>
      <c r="W3976" s="16"/>
    </row>
    <row r="3977" spans="21:23" ht="16" x14ac:dyDescent="0.2">
      <c r="U3977" s="12"/>
      <c r="V3977" s="13"/>
      <c r="W3977" s="16"/>
    </row>
    <row r="3978" spans="21:23" ht="16" x14ac:dyDescent="0.2">
      <c r="U3978" s="12"/>
      <c r="V3978" s="13"/>
      <c r="W3978" s="16"/>
    </row>
    <row r="3979" spans="21:23" ht="16" x14ac:dyDescent="0.2">
      <c r="U3979" s="12"/>
      <c r="V3979" s="13"/>
      <c r="W3979" s="16"/>
    </row>
    <row r="3980" spans="21:23" ht="16" x14ac:dyDescent="0.2">
      <c r="U3980" s="12"/>
      <c r="V3980" s="13"/>
      <c r="W3980" s="16"/>
    </row>
    <row r="3981" spans="21:23" ht="16" x14ac:dyDescent="0.2">
      <c r="U3981" s="12"/>
      <c r="V3981" s="13"/>
      <c r="W3981" s="16"/>
    </row>
    <row r="3982" spans="21:23" ht="16" x14ac:dyDescent="0.2">
      <c r="U3982" s="12"/>
      <c r="V3982" s="13"/>
      <c r="W3982" s="16"/>
    </row>
    <row r="3983" spans="21:23" ht="16" x14ac:dyDescent="0.2">
      <c r="U3983" s="12"/>
      <c r="V3983" s="13"/>
      <c r="W3983" s="16"/>
    </row>
    <row r="3984" spans="21:23" ht="16" x14ac:dyDescent="0.2">
      <c r="U3984" s="12"/>
      <c r="V3984" s="13"/>
      <c r="W3984" s="16"/>
    </row>
    <row r="3985" spans="21:23" ht="16" x14ac:dyDescent="0.2">
      <c r="U3985" s="12"/>
      <c r="V3985" s="13"/>
      <c r="W3985" s="16"/>
    </row>
    <row r="3986" spans="21:23" ht="16" x14ac:dyDescent="0.2">
      <c r="U3986" s="12"/>
      <c r="V3986" s="13"/>
      <c r="W3986" s="16"/>
    </row>
    <row r="3987" spans="21:23" ht="16" x14ac:dyDescent="0.2">
      <c r="U3987" s="12"/>
      <c r="V3987" s="13"/>
      <c r="W3987" s="16"/>
    </row>
    <row r="3988" spans="21:23" ht="16" x14ac:dyDescent="0.2">
      <c r="U3988" s="12"/>
      <c r="V3988" s="13"/>
      <c r="W3988" s="16"/>
    </row>
    <row r="3989" spans="21:23" ht="16" x14ac:dyDescent="0.2">
      <c r="U3989" s="12"/>
      <c r="V3989" s="13"/>
      <c r="W3989" s="16"/>
    </row>
    <row r="3990" spans="21:23" ht="16" x14ac:dyDescent="0.2">
      <c r="U3990" s="12"/>
      <c r="V3990" s="13"/>
      <c r="W3990" s="16"/>
    </row>
    <row r="3991" spans="21:23" ht="16" x14ac:dyDescent="0.2">
      <c r="U3991" s="12"/>
      <c r="V3991" s="13"/>
      <c r="W3991" s="16"/>
    </row>
    <row r="3992" spans="21:23" ht="16" x14ac:dyDescent="0.2">
      <c r="U3992" s="12"/>
      <c r="V3992" s="13"/>
      <c r="W3992" s="16"/>
    </row>
    <row r="3993" spans="21:23" ht="16" x14ac:dyDescent="0.2">
      <c r="U3993" s="12"/>
      <c r="V3993" s="13"/>
      <c r="W3993" s="16"/>
    </row>
    <row r="3994" spans="21:23" ht="16" x14ac:dyDescent="0.2">
      <c r="U3994" s="12"/>
      <c r="V3994" s="13"/>
      <c r="W3994" s="16"/>
    </row>
    <row r="3995" spans="21:23" ht="16" x14ac:dyDescent="0.2">
      <c r="U3995" s="12"/>
      <c r="V3995" s="13"/>
      <c r="W3995" s="16"/>
    </row>
    <row r="3996" spans="21:23" ht="16" x14ac:dyDescent="0.2">
      <c r="U3996" s="12"/>
      <c r="V3996" s="13"/>
      <c r="W3996" s="16"/>
    </row>
    <row r="3997" spans="21:23" ht="16" x14ac:dyDescent="0.2">
      <c r="U3997" s="12"/>
      <c r="V3997" s="13"/>
      <c r="W3997" s="16"/>
    </row>
    <row r="3998" spans="21:23" ht="16" x14ac:dyDescent="0.2">
      <c r="U3998" s="12"/>
      <c r="V3998" s="13"/>
      <c r="W3998" s="16"/>
    </row>
    <row r="3999" spans="21:23" ht="16" x14ac:dyDescent="0.2">
      <c r="U3999" s="12"/>
      <c r="V3999" s="13"/>
      <c r="W3999" s="16"/>
    </row>
    <row r="4000" spans="21:23" ht="16" x14ac:dyDescent="0.2">
      <c r="U4000" s="12"/>
      <c r="V4000" s="13"/>
      <c r="W4000" s="16"/>
    </row>
    <row r="4001" spans="21:23" ht="16" x14ac:dyDescent="0.2">
      <c r="U4001" s="12"/>
      <c r="V4001" s="13"/>
      <c r="W4001" s="16"/>
    </row>
    <row r="4002" spans="21:23" ht="16" x14ac:dyDescent="0.2">
      <c r="U4002" s="12"/>
      <c r="V4002" s="13"/>
      <c r="W4002" s="16"/>
    </row>
    <row r="4003" spans="21:23" ht="16" x14ac:dyDescent="0.2">
      <c r="U4003" s="12"/>
      <c r="V4003" s="13"/>
      <c r="W4003" s="16"/>
    </row>
    <row r="4004" spans="21:23" ht="16" x14ac:dyDescent="0.2">
      <c r="U4004" s="12"/>
      <c r="V4004" s="13"/>
      <c r="W4004" s="16"/>
    </row>
    <row r="4005" spans="21:23" ht="16" x14ac:dyDescent="0.2">
      <c r="U4005" s="12"/>
      <c r="V4005" s="13"/>
      <c r="W4005" s="16"/>
    </row>
    <row r="4006" spans="21:23" ht="16" x14ac:dyDescent="0.2">
      <c r="U4006" s="12"/>
      <c r="V4006" s="13"/>
      <c r="W4006" s="16"/>
    </row>
    <row r="4007" spans="21:23" ht="16" x14ac:dyDescent="0.2">
      <c r="U4007" s="12"/>
      <c r="V4007" s="13"/>
      <c r="W4007" s="16"/>
    </row>
    <row r="4008" spans="21:23" ht="16" x14ac:dyDescent="0.2">
      <c r="U4008" s="12"/>
      <c r="V4008" s="13"/>
      <c r="W4008" s="16"/>
    </row>
    <row r="4009" spans="21:23" ht="16" x14ac:dyDescent="0.2">
      <c r="U4009" s="12"/>
      <c r="V4009" s="13"/>
      <c r="W4009" s="16"/>
    </row>
    <row r="4010" spans="21:23" ht="16" x14ac:dyDescent="0.2">
      <c r="U4010" s="12"/>
      <c r="V4010" s="13"/>
      <c r="W4010" s="16"/>
    </row>
    <row r="4011" spans="21:23" ht="16" x14ac:dyDescent="0.2">
      <c r="U4011" s="12"/>
      <c r="V4011" s="13"/>
      <c r="W4011" s="16"/>
    </row>
    <row r="4012" spans="21:23" ht="16" x14ac:dyDescent="0.2">
      <c r="U4012" s="12"/>
      <c r="V4012" s="13"/>
      <c r="W4012" s="16"/>
    </row>
    <row r="4013" spans="21:23" ht="16" x14ac:dyDescent="0.2">
      <c r="U4013" s="12"/>
      <c r="V4013" s="13"/>
      <c r="W4013" s="16"/>
    </row>
    <row r="4014" spans="21:23" ht="16" x14ac:dyDescent="0.2">
      <c r="U4014" s="12"/>
      <c r="V4014" s="13"/>
      <c r="W4014" s="16"/>
    </row>
    <row r="4015" spans="21:23" ht="16" x14ac:dyDescent="0.2">
      <c r="U4015" s="12"/>
      <c r="V4015" s="13"/>
      <c r="W4015" s="16"/>
    </row>
    <row r="4016" spans="21:23" ht="16" x14ac:dyDescent="0.2">
      <c r="U4016" s="12"/>
      <c r="V4016" s="13"/>
      <c r="W4016" s="16"/>
    </row>
    <row r="4017" spans="21:23" ht="16" x14ac:dyDescent="0.2">
      <c r="U4017" s="12"/>
      <c r="V4017" s="13"/>
      <c r="W4017" s="16"/>
    </row>
    <row r="4018" spans="21:23" ht="16" x14ac:dyDescent="0.2">
      <c r="U4018" s="12"/>
      <c r="V4018" s="13"/>
      <c r="W4018" s="16"/>
    </row>
    <row r="4019" spans="21:23" ht="16" x14ac:dyDescent="0.2">
      <c r="U4019" s="12"/>
      <c r="V4019" s="13"/>
      <c r="W4019" s="16"/>
    </row>
    <row r="4020" spans="21:23" ht="16" x14ac:dyDescent="0.2">
      <c r="U4020" s="12"/>
      <c r="V4020" s="13"/>
      <c r="W4020" s="16"/>
    </row>
    <row r="4021" spans="21:23" ht="16" x14ac:dyDescent="0.2">
      <c r="U4021" s="12"/>
      <c r="V4021" s="13"/>
      <c r="W4021" s="16"/>
    </row>
    <row r="4022" spans="21:23" ht="16" x14ac:dyDescent="0.2">
      <c r="U4022" s="12"/>
      <c r="V4022" s="13"/>
      <c r="W4022" s="16"/>
    </row>
    <row r="4023" spans="21:23" ht="16" x14ac:dyDescent="0.2">
      <c r="U4023" s="12"/>
      <c r="V4023" s="13"/>
      <c r="W4023" s="16"/>
    </row>
    <row r="4024" spans="21:23" ht="16" x14ac:dyDescent="0.2">
      <c r="U4024" s="12"/>
      <c r="V4024" s="13"/>
      <c r="W4024" s="16"/>
    </row>
    <row r="4025" spans="21:23" ht="16" x14ac:dyDescent="0.2">
      <c r="U4025" s="12"/>
      <c r="V4025" s="13"/>
      <c r="W4025" s="16"/>
    </row>
    <row r="4026" spans="21:23" ht="16" x14ac:dyDescent="0.2">
      <c r="U4026" s="12"/>
      <c r="V4026" s="13"/>
      <c r="W4026" s="16"/>
    </row>
    <row r="4027" spans="21:23" ht="16" x14ac:dyDescent="0.2">
      <c r="U4027" s="12"/>
      <c r="V4027" s="13"/>
      <c r="W4027" s="16"/>
    </row>
    <row r="4028" spans="21:23" ht="16" x14ac:dyDescent="0.2">
      <c r="U4028" s="12"/>
      <c r="V4028" s="13"/>
      <c r="W4028" s="16"/>
    </row>
    <row r="4029" spans="21:23" ht="16" x14ac:dyDescent="0.2">
      <c r="U4029" s="12"/>
      <c r="V4029" s="13"/>
      <c r="W4029" s="16"/>
    </row>
    <row r="4030" spans="21:23" ht="16" x14ac:dyDescent="0.2">
      <c r="U4030" s="12"/>
      <c r="V4030" s="13"/>
      <c r="W4030" s="16"/>
    </row>
    <row r="4031" spans="21:23" ht="16" x14ac:dyDescent="0.2">
      <c r="U4031" s="12"/>
      <c r="V4031" s="13"/>
      <c r="W4031" s="16"/>
    </row>
    <row r="4032" spans="21:23" ht="16" x14ac:dyDescent="0.2">
      <c r="U4032" s="12"/>
      <c r="V4032" s="13"/>
      <c r="W4032" s="16"/>
    </row>
    <row r="4033" spans="21:23" ht="16" x14ac:dyDescent="0.2">
      <c r="U4033" s="12"/>
      <c r="V4033" s="13"/>
      <c r="W4033" s="16"/>
    </row>
    <row r="4034" spans="21:23" ht="16" x14ac:dyDescent="0.2">
      <c r="U4034" s="12"/>
      <c r="V4034" s="13"/>
      <c r="W4034" s="16"/>
    </row>
    <row r="4035" spans="21:23" ht="16" x14ac:dyDescent="0.2">
      <c r="U4035" s="12"/>
      <c r="V4035" s="13"/>
      <c r="W4035" s="16"/>
    </row>
    <row r="4036" spans="21:23" ht="16" x14ac:dyDescent="0.2">
      <c r="U4036" s="12"/>
      <c r="V4036" s="13"/>
      <c r="W4036" s="16"/>
    </row>
    <row r="4037" spans="21:23" ht="16" x14ac:dyDescent="0.2">
      <c r="U4037" s="12"/>
      <c r="V4037" s="13"/>
      <c r="W4037" s="16"/>
    </row>
    <row r="4038" spans="21:23" ht="16" x14ac:dyDescent="0.2">
      <c r="U4038" s="12"/>
      <c r="V4038" s="13"/>
      <c r="W4038" s="16"/>
    </row>
    <row r="4039" spans="21:23" ht="16" x14ac:dyDescent="0.2">
      <c r="U4039" s="12"/>
      <c r="V4039" s="13"/>
      <c r="W4039" s="16"/>
    </row>
    <row r="4040" spans="21:23" ht="16" x14ac:dyDescent="0.2">
      <c r="U4040" s="12"/>
      <c r="V4040" s="13"/>
      <c r="W4040" s="16"/>
    </row>
    <row r="4041" spans="21:23" ht="16" x14ac:dyDescent="0.2">
      <c r="U4041" s="12"/>
      <c r="V4041" s="13"/>
      <c r="W4041" s="16"/>
    </row>
    <row r="4042" spans="21:23" ht="16" x14ac:dyDescent="0.2">
      <c r="U4042" s="12"/>
      <c r="V4042" s="13"/>
      <c r="W4042" s="16"/>
    </row>
    <row r="4043" spans="21:23" ht="16" x14ac:dyDescent="0.2">
      <c r="U4043" s="12"/>
      <c r="V4043" s="13"/>
      <c r="W4043" s="16"/>
    </row>
    <row r="4044" spans="21:23" ht="16" x14ac:dyDescent="0.2">
      <c r="U4044" s="12"/>
      <c r="V4044" s="13"/>
      <c r="W4044" s="16"/>
    </row>
    <row r="4045" spans="21:23" ht="16" x14ac:dyDescent="0.2">
      <c r="U4045" s="12"/>
      <c r="V4045" s="13"/>
      <c r="W4045" s="16"/>
    </row>
    <row r="4046" spans="21:23" ht="16" x14ac:dyDescent="0.2">
      <c r="U4046" s="12"/>
      <c r="V4046" s="13"/>
      <c r="W4046" s="16"/>
    </row>
    <row r="4047" spans="21:23" ht="16" x14ac:dyDescent="0.2">
      <c r="U4047" s="12"/>
      <c r="V4047" s="13"/>
      <c r="W4047" s="16"/>
    </row>
    <row r="4048" spans="21:23" ht="16" x14ac:dyDescent="0.2">
      <c r="U4048" s="12"/>
      <c r="V4048" s="13"/>
      <c r="W4048" s="16"/>
    </row>
    <row r="4049" spans="21:23" ht="16" x14ac:dyDescent="0.2">
      <c r="U4049" s="12"/>
      <c r="V4049" s="13"/>
      <c r="W4049" s="16"/>
    </row>
    <row r="4050" spans="21:23" ht="16" x14ac:dyDescent="0.2">
      <c r="U4050" s="12"/>
      <c r="V4050" s="13"/>
      <c r="W4050" s="16"/>
    </row>
    <row r="4051" spans="21:23" ht="16" x14ac:dyDescent="0.2">
      <c r="U4051" s="12"/>
      <c r="V4051" s="13"/>
      <c r="W4051" s="16"/>
    </row>
    <row r="4052" spans="21:23" ht="16" x14ac:dyDescent="0.2">
      <c r="U4052" s="12"/>
      <c r="V4052" s="13"/>
      <c r="W4052" s="16"/>
    </row>
    <row r="4053" spans="21:23" ht="16" x14ac:dyDescent="0.2">
      <c r="U4053" s="12"/>
      <c r="V4053" s="13"/>
      <c r="W4053" s="16"/>
    </row>
    <row r="4054" spans="21:23" ht="16" x14ac:dyDescent="0.2">
      <c r="U4054" s="12"/>
      <c r="V4054" s="13"/>
      <c r="W4054" s="16"/>
    </row>
    <row r="4055" spans="21:23" ht="16" x14ac:dyDescent="0.2">
      <c r="U4055" s="12"/>
      <c r="V4055" s="13"/>
      <c r="W4055" s="16"/>
    </row>
    <row r="4056" spans="21:23" ht="16" x14ac:dyDescent="0.2">
      <c r="U4056" s="12"/>
      <c r="V4056" s="13"/>
      <c r="W4056" s="16"/>
    </row>
    <row r="4057" spans="21:23" ht="16" x14ac:dyDescent="0.2">
      <c r="U4057" s="12"/>
      <c r="V4057" s="13"/>
      <c r="W4057" s="16"/>
    </row>
    <row r="4058" spans="21:23" ht="16" x14ac:dyDescent="0.2">
      <c r="U4058" s="12"/>
      <c r="V4058" s="13"/>
      <c r="W4058" s="16"/>
    </row>
    <row r="4059" spans="21:23" ht="16" x14ac:dyDescent="0.2">
      <c r="U4059" s="12"/>
      <c r="V4059" s="13"/>
      <c r="W4059" s="16"/>
    </row>
    <row r="4060" spans="21:23" ht="16" x14ac:dyDescent="0.2">
      <c r="U4060" s="12"/>
      <c r="V4060" s="13"/>
      <c r="W4060" s="16"/>
    </row>
    <row r="4061" spans="21:23" ht="16" x14ac:dyDescent="0.2">
      <c r="U4061" s="12"/>
      <c r="V4061" s="13"/>
      <c r="W4061" s="16"/>
    </row>
    <row r="4062" spans="21:23" ht="16" x14ac:dyDescent="0.2">
      <c r="U4062" s="12"/>
      <c r="V4062" s="13"/>
      <c r="W4062" s="16"/>
    </row>
    <row r="4063" spans="21:23" ht="16" x14ac:dyDescent="0.2">
      <c r="U4063" s="12"/>
      <c r="V4063" s="13"/>
      <c r="W4063" s="16"/>
    </row>
    <row r="4064" spans="21:23" ht="16" x14ac:dyDescent="0.2">
      <c r="U4064" s="12"/>
      <c r="V4064" s="13"/>
      <c r="W4064" s="16"/>
    </row>
    <row r="4065" spans="21:23" ht="16" x14ac:dyDescent="0.2">
      <c r="U4065" s="12"/>
      <c r="V4065" s="13"/>
      <c r="W4065" s="16"/>
    </row>
    <row r="4066" spans="21:23" ht="16" x14ac:dyDescent="0.2">
      <c r="U4066" s="12"/>
      <c r="V4066" s="13"/>
      <c r="W4066" s="16"/>
    </row>
    <row r="4067" spans="21:23" ht="16" x14ac:dyDescent="0.2">
      <c r="U4067" s="12"/>
      <c r="V4067" s="13"/>
      <c r="W4067" s="16"/>
    </row>
    <row r="4068" spans="21:23" ht="16" x14ac:dyDescent="0.2">
      <c r="U4068" s="12"/>
      <c r="V4068" s="13"/>
      <c r="W4068" s="16"/>
    </row>
    <row r="4069" spans="21:23" ht="16" x14ac:dyDescent="0.2">
      <c r="U4069" s="12"/>
      <c r="V4069" s="13"/>
      <c r="W4069" s="16"/>
    </row>
    <row r="4070" spans="21:23" ht="16" x14ac:dyDescent="0.2">
      <c r="U4070" s="12"/>
      <c r="V4070" s="13"/>
      <c r="W4070" s="16"/>
    </row>
    <row r="4071" spans="21:23" ht="16" x14ac:dyDescent="0.2">
      <c r="U4071" s="12"/>
      <c r="V4071" s="13"/>
      <c r="W4071" s="16"/>
    </row>
    <row r="4072" spans="21:23" ht="16" x14ac:dyDescent="0.2">
      <c r="U4072" s="12"/>
      <c r="V4072" s="13"/>
      <c r="W4072" s="16"/>
    </row>
    <row r="4073" spans="21:23" ht="16" x14ac:dyDescent="0.2">
      <c r="U4073" s="12"/>
      <c r="V4073" s="13"/>
      <c r="W4073" s="16"/>
    </row>
    <row r="4074" spans="21:23" ht="16" x14ac:dyDescent="0.2">
      <c r="U4074" s="12"/>
      <c r="V4074" s="13"/>
      <c r="W4074" s="16"/>
    </row>
    <row r="4075" spans="21:23" ht="16" x14ac:dyDescent="0.2">
      <c r="U4075" s="12"/>
      <c r="V4075" s="13"/>
      <c r="W4075" s="16"/>
    </row>
    <row r="4076" spans="21:23" ht="16" x14ac:dyDescent="0.2">
      <c r="U4076" s="12"/>
      <c r="V4076" s="13"/>
      <c r="W4076" s="16"/>
    </row>
    <row r="4077" spans="21:23" ht="16" x14ac:dyDescent="0.2">
      <c r="U4077" s="12"/>
      <c r="V4077" s="13"/>
      <c r="W4077" s="16"/>
    </row>
    <row r="4078" spans="21:23" ht="16" x14ac:dyDescent="0.2">
      <c r="U4078" s="12"/>
      <c r="V4078" s="13"/>
      <c r="W4078" s="16"/>
    </row>
    <row r="4079" spans="21:23" ht="16" x14ac:dyDescent="0.2">
      <c r="U4079" s="12"/>
      <c r="V4079" s="13"/>
      <c r="W4079" s="16"/>
    </row>
    <row r="4080" spans="21:23" ht="16" x14ac:dyDescent="0.2">
      <c r="U4080" s="12"/>
      <c r="V4080" s="13"/>
      <c r="W4080" s="16"/>
    </row>
    <row r="4081" spans="21:23" ht="16" x14ac:dyDescent="0.2">
      <c r="U4081" s="12"/>
      <c r="V4081" s="13"/>
      <c r="W4081" s="16"/>
    </row>
    <row r="4082" spans="21:23" ht="16" x14ac:dyDescent="0.2">
      <c r="U4082" s="12"/>
      <c r="V4082" s="13"/>
      <c r="W4082" s="16"/>
    </row>
    <row r="4083" spans="21:23" ht="16" x14ac:dyDescent="0.2">
      <c r="U4083" s="12"/>
      <c r="V4083" s="13"/>
      <c r="W4083" s="16"/>
    </row>
    <row r="4084" spans="21:23" ht="16" x14ac:dyDescent="0.2">
      <c r="U4084" s="12"/>
      <c r="V4084" s="13"/>
      <c r="W4084" s="16"/>
    </row>
    <row r="4085" spans="21:23" ht="16" x14ac:dyDescent="0.2">
      <c r="U4085" s="12"/>
      <c r="V4085" s="13"/>
      <c r="W4085" s="16"/>
    </row>
    <row r="4086" spans="21:23" ht="16" x14ac:dyDescent="0.2">
      <c r="U4086" s="12"/>
      <c r="V4086" s="13"/>
      <c r="W4086" s="16"/>
    </row>
    <row r="4087" spans="21:23" ht="16" x14ac:dyDescent="0.2">
      <c r="U4087" s="12"/>
      <c r="V4087" s="13"/>
      <c r="W4087" s="16"/>
    </row>
    <row r="4088" spans="21:23" ht="16" x14ac:dyDescent="0.2">
      <c r="U4088" s="12"/>
      <c r="V4088" s="13"/>
      <c r="W4088" s="16"/>
    </row>
    <row r="4089" spans="21:23" ht="16" x14ac:dyDescent="0.2">
      <c r="U4089" s="12"/>
      <c r="V4089" s="13"/>
      <c r="W4089" s="16"/>
    </row>
    <row r="4090" spans="21:23" ht="16" x14ac:dyDescent="0.2">
      <c r="U4090" s="12"/>
      <c r="V4090" s="13"/>
      <c r="W4090" s="16"/>
    </row>
    <row r="4091" spans="21:23" ht="16" x14ac:dyDescent="0.2">
      <c r="U4091" s="12"/>
      <c r="V4091" s="13"/>
      <c r="W4091" s="16"/>
    </row>
    <row r="4092" spans="21:23" ht="16" x14ac:dyDescent="0.2">
      <c r="U4092" s="12"/>
      <c r="V4092" s="13"/>
      <c r="W4092" s="16"/>
    </row>
    <row r="4093" spans="21:23" ht="16" x14ac:dyDescent="0.2">
      <c r="U4093" s="12"/>
      <c r="V4093" s="13"/>
      <c r="W4093" s="16"/>
    </row>
    <row r="4094" spans="21:23" ht="16" x14ac:dyDescent="0.2">
      <c r="U4094" s="12"/>
      <c r="V4094" s="13"/>
      <c r="W4094" s="16"/>
    </row>
    <row r="4095" spans="21:23" ht="16" x14ac:dyDescent="0.2">
      <c r="U4095" s="12"/>
      <c r="V4095" s="13"/>
      <c r="W4095" s="16"/>
    </row>
    <row r="4096" spans="21:23" ht="16" x14ac:dyDescent="0.2">
      <c r="U4096" s="12"/>
      <c r="V4096" s="13"/>
      <c r="W4096" s="16"/>
    </row>
    <row r="4097" spans="21:23" ht="16" x14ac:dyDescent="0.2">
      <c r="U4097" s="12"/>
      <c r="V4097" s="13"/>
      <c r="W4097" s="16"/>
    </row>
    <row r="4098" spans="21:23" ht="16" x14ac:dyDescent="0.2">
      <c r="U4098" s="12"/>
      <c r="V4098" s="13"/>
      <c r="W4098" s="16"/>
    </row>
    <row r="4099" spans="21:23" ht="16" x14ac:dyDescent="0.2">
      <c r="U4099" s="12"/>
      <c r="V4099" s="13"/>
      <c r="W4099" s="16"/>
    </row>
    <row r="4100" spans="21:23" ht="16" x14ac:dyDescent="0.2">
      <c r="U4100" s="12"/>
      <c r="V4100" s="13"/>
      <c r="W4100" s="16"/>
    </row>
    <row r="4101" spans="21:23" ht="16" x14ac:dyDescent="0.2">
      <c r="U4101" s="12"/>
      <c r="V4101" s="13"/>
      <c r="W4101" s="16"/>
    </row>
    <row r="4102" spans="21:23" ht="16" x14ac:dyDescent="0.2">
      <c r="U4102" s="12"/>
      <c r="V4102" s="13"/>
      <c r="W4102" s="16"/>
    </row>
    <row r="4103" spans="21:23" ht="16" x14ac:dyDescent="0.2">
      <c r="U4103" s="12"/>
      <c r="V4103" s="13"/>
      <c r="W4103" s="16"/>
    </row>
    <row r="4104" spans="21:23" ht="16" x14ac:dyDescent="0.2">
      <c r="U4104" s="12"/>
      <c r="V4104" s="13"/>
      <c r="W4104" s="16"/>
    </row>
    <row r="4105" spans="21:23" ht="16" x14ac:dyDescent="0.2">
      <c r="U4105" s="12"/>
      <c r="V4105" s="13"/>
      <c r="W4105" s="16"/>
    </row>
    <row r="4106" spans="21:23" ht="16" x14ac:dyDescent="0.2">
      <c r="U4106" s="12"/>
      <c r="V4106" s="13"/>
      <c r="W4106" s="16"/>
    </row>
    <row r="4107" spans="21:23" ht="16" x14ac:dyDescent="0.2">
      <c r="U4107" s="12"/>
      <c r="V4107" s="13"/>
      <c r="W4107" s="16"/>
    </row>
    <row r="4108" spans="21:23" ht="16" x14ac:dyDescent="0.2">
      <c r="U4108" s="12"/>
      <c r="V4108" s="13"/>
      <c r="W4108" s="16"/>
    </row>
    <row r="4109" spans="21:23" ht="16" x14ac:dyDescent="0.2">
      <c r="U4109" s="12"/>
      <c r="V4109" s="13"/>
      <c r="W4109" s="16"/>
    </row>
    <row r="4110" spans="21:23" ht="16" x14ac:dyDescent="0.2">
      <c r="U4110" s="12"/>
      <c r="V4110" s="13"/>
      <c r="W4110" s="16"/>
    </row>
    <row r="4111" spans="21:23" ht="16" x14ac:dyDescent="0.2">
      <c r="U4111" s="12"/>
      <c r="V4111" s="13"/>
      <c r="W4111" s="16"/>
    </row>
    <row r="4112" spans="21:23" ht="16" x14ac:dyDescent="0.2">
      <c r="U4112" s="12"/>
      <c r="V4112" s="13"/>
      <c r="W4112" s="16"/>
    </row>
    <row r="4113" spans="21:23" ht="16" x14ac:dyDescent="0.2">
      <c r="U4113" s="12"/>
      <c r="V4113" s="13"/>
      <c r="W4113" s="16"/>
    </row>
    <row r="4114" spans="21:23" ht="16" x14ac:dyDescent="0.2">
      <c r="U4114" s="12"/>
      <c r="V4114" s="13"/>
      <c r="W4114" s="16"/>
    </row>
    <row r="4115" spans="21:23" ht="16" x14ac:dyDescent="0.2">
      <c r="U4115" s="12"/>
      <c r="V4115" s="13"/>
      <c r="W4115" s="16"/>
    </row>
    <row r="4116" spans="21:23" ht="16" x14ac:dyDescent="0.2">
      <c r="U4116" s="12"/>
      <c r="V4116" s="13"/>
      <c r="W4116" s="16"/>
    </row>
    <row r="4117" spans="21:23" ht="16" x14ac:dyDescent="0.2">
      <c r="U4117" s="12"/>
      <c r="V4117" s="13"/>
      <c r="W4117" s="16"/>
    </row>
    <row r="4118" spans="21:23" ht="16" x14ac:dyDescent="0.2">
      <c r="U4118" s="12"/>
      <c r="V4118" s="13"/>
      <c r="W4118" s="16"/>
    </row>
    <row r="4119" spans="21:23" ht="16" x14ac:dyDescent="0.2">
      <c r="U4119" s="12"/>
      <c r="V4119" s="13"/>
      <c r="W4119" s="16"/>
    </row>
    <row r="4120" spans="21:23" ht="16" x14ac:dyDescent="0.2">
      <c r="U4120" s="12"/>
      <c r="V4120" s="13"/>
      <c r="W4120" s="16"/>
    </row>
    <row r="4121" spans="21:23" ht="16" x14ac:dyDescent="0.2">
      <c r="U4121" s="12"/>
      <c r="V4121" s="13"/>
      <c r="W4121" s="16"/>
    </row>
    <row r="4122" spans="21:23" ht="16" x14ac:dyDescent="0.2">
      <c r="U4122" s="12"/>
      <c r="V4122" s="13"/>
      <c r="W4122" s="16"/>
    </row>
    <row r="4123" spans="21:23" ht="16" x14ac:dyDescent="0.2">
      <c r="U4123" s="12"/>
      <c r="V4123" s="13"/>
      <c r="W4123" s="16"/>
    </row>
    <row r="4124" spans="21:23" ht="16" x14ac:dyDescent="0.2">
      <c r="U4124" s="12"/>
      <c r="V4124" s="13"/>
      <c r="W4124" s="16"/>
    </row>
    <row r="4125" spans="21:23" ht="16" x14ac:dyDescent="0.2">
      <c r="U4125" s="12"/>
      <c r="V4125" s="13"/>
      <c r="W4125" s="16"/>
    </row>
    <row r="4126" spans="21:23" ht="16" x14ac:dyDescent="0.2">
      <c r="U4126" s="12"/>
      <c r="V4126" s="13"/>
      <c r="W4126" s="16"/>
    </row>
    <row r="4127" spans="21:23" ht="16" x14ac:dyDescent="0.2">
      <c r="U4127" s="12"/>
      <c r="V4127" s="13"/>
      <c r="W4127" s="16"/>
    </row>
    <row r="4128" spans="21:23" ht="16" x14ac:dyDescent="0.2">
      <c r="U4128" s="12"/>
      <c r="V4128" s="13"/>
      <c r="W4128" s="16"/>
    </row>
    <row r="4129" spans="21:23" ht="16" x14ac:dyDescent="0.2">
      <c r="U4129" s="12"/>
      <c r="V4129" s="13"/>
      <c r="W4129" s="16"/>
    </row>
    <row r="4130" spans="21:23" ht="16" x14ac:dyDescent="0.2">
      <c r="U4130" s="12"/>
      <c r="V4130" s="13"/>
      <c r="W4130" s="16"/>
    </row>
    <row r="4131" spans="21:23" ht="16" x14ac:dyDescent="0.2">
      <c r="U4131" s="12"/>
      <c r="V4131" s="13"/>
      <c r="W4131" s="16"/>
    </row>
    <row r="4132" spans="21:23" ht="16" x14ac:dyDescent="0.2">
      <c r="U4132" s="12"/>
      <c r="V4132" s="13"/>
      <c r="W4132" s="16"/>
    </row>
    <row r="4133" spans="21:23" ht="16" x14ac:dyDescent="0.2">
      <c r="U4133" s="12"/>
      <c r="V4133" s="13"/>
      <c r="W4133" s="16"/>
    </row>
    <row r="4134" spans="21:23" ht="16" x14ac:dyDescent="0.2">
      <c r="U4134" s="12"/>
      <c r="V4134" s="13"/>
      <c r="W4134" s="16"/>
    </row>
    <row r="4135" spans="21:23" ht="16" x14ac:dyDescent="0.2">
      <c r="U4135" s="12"/>
      <c r="V4135" s="13"/>
      <c r="W4135" s="16"/>
    </row>
    <row r="4136" spans="21:23" ht="16" x14ac:dyDescent="0.2">
      <c r="U4136" s="12"/>
      <c r="V4136" s="13"/>
      <c r="W4136" s="16"/>
    </row>
    <row r="4137" spans="21:23" ht="16" x14ac:dyDescent="0.2">
      <c r="U4137" s="12"/>
      <c r="V4137" s="13"/>
      <c r="W4137" s="16"/>
    </row>
    <row r="4138" spans="21:23" ht="16" x14ac:dyDescent="0.2">
      <c r="U4138" s="12"/>
      <c r="V4138" s="13"/>
      <c r="W4138" s="16"/>
    </row>
    <row r="4139" spans="21:23" ht="16" x14ac:dyDescent="0.2">
      <c r="U4139" s="12"/>
      <c r="V4139" s="13"/>
      <c r="W4139" s="16"/>
    </row>
    <row r="4140" spans="21:23" ht="16" x14ac:dyDescent="0.2">
      <c r="U4140" s="12"/>
      <c r="V4140" s="13"/>
      <c r="W4140" s="16"/>
    </row>
    <row r="4141" spans="21:23" ht="16" x14ac:dyDescent="0.2">
      <c r="U4141" s="12"/>
      <c r="V4141" s="13"/>
      <c r="W4141" s="16"/>
    </row>
    <row r="4142" spans="21:23" ht="16" x14ac:dyDescent="0.2">
      <c r="U4142" s="12"/>
      <c r="V4142" s="13"/>
      <c r="W4142" s="16"/>
    </row>
    <row r="4143" spans="21:23" ht="16" x14ac:dyDescent="0.2">
      <c r="U4143" s="12"/>
      <c r="V4143" s="13"/>
      <c r="W4143" s="16"/>
    </row>
    <row r="4144" spans="21:23" ht="16" x14ac:dyDescent="0.2">
      <c r="U4144" s="12"/>
      <c r="V4144" s="13"/>
      <c r="W4144" s="16"/>
    </row>
    <row r="4145" spans="21:23" ht="16" x14ac:dyDescent="0.2">
      <c r="U4145" s="12"/>
      <c r="V4145" s="13"/>
      <c r="W4145" s="16"/>
    </row>
    <row r="4146" spans="21:23" ht="16" x14ac:dyDescent="0.2">
      <c r="U4146" s="12"/>
      <c r="V4146" s="13"/>
      <c r="W4146" s="16"/>
    </row>
    <row r="4147" spans="21:23" ht="16" x14ac:dyDescent="0.2">
      <c r="U4147" s="12"/>
      <c r="V4147" s="13"/>
      <c r="W4147" s="16"/>
    </row>
    <row r="4148" spans="21:23" ht="16" x14ac:dyDescent="0.2">
      <c r="U4148" s="12"/>
      <c r="V4148" s="13"/>
      <c r="W4148" s="16"/>
    </row>
    <row r="4149" spans="21:23" ht="16" x14ac:dyDescent="0.2">
      <c r="U4149" s="12"/>
      <c r="V4149" s="13"/>
      <c r="W4149" s="16"/>
    </row>
    <row r="4150" spans="21:23" ht="16" x14ac:dyDescent="0.2">
      <c r="U4150" s="12"/>
      <c r="V4150" s="13"/>
      <c r="W4150" s="16"/>
    </row>
    <row r="4151" spans="21:23" ht="16" x14ac:dyDescent="0.2">
      <c r="U4151" s="12"/>
      <c r="V4151" s="13"/>
      <c r="W4151" s="16"/>
    </row>
    <row r="4152" spans="21:23" ht="16" x14ac:dyDescent="0.2">
      <c r="U4152" s="12"/>
      <c r="V4152" s="13"/>
      <c r="W4152" s="16"/>
    </row>
    <row r="4153" spans="21:23" ht="16" x14ac:dyDescent="0.2">
      <c r="U4153" s="12"/>
      <c r="V4153" s="13"/>
      <c r="W4153" s="16"/>
    </row>
    <row r="4154" spans="21:23" ht="16" x14ac:dyDescent="0.2">
      <c r="U4154" s="12"/>
      <c r="V4154" s="13"/>
      <c r="W4154" s="16"/>
    </row>
    <row r="4155" spans="21:23" ht="16" x14ac:dyDescent="0.2">
      <c r="U4155" s="12"/>
      <c r="V4155" s="13"/>
      <c r="W4155" s="16"/>
    </row>
    <row r="4156" spans="21:23" ht="16" x14ac:dyDescent="0.2">
      <c r="U4156" s="12"/>
      <c r="V4156" s="13"/>
      <c r="W4156" s="16"/>
    </row>
    <row r="4157" spans="21:23" ht="16" x14ac:dyDescent="0.2">
      <c r="U4157" s="12"/>
      <c r="V4157" s="13"/>
      <c r="W4157" s="16"/>
    </row>
    <row r="4158" spans="21:23" ht="16" x14ac:dyDescent="0.2">
      <c r="U4158" s="12"/>
      <c r="V4158" s="13"/>
      <c r="W4158" s="16"/>
    </row>
    <row r="4159" spans="21:23" ht="16" x14ac:dyDescent="0.2">
      <c r="U4159" s="12"/>
      <c r="V4159" s="13"/>
      <c r="W4159" s="16"/>
    </row>
    <row r="4160" spans="21:23" ht="16" x14ac:dyDescent="0.2">
      <c r="U4160" s="12"/>
      <c r="V4160" s="13"/>
      <c r="W4160" s="16"/>
    </row>
    <row r="4161" spans="21:23" ht="16" x14ac:dyDescent="0.2">
      <c r="U4161" s="12"/>
      <c r="V4161" s="13"/>
      <c r="W4161" s="16"/>
    </row>
    <row r="4162" spans="21:23" ht="16" x14ac:dyDescent="0.2">
      <c r="U4162" s="12"/>
      <c r="V4162" s="13"/>
      <c r="W4162" s="16"/>
    </row>
    <row r="4163" spans="21:23" ht="16" x14ac:dyDescent="0.2">
      <c r="U4163" s="12"/>
      <c r="V4163" s="13"/>
      <c r="W4163" s="16"/>
    </row>
    <row r="4164" spans="21:23" ht="16" x14ac:dyDescent="0.2">
      <c r="U4164" s="12"/>
      <c r="V4164" s="13"/>
      <c r="W4164" s="16"/>
    </row>
    <row r="4165" spans="21:23" ht="16" x14ac:dyDescent="0.2">
      <c r="U4165" s="12"/>
      <c r="V4165" s="13"/>
      <c r="W4165" s="16"/>
    </row>
    <row r="4166" spans="21:23" ht="16" x14ac:dyDescent="0.2">
      <c r="U4166" s="12"/>
      <c r="V4166" s="13"/>
      <c r="W4166" s="16"/>
    </row>
    <row r="4167" spans="21:23" ht="16" x14ac:dyDescent="0.2">
      <c r="U4167" s="12"/>
      <c r="V4167" s="13"/>
      <c r="W4167" s="16"/>
    </row>
    <row r="4168" spans="21:23" ht="16" x14ac:dyDescent="0.2">
      <c r="U4168" s="12"/>
      <c r="V4168" s="13"/>
      <c r="W4168" s="16"/>
    </row>
    <row r="4169" spans="21:23" ht="16" x14ac:dyDescent="0.2">
      <c r="U4169" s="12"/>
      <c r="V4169" s="13"/>
      <c r="W4169" s="16"/>
    </row>
    <row r="4170" spans="21:23" ht="16" x14ac:dyDescent="0.2">
      <c r="U4170" s="12"/>
      <c r="V4170" s="13"/>
      <c r="W4170" s="16"/>
    </row>
    <row r="4171" spans="21:23" ht="16" x14ac:dyDescent="0.2">
      <c r="U4171" s="12"/>
      <c r="V4171" s="13"/>
      <c r="W4171" s="16"/>
    </row>
    <row r="4172" spans="21:23" ht="16" x14ac:dyDescent="0.2">
      <c r="U4172" s="12"/>
      <c r="V4172" s="13"/>
      <c r="W4172" s="16"/>
    </row>
    <row r="4173" spans="21:23" ht="16" x14ac:dyDescent="0.2">
      <c r="U4173" s="12"/>
      <c r="V4173" s="13"/>
      <c r="W4173" s="16"/>
    </row>
    <row r="4174" spans="21:23" ht="16" x14ac:dyDescent="0.2">
      <c r="U4174" s="12"/>
      <c r="V4174" s="13"/>
      <c r="W4174" s="16"/>
    </row>
    <row r="4175" spans="21:23" ht="16" x14ac:dyDescent="0.2">
      <c r="U4175" s="12"/>
      <c r="V4175" s="13"/>
      <c r="W4175" s="16"/>
    </row>
    <row r="4176" spans="21:23" ht="16" x14ac:dyDescent="0.2">
      <c r="U4176" s="12"/>
      <c r="V4176" s="13"/>
      <c r="W4176" s="16"/>
    </row>
    <row r="4177" spans="21:23" ht="16" x14ac:dyDescent="0.2">
      <c r="U4177" s="12"/>
      <c r="V4177" s="13"/>
      <c r="W4177" s="16"/>
    </row>
    <row r="4178" spans="21:23" ht="16" x14ac:dyDescent="0.2">
      <c r="U4178" s="12"/>
      <c r="V4178" s="13"/>
      <c r="W4178" s="16"/>
    </row>
    <row r="4179" spans="21:23" ht="16" x14ac:dyDescent="0.2">
      <c r="U4179" s="12"/>
      <c r="V4179" s="13"/>
      <c r="W4179" s="16"/>
    </row>
    <row r="4180" spans="21:23" ht="16" x14ac:dyDescent="0.2">
      <c r="U4180" s="12"/>
      <c r="V4180" s="13"/>
      <c r="W4180" s="16"/>
    </row>
    <row r="4181" spans="21:23" ht="16" x14ac:dyDescent="0.2">
      <c r="U4181" s="12"/>
      <c r="V4181" s="13"/>
      <c r="W4181" s="16"/>
    </row>
    <row r="4182" spans="21:23" ht="16" x14ac:dyDescent="0.2">
      <c r="U4182" s="12"/>
      <c r="V4182" s="13"/>
      <c r="W4182" s="16"/>
    </row>
    <row r="4183" spans="21:23" ht="16" x14ac:dyDescent="0.2">
      <c r="U4183" s="12"/>
      <c r="V4183" s="13"/>
      <c r="W4183" s="16"/>
    </row>
    <row r="4184" spans="21:23" ht="16" x14ac:dyDescent="0.2">
      <c r="U4184" s="12"/>
      <c r="V4184" s="13"/>
      <c r="W4184" s="16"/>
    </row>
    <row r="4185" spans="21:23" ht="16" x14ac:dyDescent="0.2">
      <c r="U4185" s="12"/>
      <c r="V4185" s="13"/>
      <c r="W4185" s="16"/>
    </row>
    <row r="4186" spans="21:23" ht="16" x14ac:dyDescent="0.2">
      <c r="U4186" s="12"/>
      <c r="V4186" s="13"/>
      <c r="W4186" s="16"/>
    </row>
    <row r="4187" spans="21:23" ht="16" x14ac:dyDescent="0.2">
      <c r="U4187" s="12"/>
      <c r="V4187" s="13"/>
      <c r="W4187" s="16"/>
    </row>
    <row r="4188" spans="21:23" ht="16" x14ac:dyDescent="0.2">
      <c r="U4188" s="12"/>
      <c r="V4188" s="13"/>
      <c r="W4188" s="16"/>
    </row>
    <row r="4189" spans="21:23" ht="16" x14ac:dyDescent="0.2">
      <c r="U4189" s="12"/>
      <c r="V4189" s="13"/>
      <c r="W4189" s="16"/>
    </row>
    <row r="4190" spans="21:23" ht="16" x14ac:dyDescent="0.2">
      <c r="U4190" s="12"/>
      <c r="V4190" s="13"/>
      <c r="W4190" s="16"/>
    </row>
    <row r="4191" spans="21:23" ht="16" x14ac:dyDescent="0.2">
      <c r="U4191" s="12"/>
      <c r="V4191" s="13"/>
      <c r="W4191" s="16"/>
    </row>
    <row r="4192" spans="21:23" ht="16" x14ac:dyDescent="0.2">
      <c r="U4192" s="12"/>
      <c r="V4192" s="13"/>
      <c r="W4192" s="16"/>
    </row>
    <row r="4193" spans="21:23" ht="16" x14ac:dyDescent="0.2">
      <c r="U4193" s="12"/>
      <c r="V4193" s="13"/>
      <c r="W4193" s="16"/>
    </row>
    <row r="4194" spans="21:23" ht="16" x14ac:dyDescent="0.2">
      <c r="U4194" s="12"/>
      <c r="V4194" s="13"/>
      <c r="W4194" s="16"/>
    </row>
    <row r="4195" spans="21:23" ht="16" x14ac:dyDescent="0.2">
      <c r="U4195" s="12"/>
      <c r="V4195" s="13"/>
      <c r="W4195" s="16"/>
    </row>
    <row r="4196" spans="21:23" ht="16" x14ac:dyDescent="0.2">
      <c r="U4196" s="12"/>
      <c r="V4196" s="13"/>
      <c r="W4196" s="16"/>
    </row>
    <row r="4197" spans="21:23" ht="16" x14ac:dyDescent="0.2">
      <c r="U4197" s="12"/>
      <c r="V4197" s="13"/>
      <c r="W4197" s="16"/>
    </row>
    <row r="4198" spans="21:23" ht="16" x14ac:dyDescent="0.2">
      <c r="U4198" s="12"/>
      <c r="V4198" s="13"/>
      <c r="W4198" s="16"/>
    </row>
    <row r="4199" spans="21:23" ht="16" x14ac:dyDescent="0.2">
      <c r="U4199" s="12"/>
      <c r="V4199" s="13"/>
      <c r="W4199" s="16"/>
    </row>
    <row r="4200" spans="21:23" ht="16" x14ac:dyDescent="0.2">
      <c r="U4200" s="12"/>
      <c r="V4200" s="13"/>
      <c r="W4200" s="16"/>
    </row>
    <row r="4201" spans="21:23" ht="16" x14ac:dyDescent="0.2">
      <c r="U4201" s="12"/>
      <c r="V4201" s="13"/>
      <c r="W4201" s="16"/>
    </row>
    <row r="4202" spans="21:23" ht="16" x14ac:dyDescent="0.2">
      <c r="U4202" s="12"/>
      <c r="V4202" s="13"/>
      <c r="W4202" s="16"/>
    </row>
    <row r="4203" spans="21:23" ht="16" x14ac:dyDescent="0.2">
      <c r="U4203" s="12"/>
      <c r="V4203" s="13"/>
      <c r="W4203" s="16"/>
    </row>
    <row r="4204" spans="21:23" ht="16" x14ac:dyDescent="0.2">
      <c r="U4204" s="12"/>
      <c r="V4204" s="13"/>
      <c r="W4204" s="16"/>
    </row>
    <row r="4205" spans="21:23" ht="16" x14ac:dyDescent="0.2">
      <c r="U4205" s="12"/>
      <c r="V4205" s="13"/>
      <c r="W4205" s="16"/>
    </row>
    <row r="4206" spans="21:23" ht="16" x14ac:dyDescent="0.2">
      <c r="U4206" s="12"/>
      <c r="V4206" s="13"/>
      <c r="W4206" s="16"/>
    </row>
    <row r="4207" spans="21:23" ht="16" x14ac:dyDescent="0.2">
      <c r="U4207" s="12"/>
      <c r="V4207" s="13"/>
      <c r="W4207" s="16"/>
    </row>
    <row r="4208" spans="21:23" ht="16" x14ac:dyDescent="0.2">
      <c r="U4208" s="12"/>
      <c r="V4208" s="13"/>
      <c r="W4208" s="16"/>
    </row>
    <row r="4209" spans="21:23" ht="16" x14ac:dyDescent="0.2">
      <c r="U4209" s="12"/>
      <c r="V4209" s="13"/>
      <c r="W4209" s="16"/>
    </row>
    <row r="4210" spans="21:23" ht="16" x14ac:dyDescent="0.2">
      <c r="U4210" s="12"/>
      <c r="V4210" s="13"/>
      <c r="W4210" s="16"/>
    </row>
    <row r="4211" spans="21:23" ht="16" x14ac:dyDescent="0.2">
      <c r="U4211" s="12"/>
      <c r="V4211" s="13"/>
      <c r="W4211" s="16"/>
    </row>
    <row r="4212" spans="21:23" ht="16" x14ac:dyDescent="0.2">
      <c r="U4212" s="12"/>
      <c r="V4212" s="13"/>
      <c r="W4212" s="16"/>
    </row>
    <row r="4213" spans="21:23" ht="16" x14ac:dyDescent="0.2">
      <c r="U4213" s="12"/>
      <c r="V4213" s="13"/>
      <c r="W4213" s="16"/>
    </row>
    <row r="4214" spans="21:23" ht="16" x14ac:dyDescent="0.2">
      <c r="U4214" s="12"/>
      <c r="V4214" s="13"/>
      <c r="W4214" s="16"/>
    </row>
    <row r="4215" spans="21:23" ht="16" x14ac:dyDescent="0.2">
      <c r="U4215" s="12"/>
      <c r="V4215" s="13"/>
      <c r="W4215" s="16"/>
    </row>
    <row r="4216" spans="21:23" ht="16" x14ac:dyDescent="0.2">
      <c r="U4216" s="12"/>
      <c r="V4216" s="13"/>
      <c r="W4216" s="16"/>
    </row>
    <row r="4217" spans="21:23" ht="16" x14ac:dyDescent="0.2">
      <c r="U4217" s="12"/>
      <c r="V4217" s="13"/>
      <c r="W4217" s="16"/>
    </row>
    <row r="4218" spans="21:23" ht="16" x14ac:dyDescent="0.2">
      <c r="U4218" s="12"/>
      <c r="V4218" s="13"/>
      <c r="W4218" s="16"/>
    </row>
    <row r="4219" spans="21:23" ht="16" x14ac:dyDescent="0.2">
      <c r="U4219" s="12"/>
      <c r="V4219" s="13"/>
      <c r="W4219" s="16"/>
    </row>
    <row r="4220" spans="21:23" ht="16" x14ac:dyDescent="0.2">
      <c r="U4220" s="12"/>
      <c r="V4220" s="13"/>
      <c r="W4220" s="16"/>
    </row>
    <row r="4221" spans="21:23" ht="16" x14ac:dyDescent="0.2">
      <c r="U4221" s="12"/>
      <c r="V4221" s="13"/>
      <c r="W4221" s="16"/>
    </row>
    <row r="4222" spans="21:23" ht="16" x14ac:dyDescent="0.2">
      <c r="U4222" s="12"/>
      <c r="V4222" s="13"/>
      <c r="W4222" s="16"/>
    </row>
    <row r="4223" spans="21:23" ht="16" x14ac:dyDescent="0.2">
      <c r="U4223" s="12"/>
      <c r="V4223" s="13"/>
      <c r="W4223" s="16"/>
    </row>
    <row r="4224" spans="21:23" ht="16" x14ac:dyDescent="0.2">
      <c r="U4224" s="12"/>
      <c r="V4224" s="13"/>
      <c r="W4224" s="16"/>
    </row>
    <row r="4225" spans="21:23" ht="16" x14ac:dyDescent="0.2">
      <c r="U4225" s="12"/>
      <c r="V4225" s="13"/>
      <c r="W4225" s="16"/>
    </row>
    <row r="4226" spans="21:23" ht="16" x14ac:dyDescent="0.2">
      <c r="U4226" s="12"/>
      <c r="V4226" s="13"/>
      <c r="W4226" s="16"/>
    </row>
    <row r="4227" spans="21:23" ht="16" x14ac:dyDescent="0.2">
      <c r="U4227" s="12"/>
      <c r="V4227" s="13"/>
      <c r="W4227" s="16"/>
    </row>
    <row r="4228" spans="21:23" ht="16" x14ac:dyDescent="0.2">
      <c r="U4228" s="12"/>
      <c r="V4228" s="13"/>
      <c r="W4228" s="16"/>
    </row>
    <row r="4229" spans="21:23" ht="16" x14ac:dyDescent="0.2">
      <c r="U4229" s="12"/>
      <c r="V4229" s="13"/>
      <c r="W4229" s="16"/>
    </row>
    <row r="4230" spans="21:23" ht="16" x14ac:dyDescent="0.2">
      <c r="U4230" s="12"/>
      <c r="V4230" s="13"/>
      <c r="W4230" s="16"/>
    </row>
    <row r="4231" spans="21:23" ht="16" x14ac:dyDescent="0.2">
      <c r="U4231" s="12"/>
      <c r="V4231" s="13"/>
      <c r="W4231" s="16"/>
    </row>
    <row r="4232" spans="21:23" ht="16" x14ac:dyDescent="0.2">
      <c r="U4232" s="12"/>
      <c r="V4232" s="13"/>
      <c r="W4232" s="16"/>
    </row>
    <row r="4233" spans="21:23" ht="16" x14ac:dyDescent="0.2">
      <c r="U4233" s="12"/>
      <c r="V4233" s="13"/>
      <c r="W4233" s="16"/>
    </row>
    <row r="4234" spans="21:23" ht="16" x14ac:dyDescent="0.2">
      <c r="U4234" s="12"/>
      <c r="V4234" s="13"/>
      <c r="W4234" s="16"/>
    </row>
    <row r="4235" spans="21:23" ht="16" x14ac:dyDescent="0.2">
      <c r="U4235" s="12"/>
      <c r="V4235" s="13"/>
      <c r="W4235" s="16"/>
    </row>
    <row r="4236" spans="21:23" ht="16" x14ac:dyDescent="0.2">
      <c r="U4236" s="12"/>
      <c r="V4236" s="13"/>
      <c r="W4236" s="16"/>
    </row>
    <row r="4237" spans="21:23" ht="16" x14ac:dyDescent="0.2">
      <c r="U4237" s="12"/>
      <c r="V4237" s="13"/>
      <c r="W4237" s="16"/>
    </row>
    <row r="4238" spans="21:23" ht="16" x14ac:dyDescent="0.2">
      <c r="U4238" s="12"/>
      <c r="V4238" s="13"/>
      <c r="W4238" s="16"/>
    </row>
    <row r="4239" spans="21:23" ht="16" x14ac:dyDescent="0.2">
      <c r="U4239" s="12"/>
      <c r="V4239" s="13"/>
      <c r="W4239" s="16"/>
    </row>
    <row r="4240" spans="21:23" ht="16" x14ac:dyDescent="0.2">
      <c r="U4240" s="12"/>
      <c r="V4240" s="13"/>
      <c r="W4240" s="16"/>
    </row>
    <row r="4241" spans="21:23" ht="16" x14ac:dyDescent="0.2">
      <c r="U4241" s="12"/>
      <c r="V4241" s="13"/>
      <c r="W4241" s="16"/>
    </row>
    <row r="4242" spans="21:23" ht="16" x14ac:dyDescent="0.2">
      <c r="U4242" s="12"/>
      <c r="V4242" s="13"/>
      <c r="W4242" s="16"/>
    </row>
    <row r="4243" spans="21:23" ht="16" x14ac:dyDescent="0.2">
      <c r="U4243" s="12"/>
      <c r="V4243" s="13"/>
      <c r="W4243" s="16"/>
    </row>
    <row r="4244" spans="21:23" ht="16" x14ac:dyDescent="0.2">
      <c r="U4244" s="12"/>
      <c r="V4244" s="13"/>
      <c r="W4244" s="16"/>
    </row>
    <row r="4245" spans="21:23" ht="16" x14ac:dyDescent="0.2">
      <c r="U4245" s="12"/>
      <c r="V4245" s="13"/>
      <c r="W4245" s="16"/>
    </row>
    <row r="4246" spans="21:23" ht="16" x14ac:dyDescent="0.2">
      <c r="U4246" s="12"/>
      <c r="V4246" s="13"/>
      <c r="W4246" s="16"/>
    </row>
    <row r="4247" spans="21:23" ht="16" x14ac:dyDescent="0.2">
      <c r="U4247" s="12"/>
      <c r="V4247" s="13"/>
      <c r="W4247" s="16"/>
    </row>
    <row r="4248" spans="21:23" ht="16" x14ac:dyDescent="0.2">
      <c r="U4248" s="12"/>
      <c r="V4248" s="13"/>
      <c r="W4248" s="16"/>
    </row>
    <row r="4249" spans="21:23" ht="16" x14ac:dyDescent="0.2">
      <c r="U4249" s="12"/>
      <c r="V4249" s="13"/>
      <c r="W4249" s="16"/>
    </row>
    <row r="4250" spans="21:23" ht="16" x14ac:dyDescent="0.2">
      <c r="U4250" s="12"/>
      <c r="V4250" s="13"/>
      <c r="W4250" s="16"/>
    </row>
    <row r="4251" spans="21:23" ht="16" x14ac:dyDescent="0.2">
      <c r="U4251" s="12"/>
      <c r="V4251" s="13"/>
      <c r="W4251" s="16"/>
    </row>
    <row r="4252" spans="21:23" ht="16" x14ac:dyDescent="0.2">
      <c r="U4252" s="12"/>
      <c r="V4252" s="13"/>
      <c r="W4252" s="16"/>
    </row>
    <row r="4253" spans="21:23" ht="16" x14ac:dyDescent="0.2">
      <c r="U4253" s="12"/>
      <c r="V4253" s="13"/>
      <c r="W4253" s="16"/>
    </row>
    <row r="4254" spans="21:23" ht="16" x14ac:dyDescent="0.2">
      <c r="U4254" s="12"/>
      <c r="V4254" s="13"/>
      <c r="W4254" s="16"/>
    </row>
    <row r="4255" spans="21:23" ht="16" x14ac:dyDescent="0.2">
      <c r="U4255" s="12"/>
      <c r="V4255" s="13"/>
      <c r="W4255" s="16"/>
    </row>
    <row r="4256" spans="21:23" ht="16" x14ac:dyDescent="0.2">
      <c r="U4256" s="12"/>
      <c r="V4256" s="13"/>
      <c r="W4256" s="16"/>
    </row>
    <row r="4257" spans="21:23" ht="16" x14ac:dyDescent="0.2">
      <c r="U4257" s="12"/>
      <c r="V4257" s="13"/>
      <c r="W4257" s="16"/>
    </row>
    <row r="4258" spans="21:23" ht="16" x14ac:dyDescent="0.2">
      <c r="U4258" s="12"/>
      <c r="V4258" s="13"/>
      <c r="W4258" s="16"/>
    </row>
    <row r="4259" spans="21:23" ht="16" x14ac:dyDescent="0.2">
      <c r="U4259" s="12"/>
      <c r="V4259" s="13"/>
      <c r="W4259" s="16"/>
    </row>
    <row r="4260" spans="21:23" ht="16" x14ac:dyDescent="0.2">
      <c r="U4260" s="12"/>
      <c r="V4260" s="13"/>
      <c r="W4260" s="16"/>
    </row>
    <row r="4261" spans="21:23" ht="16" x14ac:dyDescent="0.2">
      <c r="U4261" s="12"/>
      <c r="V4261" s="13"/>
      <c r="W4261" s="16"/>
    </row>
    <row r="4262" spans="21:23" ht="16" x14ac:dyDescent="0.2">
      <c r="U4262" s="12"/>
      <c r="V4262" s="13"/>
      <c r="W4262" s="16"/>
    </row>
    <row r="4263" spans="21:23" ht="16" x14ac:dyDescent="0.2">
      <c r="U4263" s="12"/>
      <c r="V4263" s="13"/>
      <c r="W4263" s="16"/>
    </row>
    <row r="4264" spans="21:23" ht="16" x14ac:dyDescent="0.2">
      <c r="U4264" s="12"/>
      <c r="V4264" s="13"/>
      <c r="W4264" s="16"/>
    </row>
    <row r="4265" spans="21:23" ht="16" x14ac:dyDescent="0.2">
      <c r="U4265" s="12"/>
      <c r="V4265" s="13"/>
      <c r="W4265" s="16"/>
    </row>
    <row r="4266" spans="21:23" ht="16" x14ac:dyDescent="0.2">
      <c r="U4266" s="12"/>
      <c r="V4266" s="13"/>
      <c r="W4266" s="16"/>
    </row>
    <row r="4267" spans="21:23" ht="16" x14ac:dyDescent="0.2">
      <c r="U4267" s="12"/>
      <c r="V4267" s="13"/>
      <c r="W4267" s="16"/>
    </row>
    <row r="4268" spans="21:23" ht="16" x14ac:dyDescent="0.2">
      <c r="U4268" s="12"/>
      <c r="V4268" s="13"/>
      <c r="W4268" s="16"/>
    </row>
    <row r="4269" spans="21:23" ht="16" x14ac:dyDescent="0.2">
      <c r="U4269" s="12"/>
      <c r="V4269" s="13"/>
      <c r="W4269" s="16"/>
    </row>
    <row r="4270" spans="21:23" ht="16" x14ac:dyDescent="0.2">
      <c r="U4270" s="12"/>
      <c r="V4270" s="13"/>
      <c r="W4270" s="16"/>
    </row>
    <row r="4271" spans="21:23" ht="16" x14ac:dyDescent="0.2">
      <c r="U4271" s="12"/>
      <c r="V4271" s="13"/>
      <c r="W4271" s="16"/>
    </row>
    <row r="4272" spans="21:23" ht="16" x14ac:dyDescent="0.2">
      <c r="U4272" s="12"/>
      <c r="V4272" s="13"/>
      <c r="W4272" s="16"/>
    </row>
    <row r="4273" spans="21:23" ht="16" x14ac:dyDescent="0.2">
      <c r="U4273" s="12"/>
      <c r="V4273" s="13"/>
      <c r="W4273" s="16"/>
    </row>
    <row r="4274" spans="21:23" ht="16" x14ac:dyDescent="0.2">
      <c r="U4274" s="12"/>
      <c r="V4274" s="13"/>
      <c r="W4274" s="16"/>
    </row>
    <row r="4275" spans="21:23" ht="16" x14ac:dyDescent="0.2">
      <c r="U4275" s="12"/>
      <c r="V4275" s="13"/>
      <c r="W4275" s="16"/>
    </row>
    <row r="4276" spans="21:23" ht="16" x14ac:dyDescent="0.2">
      <c r="U4276" s="12"/>
      <c r="V4276" s="13"/>
      <c r="W4276" s="16"/>
    </row>
    <row r="4277" spans="21:23" ht="16" x14ac:dyDescent="0.2">
      <c r="U4277" s="12"/>
      <c r="V4277" s="13"/>
      <c r="W4277" s="16"/>
    </row>
    <row r="4278" spans="21:23" ht="16" x14ac:dyDescent="0.2">
      <c r="U4278" s="12"/>
      <c r="V4278" s="13"/>
      <c r="W4278" s="16"/>
    </row>
    <row r="4279" spans="21:23" ht="16" x14ac:dyDescent="0.2">
      <c r="U4279" s="12"/>
      <c r="V4279" s="13"/>
      <c r="W4279" s="16"/>
    </row>
    <row r="4280" spans="21:23" ht="16" x14ac:dyDescent="0.2">
      <c r="U4280" s="12"/>
      <c r="V4280" s="13"/>
      <c r="W4280" s="16"/>
    </row>
    <row r="4281" spans="21:23" ht="16" x14ac:dyDescent="0.2">
      <c r="U4281" s="12"/>
      <c r="V4281" s="13"/>
      <c r="W4281" s="16"/>
    </row>
    <row r="4282" spans="21:23" ht="16" x14ac:dyDescent="0.2">
      <c r="U4282" s="12"/>
      <c r="V4282" s="13"/>
      <c r="W4282" s="16"/>
    </row>
    <row r="4283" spans="21:23" ht="16" x14ac:dyDescent="0.2">
      <c r="U4283" s="12"/>
      <c r="V4283" s="13"/>
      <c r="W4283" s="16"/>
    </row>
    <row r="4284" spans="21:23" ht="16" x14ac:dyDescent="0.2">
      <c r="U4284" s="12"/>
      <c r="V4284" s="13"/>
      <c r="W4284" s="16"/>
    </row>
    <row r="4285" spans="21:23" ht="16" x14ac:dyDescent="0.2">
      <c r="U4285" s="12"/>
      <c r="V4285" s="13"/>
      <c r="W4285" s="16"/>
    </row>
    <row r="4286" spans="21:23" ht="16" x14ac:dyDescent="0.2">
      <c r="U4286" s="12"/>
      <c r="V4286" s="13"/>
      <c r="W4286" s="16"/>
    </row>
    <row r="4287" spans="21:23" ht="16" x14ac:dyDescent="0.2">
      <c r="U4287" s="12"/>
      <c r="V4287" s="13"/>
      <c r="W4287" s="16"/>
    </row>
    <row r="4288" spans="21:23" ht="16" x14ac:dyDescent="0.2">
      <c r="U4288" s="12"/>
      <c r="V4288" s="13"/>
      <c r="W4288" s="16"/>
    </row>
    <row r="4289" spans="21:23" ht="16" x14ac:dyDescent="0.2">
      <c r="U4289" s="12"/>
      <c r="V4289" s="13"/>
      <c r="W4289" s="16"/>
    </row>
    <row r="4290" spans="21:23" ht="16" x14ac:dyDescent="0.2">
      <c r="U4290" s="12"/>
      <c r="V4290" s="13"/>
      <c r="W4290" s="16"/>
    </row>
    <row r="4291" spans="21:23" ht="16" x14ac:dyDescent="0.2">
      <c r="U4291" s="12"/>
      <c r="V4291" s="13"/>
      <c r="W4291" s="16"/>
    </row>
    <row r="4292" spans="21:23" ht="16" x14ac:dyDescent="0.2">
      <c r="U4292" s="12"/>
      <c r="V4292" s="13"/>
      <c r="W4292" s="16"/>
    </row>
    <row r="4293" spans="21:23" ht="16" x14ac:dyDescent="0.2">
      <c r="U4293" s="12"/>
      <c r="V4293" s="13"/>
      <c r="W4293" s="16"/>
    </row>
    <row r="4294" spans="21:23" ht="16" x14ac:dyDescent="0.2">
      <c r="U4294" s="12"/>
      <c r="V4294" s="13"/>
      <c r="W4294" s="16"/>
    </row>
    <row r="4295" spans="21:23" ht="16" x14ac:dyDescent="0.2">
      <c r="U4295" s="12"/>
      <c r="V4295" s="13"/>
      <c r="W4295" s="16"/>
    </row>
    <row r="4296" spans="21:23" ht="16" x14ac:dyDescent="0.2">
      <c r="U4296" s="12"/>
      <c r="V4296" s="13"/>
      <c r="W4296" s="16"/>
    </row>
    <row r="4297" spans="21:23" ht="16" x14ac:dyDescent="0.2">
      <c r="U4297" s="12"/>
      <c r="V4297" s="13"/>
      <c r="W4297" s="16"/>
    </row>
    <row r="4298" spans="21:23" ht="16" x14ac:dyDescent="0.2">
      <c r="U4298" s="12"/>
      <c r="V4298" s="13"/>
      <c r="W4298" s="16"/>
    </row>
    <row r="4299" spans="21:23" ht="16" x14ac:dyDescent="0.2">
      <c r="U4299" s="12"/>
      <c r="V4299" s="13"/>
      <c r="W4299" s="16"/>
    </row>
    <row r="4300" spans="21:23" ht="16" x14ac:dyDescent="0.2">
      <c r="U4300" s="12"/>
      <c r="V4300" s="13"/>
      <c r="W4300" s="16"/>
    </row>
    <row r="4301" spans="21:23" ht="16" x14ac:dyDescent="0.2">
      <c r="U4301" s="12"/>
      <c r="V4301" s="13"/>
      <c r="W4301" s="16"/>
    </row>
    <row r="4302" spans="21:23" ht="16" x14ac:dyDescent="0.2">
      <c r="U4302" s="12"/>
      <c r="V4302" s="13"/>
      <c r="W4302" s="16"/>
    </row>
    <row r="4303" spans="21:23" ht="16" x14ac:dyDescent="0.2">
      <c r="U4303" s="12"/>
      <c r="V4303" s="13"/>
      <c r="W4303" s="16"/>
    </row>
    <row r="4304" spans="21:23" ht="16" x14ac:dyDescent="0.2">
      <c r="U4304" s="12"/>
      <c r="V4304" s="13"/>
      <c r="W4304" s="16"/>
    </row>
    <row r="4305" spans="21:23" ht="16" x14ac:dyDescent="0.2">
      <c r="U4305" s="12"/>
      <c r="V4305" s="13"/>
      <c r="W4305" s="16"/>
    </row>
    <row r="4306" spans="21:23" ht="16" x14ac:dyDescent="0.2">
      <c r="U4306" s="12"/>
      <c r="V4306" s="13"/>
      <c r="W4306" s="16"/>
    </row>
    <row r="4307" spans="21:23" ht="16" x14ac:dyDescent="0.2">
      <c r="U4307" s="12"/>
      <c r="V4307" s="13"/>
      <c r="W4307" s="16"/>
    </row>
    <row r="4308" spans="21:23" ht="16" x14ac:dyDescent="0.2">
      <c r="U4308" s="12"/>
      <c r="V4308" s="13"/>
      <c r="W4308" s="16"/>
    </row>
    <row r="4309" spans="21:23" ht="16" x14ac:dyDescent="0.2">
      <c r="U4309" s="12"/>
      <c r="V4309" s="13"/>
      <c r="W4309" s="16"/>
    </row>
    <row r="4310" spans="21:23" ht="16" x14ac:dyDescent="0.2">
      <c r="U4310" s="12"/>
      <c r="V4310" s="13"/>
      <c r="W4310" s="16"/>
    </row>
    <row r="4311" spans="21:23" ht="16" x14ac:dyDescent="0.2">
      <c r="U4311" s="12"/>
      <c r="V4311" s="13"/>
      <c r="W4311" s="16"/>
    </row>
    <row r="4312" spans="21:23" ht="16" x14ac:dyDescent="0.2">
      <c r="U4312" s="12"/>
      <c r="V4312" s="13"/>
      <c r="W4312" s="16"/>
    </row>
    <row r="4313" spans="21:23" ht="16" x14ac:dyDescent="0.2">
      <c r="U4313" s="12"/>
      <c r="V4313" s="13"/>
      <c r="W4313" s="16"/>
    </row>
    <row r="4314" spans="21:23" ht="16" x14ac:dyDescent="0.2">
      <c r="U4314" s="12"/>
      <c r="V4314" s="13"/>
      <c r="W4314" s="16"/>
    </row>
    <row r="4315" spans="21:23" ht="16" x14ac:dyDescent="0.2">
      <c r="U4315" s="12"/>
      <c r="V4315" s="13"/>
      <c r="W4315" s="16"/>
    </row>
    <row r="4316" spans="21:23" ht="16" x14ac:dyDescent="0.2">
      <c r="U4316" s="12"/>
      <c r="V4316" s="13"/>
      <c r="W4316" s="16"/>
    </row>
    <row r="4317" spans="21:23" ht="16" x14ac:dyDescent="0.2">
      <c r="U4317" s="12"/>
      <c r="V4317" s="13"/>
      <c r="W4317" s="16"/>
    </row>
    <row r="4318" spans="21:23" ht="16" x14ac:dyDescent="0.2">
      <c r="U4318" s="12"/>
      <c r="V4318" s="13"/>
      <c r="W4318" s="16"/>
    </row>
    <row r="4319" spans="21:23" ht="16" x14ac:dyDescent="0.2">
      <c r="U4319" s="12"/>
      <c r="V4319" s="13"/>
      <c r="W4319" s="16"/>
    </row>
    <row r="4320" spans="21:23" ht="16" x14ac:dyDescent="0.2">
      <c r="U4320" s="12"/>
      <c r="V4320" s="13"/>
      <c r="W4320" s="16"/>
    </row>
    <row r="4321" spans="21:23" ht="16" x14ac:dyDescent="0.2">
      <c r="U4321" s="12"/>
      <c r="V4321" s="13"/>
      <c r="W4321" s="16"/>
    </row>
    <row r="4322" spans="21:23" ht="16" x14ac:dyDescent="0.2">
      <c r="U4322" s="12"/>
      <c r="V4322" s="13"/>
      <c r="W4322" s="16"/>
    </row>
    <row r="4323" spans="21:23" ht="16" x14ac:dyDescent="0.2">
      <c r="U4323" s="12"/>
      <c r="V4323" s="13"/>
      <c r="W4323" s="16"/>
    </row>
    <row r="4324" spans="21:23" ht="16" x14ac:dyDescent="0.2">
      <c r="U4324" s="12"/>
      <c r="V4324" s="13"/>
      <c r="W4324" s="16"/>
    </row>
    <row r="4325" spans="21:23" ht="16" x14ac:dyDescent="0.2">
      <c r="U4325" s="12"/>
      <c r="V4325" s="13"/>
      <c r="W4325" s="16"/>
    </row>
    <row r="4326" spans="21:23" ht="16" x14ac:dyDescent="0.2">
      <c r="U4326" s="12"/>
      <c r="V4326" s="13"/>
      <c r="W4326" s="16"/>
    </row>
    <row r="4327" spans="21:23" ht="16" x14ac:dyDescent="0.2">
      <c r="U4327" s="12"/>
      <c r="V4327" s="13"/>
      <c r="W4327" s="16"/>
    </row>
    <row r="4328" spans="21:23" ht="16" x14ac:dyDescent="0.2">
      <c r="U4328" s="12"/>
      <c r="V4328" s="13"/>
      <c r="W4328" s="16"/>
    </row>
    <row r="4329" spans="21:23" ht="16" x14ac:dyDescent="0.2">
      <c r="U4329" s="12"/>
      <c r="V4329" s="13"/>
      <c r="W4329" s="16"/>
    </row>
    <row r="4330" spans="21:23" ht="16" x14ac:dyDescent="0.2">
      <c r="U4330" s="12"/>
      <c r="V4330" s="13"/>
      <c r="W4330" s="16"/>
    </row>
    <row r="4331" spans="21:23" ht="16" x14ac:dyDescent="0.2">
      <c r="U4331" s="12"/>
      <c r="V4331" s="13"/>
      <c r="W4331" s="16"/>
    </row>
    <row r="4332" spans="21:23" ht="16" x14ac:dyDescent="0.2">
      <c r="U4332" s="12"/>
      <c r="V4332" s="13"/>
      <c r="W4332" s="16"/>
    </row>
    <row r="4333" spans="21:23" ht="16" x14ac:dyDescent="0.2">
      <c r="U4333" s="12"/>
      <c r="V4333" s="13"/>
      <c r="W4333" s="16"/>
    </row>
    <row r="4334" spans="21:23" ht="16" x14ac:dyDescent="0.2">
      <c r="U4334" s="12"/>
      <c r="V4334" s="13"/>
      <c r="W4334" s="16"/>
    </row>
    <row r="4335" spans="21:23" ht="16" x14ac:dyDescent="0.2">
      <c r="U4335" s="12"/>
      <c r="V4335" s="13"/>
      <c r="W4335" s="16"/>
    </row>
    <row r="4336" spans="21:23" ht="16" x14ac:dyDescent="0.2">
      <c r="U4336" s="12"/>
      <c r="V4336" s="13"/>
      <c r="W4336" s="16"/>
    </row>
    <row r="4337" spans="21:23" ht="16" x14ac:dyDescent="0.2">
      <c r="U4337" s="12"/>
      <c r="V4337" s="13"/>
      <c r="W4337" s="16"/>
    </row>
    <row r="4338" spans="21:23" ht="16" x14ac:dyDescent="0.2">
      <c r="U4338" s="12"/>
      <c r="V4338" s="13"/>
      <c r="W4338" s="16"/>
    </row>
    <row r="4339" spans="21:23" ht="16" x14ac:dyDescent="0.2">
      <c r="U4339" s="12"/>
      <c r="V4339" s="13"/>
      <c r="W4339" s="16"/>
    </row>
    <row r="4340" spans="21:23" ht="16" x14ac:dyDescent="0.2">
      <c r="U4340" s="12"/>
      <c r="V4340" s="13"/>
      <c r="W4340" s="16"/>
    </row>
    <row r="4341" spans="21:23" ht="16" x14ac:dyDescent="0.2">
      <c r="U4341" s="12"/>
      <c r="V4341" s="13"/>
      <c r="W4341" s="16"/>
    </row>
    <row r="4342" spans="21:23" ht="16" x14ac:dyDescent="0.2">
      <c r="U4342" s="12"/>
      <c r="V4342" s="13"/>
      <c r="W4342" s="16"/>
    </row>
    <row r="4343" spans="21:23" ht="16" x14ac:dyDescent="0.2">
      <c r="U4343" s="12"/>
      <c r="V4343" s="13"/>
      <c r="W4343" s="16"/>
    </row>
    <row r="4344" spans="21:23" ht="16" x14ac:dyDescent="0.2">
      <c r="U4344" s="12"/>
      <c r="V4344" s="13"/>
      <c r="W4344" s="16"/>
    </row>
    <row r="4345" spans="21:23" ht="16" x14ac:dyDescent="0.2">
      <c r="U4345" s="12"/>
      <c r="V4345" s="13"/>
      <c r="W4345" s="16"/>
    </row>
    <row r="4346" spans="21:23" ht="16" x14ac:dyDescent="0.2">
      <c r="U4346" s="12"/>
      <c r="V4346" s="13"/>
      <c r="W4346" s="16"/>
    </row>
    <row r="4347" spans="21:23" ht="16" x14ac:dyDescent="0.2">
      <c r="U4347" s="12"/>
      <c r="V4347" s="13"/>
      <c r="W4347" s="16"/>
    </row>
    <row r="4348" spans="21:23" ht="16" x14ac:dyDescent="0.2">
      <c r="U4348" s="12"/>
      <c r="V4348" s="13"/>
      <c r="W4348" s="16"/>
    </row>
    <row r="4349" spans="21:23" ht="16" x14ac:dyDescent="0.2">
      <c r="U4349" s="12"/>
      <c r="V4349" s="13"/>
      <c r="W4349" s="16"/>
    </row>
    <row r="4350" spans="21:23" ht="16" x14ac:dyDescent="0.2">
      <c r="U4350" s="12"/>
      <c r="V4350" s="13"/>
      <c r="W4350" s="16"/>
    </row>
    <row r="4351" spans="21:23" ht="16" x14ac:dyDescent="0.2">
      <c r="U4351" s="12"/>
      <c r="V4351" s="13"/>
      <c r="W4351" s="16"/>
    </row>
    <row r="4352" spans="21:23" ht="16" x14ac:dyDescent="0.2">
      <c r="U4352" s="12"/>
      <c r="V4352" s="13"/>
      <c r="W4352" s="16"/>
    </row>
    <row r="4353" spans="21:23" ht="16" x14ac:dyDescent="0.2">
      <c r="U4353" s="12"/>
      <c r="V4353" s="13"/>
      <c r="W4353" s="16"/>
    </row>
    <row r="4354" spans="21:23" ht="16" x14ac:dyDescent="0.2">
      <c r="U4354" s="12"/>
      <c r="V4354" s="13"/>
      <c r="W4354" s="16"/>
    </row>
    <row r="4355" spans="21:23" ht="16" x14ac:dyDescent="0.2">
      <c r="U4355" s="12"/>
      <c r="V4355" s="13"/>
      <c r="W4355" s="16"/>
    </row>
    <row r="4356" spans="21:23" ht="16" x14ac:dyDescent="0.2">
      <c r="U4356" s="12"/>
      <c r="V4356" s="13"/>
      <c r="W4356" s="16"/>
    </row>
    <row r="4357" spans="21:23" ht="16" x14ac:dyDescent="0.2">
      <c r="U4357" s="12"/>
      <c r="V4357" s="13"/>
      <c r="W4357" s="16"/>
    </row>
    <row r="4358" spans="21:23" ht="16" x14ac:dyDescent="0.2">
      <c r="U4358" s="12"/>
      <c r="V4358" s="13"/>
      <c r="W4358" s="16"/>
    </row>
    <row r="4359" spans="21:23" ht="16" x14ac:dyDescent="0.2">
      <c r="U4359" s="12"/>
      <c r="V4359" s="13"/>
      <c r="W4359" s="16"/>
    </row>
    <row r="4360" spans="21:23" ht="16" x14ac:dyDescent="0.2">
      <c r="U4360" s="12"/>
      <c r="V4360" s="13"/>
      <c r="W4360" s="16"/>
    </row>
    <row r="4361" spans="21:23" ht="16" x14ac:dyDescent="0.2">
      <c r="U4361" s="12"/>
      <c r="V4361" s="13"/>
      <c r="W4361" s="16"/>
    </row>
    <row r="4362" spans="21:23" ht="16" x14ac:dyDescent="0.2">
      <c r="U4362" s="12"/>
      <c r="V4362" s="13"/>
      <c r="W4362" s="16"/>
    </row>
    <row r="4363" spans="21:23" ht="16" x14ac:dyDescent="0.2">
      <c r="U4363" s="12"/>
      <c r="V4363" s="13"/>
      <c r="W4363" s="16"/>
    </row>
    <row r="4364" spans="21:23" ht="16" x14ac:dyDescent="0.2">
      <c r="U4364" s="12"/>
      <c r="V4364" s="13"/>
      <c r="W4364" s="16"/>
    </row>
    <row r="4365" spans="21:23" ht="16" x14ac:dyDescent="0.2">
      <c r="U4365" s="12"/>
      <c r="V4365" s="13"/>
      <c r="W4365" s="16"/>
    </row>
    <row r="4366" spans="21:23" ht="16" x14ac:dyDescent="0.2">
      <c r="U4366" s="12"/>
      <c r="V4366" s="13"/>
      <c r="W4366" s="16"/>
    </row>
    <row r="4367" spans="21:23" ht="16" x14ac:dyDescent="0.2">
      <c r="U4367" s="12"/>
      <c r="V4367" s="13"/>
      <c r="W4367" s="16"/>
    </row>
    <row r="4368" spans="21:23" ht="16" x14ac:dyDescent="0.2">
      <c r="U4368" s="12"/>
      <c r="V4368" s="13"/>
      <c r="W4368" s="16"/>
    </row>
    <row r="4369" spans="21:23" ht="16" x14ac:dyDescent="0.2">
      <c r="U4369" s="12"/>
      <c r="V4369" s="13"/>
      <c r="W4369" s="16"/>
    </row>
    <row r="4370" spans="21:23" ht="16" x14ac:dyDescent="0.2">
      <c r="U4370" s="12"/>
      <c r="V4370" s="13"/>
      <c r="W4370" s="16"/>
    </row>
    <row r="4371" spans="21:23" ht="16" x14ac:dyDescent="0.2">
      <c r="U4371" s="12"/>
      <c r="V4371" s="13"/>
      <c r="W4371" s="16"/>
    </row>
    <row r="4372" spans="21:23" ht="16" x14ac:dyDescent="0.2">
      <c r="U4372" s="12"/>
      <c r="V4372" s="13"/>
      <c r="W4372" s="16"/>
    </row>
    <row r="4373" spans="21:23" ht="16" x14ac:dyDescent="0.2">
      <c r="U4373" s="12"/>
      <c r="V4373" s="13"/>
      <c r="W4373" s="16"/>
    </row>
    <row r="4374" spans="21:23" ht="16" x14ac:dyDescent="0.2">
      <c r="U4374" s="12"/>
      <c r="V4374" s="13"/>
      <c r="W4374" s="16"/>
    </row>
    <row r="4375" spans="21:23" ht="16" x14ac:dyDescent="0.2">
      <c r="U4375" s="12"/>
      <c r="V4375" s="13"/>
      <c r="W4375" s="16"/>
    </row>
    <row r="4376" spans="21:23" ht="16" x14ac:dyDescent="0.2">
      <c r="U4376" s="12"/>
      <c r="V4376" s="13"/>
      <c r="W4376" s="16"/>
    </row>
    <row r="4377" spans="21:23" ht="16" x14ac:dyDescent="0.2">
      <c r="U4377" s="12"/>
      <c r="V4377" s="13"/>
      <c r="W4377" s="16"/>
    </row>
    <row r="4378" spans="21:23" ht="16" x14ac:dyDescent="0.2">
      <c r="U4378" s="12"/>
      <c r="V4378" s="13"/>
      <c r="W4378" s="16"/>
    </row>
    <row r="4379" spans="21:23" ht="16" x14ac:dyDescent="0.2">
      <c r="U4379" s="12"/>
      <c r="V4379" s="13"/>
      <c r="W4379" s="16"/>
    </row>
    <row r="4380" spans="21:23" ht="16" x14ac:dyDescent="0.2">
      <c r="U4380" s="12"/>
      <c r="V4380" s="13"/>
      <c r="W4380" s="16"/>
    </row>
    <row r="4381" spans="21:23" ht="16" x14ac:dyDescent="0.2">
      <c r="U4381" s="12"/>
      <c r="V4381" s="13"/>
      <c r="W4381" s="16"/>
    </row>
    <row r="4382" spans="21:23" ht="16" x14ac:dyDescent="0.2">
      <c r="U4382" s="12"/>
      <c r="V4382" s="13"/>
      <c r="W4382" s="16"/>
    </row>
    <row r="4383" spans="21:23" ht="16" x14ac:dyDescent="0.2">
      <c r="U4383" s="12"/>
      <c r="V4383" s="13"/>
      <c r="W4383" s="16"/>
    </row>
    <row r="4384" spans="21:23" ht="16" x14ac:dyDescent="0.2">
      <c r="U4384" s="12"/>
      <c r="V4384" s="13"/>
      <c r="W4384" s="16"/>
    </row>
    <row r="4385" spans="21:23" ht="16" x14ac:dyDescent="0.2">
      <c r="U4385" s="12"/>
      <c r="V4385" s="13"/>
      <c r="W4385" s="16"/>
    </row>
    <row r="4386" spans="21:23" ht="16" x14ac:dyDescent="0.2">
      <c r="U4386" s="12"/>
      <c r="V4386" s="13"/>
      <c r="W4386" s="16"/>
    </row>
    <row r="4387" spans="21:23" ht="16" x14ac:dyDescent="0.2">
      <c r="U4387" s="12"/>
      <c r="V4387" s="13"/>
      <c r="W4387" s="16"/>
    </row>
    <row r="4388" spans="21:23" ht="16" x14ac:dyDescent="0.2">
      <c r="U4388" s="12"/>
      <c r="V4388" s="13"/>
      <c r="W4388" s="16"/>
    </row>
    <row r="4389" spans="21:23" ht="16" x14ac:dyDescent="0.2">
      <c r="U4389" s="12"/>
      <c r="V4389" s="13"/>
      <c r="W4389" s="16"/>
    </row>
    <row r="4390" spans="21:23" ht="16" x14ac:dyDescent="0.2">
      <c r="U4390" s="12"/>
      <c r="V4390" s="13"/>
      <c r="W4390" s="16"/>
    </row>
    <row r="4391" spans="21:23" ht="16" x14ac:dyDescent="0.2">
      <c r="U4391" s="12"/>
      <c r="V4391" s="13"/>
      <c r="W4391" s="16"/>
    </row>
    <row r="4392" spans="21:23" ht="16" x14ac:dyDescent="0.2">
      <c r="U4392" s="12"/>
      <c r="V4392" s="13"/>
      <c r="W4392" s="16"/>
    </row>
    <row r="4393" spans="21:23" ht="16" x14ac:dyDescent="0.2">
      <c r="U4393" s="12"/>
      <c r="V4393" s="13"/>
      <c r="W4393" s="16"/>
    </row>
    <row r="4394" spans="21:23" ht="16" x14ac:dyDescent="0.2">
      <c r="U4394" s="12"/>
      <c r="V4394" s="13"/>
      <c r="W4394" s="16"/>
    </row>
    <row r="4395" spans="21:23" ht="16" x14ac:dyDescent="0.2">
      <c r="U4395" s="12"/>
      <c r="V4395" s="13"/>
      <c r="W4395" s="16"/>
    </row>
    <row r="4396" spans="21:23" ht="16" x14ac:dyDescent="0.2">
      <c r="U4396" s="12"/>
      <c r="V4396" s="13"/>
      <c r="W4396" s="16"/>
    </row>
    <row r="4397" spans="21:23" ht="16" x14ac:dyDescent="0.2">
      <c r="U4397" s="12"/>
      <c r="V4397" s="13"/>
      <c r="W4397" s="16"/>
    </row>
    <row r="4398" spans="21:23" ht="16" x14ac:dyDescent="0.2">
      <c r="U4398" s="12"/>
      <c r="V4398" s="13"/>
      <c r="W4398" s="16"/>
    </row>
    <row r="4399" spans="21:23" ht="16" x14ac:dyDescent="0.2">
      <c r="U4399" s="12"/>
      <c r="V4399" s="13"/>
      <c r="W4399" s="16"/>
    </row>
    <row r="4400" spans="21:23" ht="16" x14ac:dyDescent="0.2">
      <c r="U4400" s="12"/>
      <c r="V4400" s="13"/>
      <c r="W4400" s="16"/>
    </row>
    <row r="4401" spans="21:23" ht="16" x14ac:dyDescent="0.2">
      <c r="U4401" s="12"/>
      <c r="V4401" s="13"/>
      <c r="W4401" s="16"/>
    </row>
    <row r="4402" spans="21:23" ht="16" x14ac:dyDescent="0.2">
      <c r="U4402" s="12"/>
      <c r="V4402" s="13"/>
      <c r="W4402" s="16"/>
    </row>
    <row r="4403" spans="21:23" ht="16" x14ac:dyDescent="0.2">
      <c r="U4403" s="12"/>
      <c r="V4403" s="13"/>
      <c r="W4403" s="16"/>
    </row>
    <row r="4404" spans="21:23" ht="16" x14ac:dyDescent="0.2">
      <c r="U4404" s="12"/>
      <c r="V4404" s="13"/>
      <c r="W4404" s="16"/>
    </row>
    <row r="4405" spans="21:23" ht="16" x14ac:dyDescent="0.2">
      <c r="U4405" s="12"/>
      <c r="V4405" s="13"/>
      <c r="W4405" s="16"/>
    </row>
    <row r="4406" spans="21:23" ht="16" x14ac:dyDescent="0.2">
      <c r="U4406" s="12"/>
      <c r="V4406" s="13"/>
      <c r="W4406" s="16"/>
    </row>
    <row r="4407" spans="21:23" ht="16" x14ac:dyDescent="0.2">
      <c r="U4407" s="12"/>
      <c r="V4407" s="13"/>
      <c r="W4407" s="16"/>
    </row>
    <row r="4408" spans="21:23" ht="16" x14ac:dyDescent="0.2">
      <c r="U4408" s="12"/>
      <c r="V4408" s="13"/>
      <c r="W4408" s="16"/>
    </row>
    <row r="4409" spans="21:23" ht="16" x14ac:dyDescent="0.2">
      <c r="U4409" s="12"/>
      <c r="V4409" s="13"/>
      <c r="W4409" s="16"/>
    </row>
    <row r="4410" spans="21:23" ht="16" x14ac:dyDescent="0.2">
      <c r="U4410" s="12"/>
      <c r="V4410" s="13"/>
      <c r="W4410" s="16"/>
    </row>
    <row r="4411" spans="21:23" ht="16" x14ac:dyDescent="0.2">
      <c r="U4411" s="12"/>
      <c r="V4411" s="13"/>
      <c r="W4411" s="16"/>
    </row>
    <row r="4412" spans="21:23" ht="16" x14ac:dyDescent="0.2">
      <c r="U4412" s="12"/>
      <c r="V4412" s="13"/>
      <c r="W4412" s="16"/>
    </row>
    <row r="4413" spans="21:23" ht="16" x14ac:dyDescent="0.2">
      <c r="U4413" s="12"/>
      <c r="V4413" s="13"/>
      <c r="W4413" s="16"/>
    </row>
    <row r="4414" spans="21:23" ht="16" x14ac:dyDescent="0.2">
      <c r="U4414" s="12"/>
      <c r="V4414" s="13"/>
      <c r="W4414" s="16"/>
    </row>
    <row r="4415" spans="21:23" ht="16" x14ac:dyDescent="0.2">
      <c r="U4415" s="12"/>
      <c r="V4415" s="13"/>
      <c r="W4415" s="16"/>
    </row>
    <row r="4416" spans="21:23" ht="16" x14ac:dyDescent="0.2">
      <c r="U4416" s="12"/>
      <c r="V4416" s="13"/>
      <c r="W4416" s="16"/>
    </row>
    <row r="4417" spans="21:23" ht="16" x14ac:dyDescent="0.2">
      <c r="U4417" s="12"/>
      <c r="V4417" s="13"/>
      <c r="W4417" s="16"/>
    </row>
    <row r="4418" spans="21:23" ht="16" x14ac:dyDescent="0.2">
      <c r="U4418" s="12"/>
      <c r="V4418" s="13"/>
      <c r="W4418" s="16"/>
    </row>
    <row r="4419" spans="21:23" ht="16" x14ac:dyDescent="0.2">
      <c r="U4419" s="12"/>
      <c r="V4419" s="13"/>
      <c r="W4419" s="16"/>
    </row>
    <row r="4420" spans="21:23" ht="16" x14ac:dyDescent="0.2">
      <c r="U4420" s="12"/>
      <c r="V4420" s="13"/>
      <c r="W4420" s="16"/>
    </row>
    <row r="4421" spans="21:23" ht="16" x14ac:dyDescent="0.2">
      <c r="U4421" s="12"/>
      <c r="V4421" s="13"/>
      <c r="W4421" s="16"/>
    </row>
    <row r="4422" spans="21:23" ht="16" x14ac:dyDescent="0.2">
      <c r="U4422" s="12"/>
      <c r="V4422" s="13"/>
      <c r="W4422" s="16"/>
    </row>
    <row r="4423" spans="21:23" ht="16" x14ac:dyDescent="0.2">
      <c r="U4423" s="12"/>
      <c r="V4423" s="13"/>
      <c r="W4423" s="16"/>
    </row>
    <row r="4424" spans="21:23" ht="16" x14ac:dyDescent="0.2">
      <c r="U4424" s="12"/>
      <c r="V4424" s="13"/>
      <c r="W4424" s="16"/>
    </row>
    <row r="4425" spans="21:23" ht="16" x14ac:dyDescent="0.2">
      <c r="U4425" s="12"/>
      <c r="V4425" s="13"/>
      <c r="W4425" s="16"/>
    </row>
    <row r="4426" spans="21:23" ht="16" x14ac:dyDescent="0.2">
      <c r="U4426" s="12"/>
      <c r="V4426" s="13"/>
      <c r="W4426" s="16"/>
    </row>
    <row r="4427" spans="21:23" ht="16" x14ac:dyDescent="0.2">
      <c r="U4427" s="12"/>
      <c r="V4427" s="13"/>
      <c r="W4427" s="16"/>
    </row>
    <row r="4428" spans="21:23" ht="16" x14ac:dyDescent="0.2">
      <c r="U4428" s="12"/>
      <c r="V4428" s="13"/>
      <c r="W4428" s="16"/>
    </row>
    <row r="4429" spans="21:23" ht="16" x14ac:dyDescent="0.2">
      <c r="U4429" s="12"/>
      <c r="V4429" s="13"/>
      <c r="W4429" s="16"/>
    </row>
    <row r="4430" spans="21:23" ht="16" x14ac:dyDescent="0.2">
      <c r="U4430" s="12"/>
      <c r="V4430" s="13"/>
      <c r="W4430" s="16"/>
    </row>
    <row r="4431" spans="21:23" ht="16" x14ac:dyDescent="0.2">
      <c r="U4431" s="12"/>
      <c r="V4431" s="13"/>
      <c r="W4431" s="16"/>
    </row>
    <row r="4432" spans="21:23" ht="16" x14ac:dyDescent="0.2">
      <c r="U4432" s="12"/>
      <c r="V4432" s="13"/>
      <c r="W4432" s="16"/>
    </row>
    <row r="4433" spans="21:23" ht="16" x14ac:dyDescent="0.2">
      <c r="U4433" s="12"/>
      <c r="V4433" s="13"/>
      <c r="W4433" s="16"/>
    </row>
    <row r="4434" spans="21:23" ht="16" x14ac:dyDescent="0.2">
      <c r="U4434" s="12"/>
      <c r="V4434" s="13"/>
      <c r="W4434" s="16"/>
    </row>
    <row r="4435" spans="21:23" ht="16" x14ac:dyDescent="0.2">
      <c r="U4435" s="12"/>
      <c r="V4435" s="13"/>
      <c r="W4435" s="16"/>
    </row>
    <row r="4436" spans="21:23" ht="16" x14ac:dyDescent="0.2">
      <c r="U4436" s="12"/>
      <c r="V4436" s="13"/>
      <c r="W4436" s="16"/>
    </row>
    <row r="4437" spans="21:23" ht="16" x14ac:dyDescent="0.2">
      <c r="U4437" s="12"/>
      <c r="V4437" s="13"/>
      <c r="W4437" s="16"/>
    </row>
    <row r="4438" spans="21:23" ht="16" x14ac:dyDescent="0.2">
      <c r="U4438" s="12"/>
      <c r="V4438" s="13"/>
      <c r="W4438" s="16"/>
    </row>
    <row r="4439" spans="21:23" ht="16" x14ac:dyDescent="0.2">
      <c r="U4439" s="12"/>
      <c r="V4439" s="13"/>
      <c r="W4439" s="16"/>
    </row>
    <row r="4440" spans="21:23" ht="16" x14ac:dyDescent="0.2">
      <c r="U4440" s="12"/>
      <c r="V4440" s="13"/>
      <c r="W4440" s="16"/>
    </row>
    <row r="4441" spans="21:23" ht="16" x14ac:dyDescent="0.2">
      <c r="U4441" s="12"/>
      <c r="V4441" s="13"/>
      <c r="W4441" s="16"/>
    </row>
    <row r="4442" spans="21:23" ht="16" x14ac:dyDescent="0.2">
      <c r="U4442" s="12"/>
      <c r="V4442" s="13"/>
      <c r="W4442" s="16"/>
    </row>
    <row r="4443" spans="21:23" ht="16" x14ac:dyDescent="0.2">
      <c r="U4443" s="12"/>
      <c r="V4443" s="13"/>
      <c r="W4443" s="16"/>
    </row>
    <row r="4444" spans="21:23" ht="16" x14ac:dyDescent="0.2">
      <c r="U4444" s="12"/>
      <c r="V4444" s="13"/>
      <c r="W4444" s="16"/>
    </row>
    <row r="4445" spans="21:23" ht="16" x14ac:dyDescent="0.2">
      <c r="U4445" s="12"/>
      <c r="V4445" s="13"/>
      <c r="W4445" s="16"/>
    </row>
    <row r="4446" spans="21:23" ht="16" x14ac:dyDescent="0.2">
      <c r="U4446" s="12"/>
      <c r="V4446" s="13"/>
      <c r="W4446" s="16"/>
    </row>
    <row r="4447" spans="21:23" ht="16" x14ac:dyDescent="0.2">
      <c r="U4447" s="12"/>
      <c r="V4447" s="13"/>
      <c r="W4447" s="16"/>
    </row>
    <row r="4448" spans="21:23" ht="16" x14ac:dyDescent="0.2">
      <c r="U4448" s="12"/>
      <c r="V4448" s="13"/>
      <c r="W4448" s="16"/>
    </row>
    <row r="4449" spans="21:23" ht="16" x14ac:dyDescent="0.2">
      <c r="U4449" s="12"/>
      <c r="V4449" s="13"/>
      <c r="W4449" s="16"/>
    </row>
    <row r="4450" spans="21:23" ht="16" x14ac:dyDescent="0.2">
      <c r="U4450" s="12"/>
      <c r="V4450" s="13"/>
      <c r="W4450" s="16"/>
    </row>
    <row r="4451" spans="21:23" ht="16" x14ac:dyDescent="0.2">
      <c r="U4451" s="12"/>
      <c r="V4451" s="13"/>
      <c r="W4451" s="16"/>
    </row>
    <row r="4452" spans="21:23" ht="16" x14ac:dyDescent="0.2">
      <c r="U4452" s="12"/>
      <c r="V4452" s="13"/>
      <c r="W4452" s="16"/>
    </row>
    <row r="4453" spans="21:23" ht="16" x14ac:dyDescent="0.2">
      <c r="U4453" s="12"/>
      <c r="V4453" s="13"/>
      <c r="W4453" s="16"/>
    </row>
    <row r="4454" spans="21:23" ht="16" x14ac:dyDescent="0.2">
      <c r="U4454" s="12"/>
      <c r="V4454" s="13"/>
      <c r="W4454" s="16"/>
    </row>
    <row r="4455" spans="21:23" ht="16" x14ac:dyDescent="0.2">
      <c r="U4455" s="12"/>
      <c r="V4455" s="13"/>
      <c r="W4455" s="16"/>
    </row>
    <row r="4456" spans="21:23" ht="16" x14ac:dyDescent="0.2">
      <c r="U4456" s="12"/>
      <c r="V4456" s="13"/>
      <c r="W4456" s="16"/>
    </row>
    <row r="4457" spans="21:23" ht="16" x14ac:dyDescent="0.2">
      <c r="U4457" s="12"/>
      <c r="V4457" s="13"/>
      <c r="W4457" s="16"/>
    </row>
    <row r="4458" spans="21:23" ht="16" x14ac:dyDescent="0.2">
      <c r="U4458" s="12"/>
      <c r="V4458" s="13"/>
      <c r="W4458" s="16"/>
    </row>
    <row r="4459" spans="21:23" ht="16" x14ac:dyDescent="0.2">
      <c r="U4459" s="12"/>
      <c r="V4459" s="13"/>
      <c r="W4459" s="16"/>
    </row>
    <row r="4460" spans="21:23" ht="16" x14ac:dyDescent="0.2">
      <c r="U4460" s="12"/>
      <c r="V4460" s="13"/>
      <c r="W4460" s="16"/>
    </row>
    <row r="4461" spans="21:23" ht="16" x14ac:dyDescent="0.2">
      <c r="U4461" s="12"/>
      <c r="V4461" s="13"/>
      <c r="W4461" s="16"/>
    </row>
    <row r="4462" spans="21:23" ht="16" x14ac:dyDescent="0.2">
      <c r="U4462" s="12"/>
      <c r="V4462" s="13"/>
      <c r="W4462" s="16"/>
    </row>
    <row r="4463" spans="21:23" ht="16" x14ac:dyDescent="0.2">
      <c r="U4463" s="12"/>
      <c r="V4463" s="13"/>
      <c r="W4463" s="16"/>
    </row>
    <row r="4464" spans="21:23" ht="16" x14ac:dyDescent="0.2">
      <c r="U4464" s="12"/>
      <c r="V4464" s="13"/>
      <c r="W4464" s="16"/>
    </row>
    <row r="4465" spans="21:23" ht="16" x14ac:dyDescent="0.2">
      <c r="U4465" s="12"/>
      <c r="V4465" s="13"/>
      <c r="W4465" s="16"/>
    </row>
    <row r="4466" spans="21:23" ht="16" x14ac:dyDescent="0.2">
      <c r="U4466" s="12"/>
      <c r="V4466" s="13"/>
      <c r="W4466" s="16"/>
    </row>
    <row r="4467" spans="21:23" ht="16" x14ac:dyDescent="0.2">
      <c r="U4467" s="12"/>
      <c r="V4467" s="13"/>
      <c r="W4467" s="16"/>
    </row>
    <row r="4468" spans="21:23" ht="16" x14ac:dyDescent="0.2">
      <c r="U4468" s="12"/>
      <c r="V4468" s="13"/>
      <c r="W4468" s="16"/>
    </row>
    <row r="4469" spans="21:23" ht="16" x14ac:dyDescent="0.2">
      <c r="U4469" s="12"/>
      <c r="V4469" s="13"/>
      <c r="W4469" s="16"/>
    </row>
    <row r="4470" spans="21:23" ht="16" x14ac:dyDescent="0.2">
      <c r="U4470" s="12"/>
      <c r="V4470" s="13"/>
      <c r="W4470" s="16"/>
    </row>
    <row r="4471" spans="21:23" ht="16" x14ac:dyDescent="0.2">
      <c r="U4471" s="12"/>
      <c r="V4471" s="13"/>
      <c r="W4471" s="16"/>
    </row>
    <row r="4472" spans="21:23" ht="16" x14ac:dyDescent="0.2">
      <c r="U4472" s="12"/>
      <c r="V4472" s="13"/>
      <c r="W4472" s="16"/>
    </row>
    <row r="4473" spans="21:23" ht="16" x14ac:dyDescent="0.2">
      <c r="U4473" s="12"/>
      <c r="V4473" s="13"/>
      <c r="W4473" s="16"/>
    </row>
    <row r="4474" spans="21:23" ht="16" x14ac:dyDescent="0.2">
      <c r="U4474" s="12"/>
      <c r="V4474" s="13"/>
      <c r="W4474" s="16"/>
    </row>
    <row r="4475" spans="21:23" ht="16" x14ac:dyDescent="0.2">
      <c r="U4475" s="12"/>
      <c r="V4475" s="13"/>
      <c r="W4475" s="16"/>
    </row>
    <row r="4476" spans="21:23" ht="16" x14ac:dyDescent="0.2">
      <c r="U4476" s="12"/>
      <c r="V4476" s="13"/>
      <c r="W4476" s="16"/>
    </row>
    <row r="4477" spans="21:23" ht="16" x14ac:dyDescent="0.2">
      <c r="U4477" s="12"/>
      <c r="V4477" s="13"/>
      <c r="W4477" s="16"/>
    </row>
    <row r="4478" spans="21:23" ht="16" x14ac:dyDescent="0.2">
      <c r="U4478" s="12"/>
      <c r="V4478" s="13"/>
      <c r="W4478" s="16"/>
    </row>
    <row r="4479" spans="21:23" ht="16" x14ac:dyDescent="0.2">
      <c r="U4479" s="12"/>
      <c r="V4479" s="13"/>
      <c r="W4479" s="16"/>
    </row>
    <row r="4480" spans="21:23" ht="16" x14ac:dyDescent="0.2">
      <c r="U4480" s="12"/>
      <c r="V4480" s="13"/>
      <c r="W4480" s="16"/>
    </row>
    <row r="4481" spans="21:23" ht="16" x14ac:dyDescent="0.2">
      <c r="U4481" s="12"/>
      <c r="V4481" s="13"/>
      <c r="W4481" s="16"/>
    </row>
    <row r="4482" spans="21:23" ht="16" x14ac:dyDescent="0.2">
      <c r="U4482" s="12"/>
      <c r="V4482" s="13"/>
      <c r="W4482" s="16"/>
    </row>
    <row r="4483" spans="21:23" ht="16" x14ac:dyDescent="0.2">
      <c r="U4483" s="12"/>
      <c r="V4483" s="13"/>
      <c r="W4483" s="16"/>
    </row>
    <row r="4484" spans="21:23" ht="16" x14ac:dyDescent="0.2">
      <c r="U4484" s="12"/>
      <c r="V4484" s="13"/>
      <c r="W4484" s="16"/>
    </row>
    <row r="4485" spans="21:23" ht="16" x14ac:dyDescent="0.2">
      <c r="U4485" s="12"/>
      <c r="V4485" s="13"/>
      <c r="W4485" s="16"/>
    </row>
    <row r="4486" spans="21:23" ht="16" x14ac:dyDescent="0.2">
      <c r="U4486" s="12"/>
      <c r="V4486" s="13"/>
      <c r="W4486" s="16"/>
    </row>
    <row r="4487" spans="21:23" ht="16" x14ac:dyDescent="0.2">
      <c r="U4487" s="12"/>
      <c r="V4487" s="13"/>
      <c r="W4487" s="16"/>
    </row>
    <row r="4488" spans="21:23" ht="16" x14ac:dyDescent="0.2">
      <c r="U4488" s="12"/>
      <c r="V4488" s="13"/>
      <c r="W4488" s="16"/>
    </row>
    <row r="4489" spans="21:23" ht="16" x14ac:dyDescent="0.2">
      <c r="U4489" s="12"/>
      <c r="V4489" s="13"/>
      <c r="W4489" s="16"/>
    </row>
    <row r="4490" spans="21:23" ht="16" x14ac:dyDescent="0.2">
      <c r="U4490" s="12"/>
      <c r="V4490" s="13"/>
      <c r="W4490" s="16"/>
    </row>
    <row r="4491" spans="21:23" ht="16" x14ac:dyDescent="0.2">
      <c r="U4491" s="12"/>
      <c r="V4491" s="13"/>
      <c r="W4491" s="16"/>
    </row>
    <row r="4492" spans="21:23" ht="16" x14ac:dyDescent="0.2">
      <c r="U4492" s="12"/>
      <c r="V4492" s="13"/>
      <c r="W4492" s="16"/>
    </row>
    <row r="4493" spans="21:23" ht="16" x14ac:dyDescent="0.2">
      <c r="U4493" s="12"/>
      <c r="V4493" s="13"/>
      <c r="W4493" s="16"/>
    </row>
    <row r="4494" spans="21:23" ht="16" x14ac:dyDescent="0.2">
      <c r="U4494" s="12"/>
      <c r="V4494" s="13"/>
      <c r="W4494" s="16"/>
    </row>
    <row r="4495" spans="21:23" ht="16" x14ac:dyDescent="0.2">
      <c r="U4495" s="12"/>
      <c r="V4495" s="13"/>
      <c r="W4495" s="16"/>
    </row>
    <row r="4496" spans="21:23" ht="16" x14ac:dyDescent="0.2">
      <c r="U4496" s="12"/>
      <c r="V4496" s="13"/>
      <c r="W4496" s="16"/>
    </row>
    <row r="4497" spans="21:23" ht="16" x14ac:dyDescent="0.2">
      <c r="U4497" s="12"/>
      <c r="V4497" s="13"/>
      <c r="W4497" s="16"/>
    </row>
    <row r="4498" spans="21:23" ht="16" x14ac:dyDescent="0.2">
      <c r="U4498" s="12"/>
      <c r="V4498" s="13"/>
      <c r="W4498" s="16"/>
    </row>
    <row r="4499" spans="21:23" ht="16" x14ac:dyDescent="0.2">
      <c r="U4499" s="12"/>
      <c r="V4499" s="13"/>
      <c r="W4499" s="16"/>
    </row>
    <row r="4500" spans="21:23" ht="16" x14ac:dyDescent="0.2">
      <c r="U4500" s="12"/>
      <c r="V4500" s="13"/>
      <c r="W4500" s="16"/>
    </row>
    <row r="4501" spans="21:23" ht="16" x14ac:dyDescent="0.2">
      <c r="U4501" s="12"/>
      <c r="V4501" s="13"/>
      <c r="W4501" s="16"/>
    </row>
    <row r="4502" spans="21:23" ht="16" x14ac:dyDescent="0.2">
      <c r="U4502" s="12"/>
      <c r="V4502" s="13"/>
      <c r="W4502" s="16"/>
    </row>
    <row r="4503" spans="21:23" ht="16" x14ac:dyDescent="0.2">
      <c r="U4503" s="12"/>
      <c r="V4503" s="13"/>
      <c r="W4503" s="16"/>
    </row>
    <row r="4504" spans="21:23" ht="16" x14ac:dyDescent="0.2">
      <c r="U4504" s="12"/>
      <c r="V4504" s="13"/>
      <c r="W4504" s="16"/>
    </row>
    <row r="4505" spans="21:23" ht="16" x14ac:dyDescent="0.2">
      <c r="U4505" s="12"/>
      <c r="V4505" s="13"/>
      <c r="W4505" s="16"/>
    </row>
    <row r="4506" spans="21:23" ht="16" x14ac:dyDescent="0.2">
      <c r="U4506" s="12"/>
      <c r="V4506" s="13"/>
      <c r="W4506" s="16"/>
    </row>
    <row r="4507" spans="21:23" ht="16" x14ac:dyDescent="0.2">
      <c r="U4507" s="12"/>
      <c r="V4507" s="13"/>
      <c r="W4507" s="16"/>
    </row>
    <row r="4508" spans="21:23" ht="16" x14ac:dyDescent="0.2">
      <c r="U4508" s="12"/>
      <c r="V4508" s="13"/>
      <c r="W4508" s="16"/>
    </row>
    <row r="4509" spans="21:23" ht="16" x14ac:dyDescent="0.2">
      <c r="U4509" s="12"/>
      <c r="V4509" s="13"/>
      <c r="W4509" s="16"/>
    </row>
    <row r="4510" spans="21:23" ht="16" x14ac:dyDescent="0.2">
      <c r="U4510" s="12"/>
      <c r="V4510" s="13"/>
      <c r="W4510" s="16"/>
    </row>
    <row r="4511" spans="21:23" ht="16" x14ac:dyDescent="0.2">
      <c r="U4511" s="12"/>
      <c r="V4511" s="13"/>
      <c r="W4511" s="16"/>
    </row>
    <row r="4512" spans="21:23" ht="16" x14ac:dyDescent="0.2">
      <c r="U4512" s="12"/>
      <c r="V4512" s="13"/>
      <c r="W4512" s="16"/>
    </row>
    <row r="4513" spans="21:23" ht="16" x14ac:dyDescent="0.2">
      <c r="U4513" s="12"/>
      <c r="V4513" s="13"/>
      <c r="W4513" s="16"/>
    </row>
    <row r="4514" spans="21:23" ht="16" x14ac:dyDescent="0.2">
      <c r="U4514" s="12"/>
      <c r="V4514" s="13"/>
      <c r="W4514" s="16"/>
    </row>
    <row r="4515" spans="21:23" ht="16" x14ac:dyDescent="0.2">
      <c r="U4515" s="12"/>
      <c r="V4515" s="13"/>
      <c r="W4515" s="16"/>
    </row>
    <row r="4516" spans="21:23" ht="16" x14ac:dyDescent="0.2">
      <c r="U4516" s="12"/>
      <c r="V4516" s="13"/>
      <c r="W4516" s="16"/>
    </row>
    <row r="4517" spans="21:23" ht="16" x14ac:dyDescent="0.2">
      <c r="U4517" s="12"/>
      <c r="V4517" s="13"/>
      <c r="W4517" s="16"/>
    </row>
    <row r="4518" spans="21:23" ht="16" x14ac:dyDescent="0.2">
      <c r="U4518" s="12"/>
      <c r="V4518" s="13"/>
      <c r="W4518" s="16"/>
    </row>
    <row r="4519" spans="21:23" ht="16" x14ac:dyDescent="0.2">
      <c r="U4519" s="12"/>
      <c r="V4519" s="13"/>
      <c r="W4519" s="16"/>
    </row>
    <row r="4520" spans="21:23" ht="16" x14ac:dyDescent="0.2">
      <c r="U4520" s="12"/>
      <c r="V4520" s="13"/>
      <c r="W4520" s="16"/>
    </row>
    <row r="4521" spans="21:23" ht="16" x14ac:dyDescent="0.2">
      <c r="U4521" s="12"/>
      <c r="V4521" s="13"/>
      <c r="W4521" s="16"/>
    </row>
    <row r="4522" spans="21:23" ht="16" x14ac:dyDescent="0.2">
      <c r="U4522" s="12"/>
      <c r="V4522" s="13"/>
      <c r="W4522" s="16"/>
    </row>
    <row r="4523" spans="21:23" ht="16" x14ac:dyDescent="0.2">
      <c r="U4523" s="12"/>
      <c r="V4523" s="13"/>
      <c r="W4523" s="16"/>
    </row>
    <row r="4524" spans="21:23" ht="16" x14ac:dyDescent="0.2">
      <c r="U4524" s="12"/>
      <c r="V4524" s="13"/>
      <c r="W4524" s="16"/>
    </row>
    <row r="4525" spans="21:23" ht="16" x14ac:dyDescent="0.2">
      <c r="U4525" s="12"/>
      <c r="V4525" s="13"/>
      <c r="W4525" s="16"/>
    </row>
    <row r="4526" spans="21:23" ht="16" x14ac:dyDescent="0.2">
      <c r="U4526" s="12"/>
      <c r="V4526" s="13"/>
      <c r="W4526" s="16"/>
    </row>
    <row r="4527" spans="21:23" ht="16" x14ac:dyDescent="0.2">
      <c r="U4527" s="12"/>
      <c r="V4527" s="13"/>
      <c r="W4527" s="16"/>
    </row>
    <row r="4528" spans="21:23" ht="16" x14ac:dyDescent="0.2">
      <c r="U4528" s="12"/>
      <c r="V4528" s="13"/>
      <c r="W4528" s="16"/>
    </row>
    <row r="4529" spans="21:23" ht="16" x14ac:dyDescent="0.2">
      <c r="U4529" s="12"/>
      <c r="V4529" s="13"/>
      <c r="W4529" s="16"/>
    </row>
    <row r="4530" spans="21:23" ht="16" x14ac:dyDescent="0.2">
      <c r="U4530" s="12"/>
      <c r="V4530" s="13"/>
      <c r="W4530" s="16"/>
    </row>
    <row r="4531" spans="21:23" ht="16" x14ac:dyDescent="0.2">
      <c r="U4531" s="12"/>
      <c r="V4531" s="13"/>
      <c r="W4531" s="16"/>
    </row>
    <row r="4532" spans="21:23" ht="16" x14ac:dyDescent="0.2">
      <c r="U4532" s="12"/>
      <c r="V4532" s="13"/>
      <c r="W4532" s="16"/>
    </row>
    <row r="4533" spans="21:23" ht="16" x14ac:dyDescent="0.2">
      <c r="U4533" s="12"/>
      <c r="V4533" s="13"/>
      <c r="W4533" s="16"/>
    </row>
    <row r="4534" spans="21:23" ht="16" x14ac:dyDescent="0.2">
      <c r="U4534" s="12"/>
      <c r="V4534" s="13"/>
      <c r="W4534" s="16"/>
    </row>
    <row r="4535" spans="21:23" ht="16" x14ac:dyDescent="0.2">
      <c r="U4535" s="12"/>
      <c r="V4535" s="13"/>
      <c r="W4535" s="16"/>
    </row>
    <row r="4536" spans="21:23" ht="16" x14ac:dyDescent="0.2">
      <c r="U4536" s="12"/>
      <c r="V4536" s="13"/>
      <c r="W4536" s="16"/>
    </row>
    <row r="4537" spans="21:23" ht="16" x14ac:dyDescent="0.2">
      <c r="U4537" s="12"/>
      <c r="V4537" s="13"/>
      <c r="W4537" s="16"/>
    </row>
    <row r="4538" spans="21:23" ht="16" x14ac:dyDescent="0.2">
      <c r="U4538" s="12"/>
      <c r="V4538" s="13"/>
      <c r="W4538" s="16"/>
    </row>
    <row r="4539" spans="21:23" ht="16" x14ac:dyDescent="0.2">
      <c r="U4539" s="12"/>
      <c r="V4539" s="13"/>
      <c r="W4539" s="16"/>
    </row>
    <row r="4540" spans="21:23" ht="16" x14ac:dyDescent="0.2">
      <c r="U4540" s="12"/>
      <c r="V4540" s="13"/>
      <c r="W4540" s="16"/>
    </row>
    <row r="4541" spans="21:23" ht="16" x14ac:dyDescent="0.2">
      <c r="U4541" s="12"/>
      <c r="V4541" s="13"/>
      <c r="W4541" s="16"/>
    </row>
    <row r="4542" spans="21:23" ht="16" x14ac:dyDescent="0.2">
      <c r="U4542" s="12"/>
      <c r="V4542" s="13"/>
      <c r="W4542" s="16"/>
    </row>
    <row r="4543" spans="21:23" ht="16" x14ac:dyDescent="0.2">
      <c r="U4543" s="12"/>
      <c r="V4543" s="13"/>
      <c r="W4543" s="16"/>
    </row>
    <row r="4544" spans="21:23" ht="16" x14ac:dyDescent="0.2">
      <c r="U4544" s="12"/>
      <c r="V4544" s="13"/>
      <c r="W4544" s="16"/>
    </row>
    <row r="4545" spans="21:23" ht="16" x14ac:dyDescent="0.2">
      <c r="U4545" s="12"/>
      <c r="V4545" s="13"/>
      <c r="W4545" s="16"/>
    </row>
    <row r="4546" spans="21:23" ht="16" x14ac:dyDescent="0.2">
      <c r="U4546" s="12"/>
      <c r="V4546" s="13"/>
      <c r="W4546" s="16"/>
    </row>
    <row r="4547" spans="21:23" ht="16" x14ac:dyDescent="0.2">
      <c r="U4547" s="12"/>
      <c r="V4547" s="13"/>
      <c r="W4547" s="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51"/>
  <sheetViews>
    <sheetView tabSelected="1" zoomScale="118" zoomScaleNormal="58" workbookViewId="0">
      <selection activeCell="A6" sqref="A6"/>
    </sheetView>
  </sheetViews>
  <sheetFormatPr baseColWidth="10" defaultColWidth="8.83203125" defaultRowHeight="15" x14ac:dyDescent="0.2"/>
  <cols>
    <col min="1" max="1" width="20.5" customWidth="1"/>
    <col min="2" max="2" width="16.6640625" bestFit="1" customWidth="1"/>
    <col min="3" max="3" width="23.1640625" bestFit="1" customWidth="1"/>
    <col min="4" max="4" width="9.1640625" bestFit="1" customWidth="1"/>
    <col min="5" max="5" width="5.6640625" bestFit="1" customWidth="1"/>
    <col min="6" max="6" width="12.1640625" bestFit="1" customWidth="1"/>
    <col min="7" max="7" width="20" bestFit="1" customWidth="1"/>
    <col min="8" max="8" width="24.83203125" bestFit="1" customWidth="1"/>
    <col min="9" max="9" width="18" bestFit="1" customWidth="1"/>
    <col min="10" max="10" width="41.5" bestFit="1" customWidth="1"/>
    <col min="11" max="11" width="16.83203125" bestFit="1" customWidth="1"/>
    <col min="12" max="12" width="30.83203125" bestFit="1" customWidth="1"/>
    <col min="13" max="14" width="10" bestFit="1" customWidth="1"/>
    <col min="15" max="15" width="10.6640625" bestFit="1" customWidth="1"/>
    <col min="16" max="438" width="5.33203125" bestFit="1" customWidth="1"/>
    <col min="439" max="439" width="6.6640625" bestFit="1" customWidth="1"/>
    <col min="440" max="440" width="10.6640625" bestFit="1" customWidth="1"/>
    <col min="441" max="442" width="9.5" bestFit="1" customWidth="1"/>
    <col min="443" max="443" width="8.5" bestFit="1" customWidth="1"/>
    <col min="444" max="449" width="9.5" bestFit="1" customWidth="1"/>
    <col min="450" max="451" width="8.5" bestFit="1" customWidth="1"/>
    <col min="452" max="453" width="9.5" bestFit="1" customWidth="1"/>
    <col min="454" max="454" width="8.5" bestFit="1" customWidth="1"/>
    <col min="455" max="455" width="9.5" bestFit="1" customWidth="1"/>
    <col min="456" max="456" width="8.5" bestFit="1" customWidth="1"/>
    <col min="457" max="458" width="9.5" bestFit="1" customWidth="1"/>
    <col min="459" max="459" width="8.5" bestFit="1" customWidth="1"/>
    <col min="460" max="464" width="9.5" bestFit="1" customWidth="1"/>
    <col min="465" max="465" width="8.5" bestFit="1" customWidth="1"/>
    <col min="466" max="475" width="9.5" bestFit="1" customWidth="1"/>
    <col min="476" max="477" width="8.5" bestFit="1" customWidth="1"/>
    <col min="478" max="479" width="9.5" bestFit="1" customWidth="1"/>
    <col min="480" max="480" width="8.5" bestFit="1" customWidth="1"/>
    <col min="481" max="481" width="9.5" bestFit="1" customWidth="1"/>
    <col min="482" max="482" width="8.5" bestFit="1" customWidth="1"/>
    <col min="483" max="483" width="22.5" bestFit="1" customWidth="1"/>
    <col min="484" max="484" width="8.5" bestFit="1" customWidth="1"/>
    <col min="485" max="485" width="11.5" bestFit="1" customWidth="1"/>
    <col min="486" max="486" width="10.6640625" bestFit="1" customWidth="1"/>
  </cols>
  <sheetData>
    <row r="1" spans="1:13" ht="26" x14ac:dyDescent="0.3">
      <c r="F1" s="32" t="s">
        <v>1171</v>
      </c>
    </row>
    <row r="2" spans="1:13" x14ac:dyDescent="0.2">
      <c r="A2" s="20"/>
      <c r="B2" s="20"/>
      <c r="C2" s="20"/>
      <c r="F2" s="2" t="s">
        <v>1178</v>
      </c>
      <c r="G2" s="2" t="s">
        <v>1179</v>
      </c>
    </row>
    <row r="3" spans="1:13" ht="26" x14ac:dyDescent="0.3">
      <c r="A3" s="21" t="s">
        <v>1172</v>
      </c>
      <c r="B3" s="20"/>
      <c r="C3" s="20"/>
      <c r="F3" s="2" t="s">
        <v>1168</v>
      </c>
      <c r="G3" t="s">
        <v>33</v>
      </c>
      <c r="H3" t="s">
        <v>10</v>
      </c>
      <c r="I3" t="s">
        <v>29</v>
      </c>
      <c r="J3" t="s">
        <v>21</v>
      </c>
      <c r="K3" t="s">
        <v>51</v>
      </c>
      <c r="L3" t="s">
        <v>17</v>
      </c>
      <c r="M3" t="s">
        <v>1174</v>
      </c>
    </row>
    <row r="4" spans="1:13" ht="23.5" customHeight="1" thickBot="1" x14ac:dyDescent="0.25">
      <c r="A4" s="20"/>
      <c r="B4" s="20"/>
      <c r="C4" s="20"/>
      <c r="F4" s="3">
        <v>2014</v>
      </c>
      <c r="G4" s="33">
        <v>4</v>
      </c>
      <c r="H4" s="33">
        <v>1</v>
      </c>
      <c r="I4" s="33">
        <v>1</v>
      </c>
      <c r="J4" s="33">
        <v>4</v>
      </c>
      <c r="K4" s="33"/>
      <c r="L4" s="33"/>
      <c r="M4" s="33">
        <v>10</v>
      </c>
    </row>
    <row r="5" spans="1:13" ht="25" thickBot="1" x14ac:dyDescent="0.3">
      <c r="A5" s="25" t="s">
        <v>1180</v>
      </c>
      <c r="B5" s="23">
        <v>45170</v>
      </c>
      <c r="C5" s="22"/>
      <c r="F5" s="3">
        <v>2015</v>
      </c>
      <c r="G5" s="33">
        <v>3</v>
      </c>
      <c r="H5" s="33">
        <v>8</v>
      </c>
      <c r="I5" s="33">
        <v>4</v>
      </c>
      <c r="J5" s="33">
        <v>1</v>
      </c>
      <c r="K5" s="33">
        <v>3</v>
      </c>
      <c r="L5" s="33"/>
      <c r="M5" s="33">
        <v>19</v>
      </c>
    </row>
    <row r="6" spans="1:13" ht="21" x14ac:dyDescent="0.25">
      <c r="A6" s="22"/>
      <c r="B6" s="24"/>
      <c r="C6" s="20"/>
      <c r="F6" s="3">
        <v>2016</v>
      </c>
      <c r="G6" s="33">
        <v>2</v>
      </c>
      <c r="H6" s="33">
        <v>5</v>
      </c>
      <c r="I6" s="33">
        <v>3</v>
      </c>
      <c r="J6" s="33">
        <v>13</v>
      </c>
      <c r="K6" s="33">
        <v>2</v>
      </c>
      <c r="L6" s="33">
        <v>5</v>
      </c>
      <c r="M6" s="33">
        <v>30</v>
      </c>
    </row>
    <row r="7" spans="1:13" x14ac:dyDescent="0.2">
      <c r="A7" s="20"/>
      <c r="B7" s="20"/>
      <c r="C7" s="20"/>
      <c r="F7" s="3">
        <v>2017</v>
      </c>
      <c r="G7" s="33">
        <v>9</v>
      </c>
      <c r="H7" s="33">
        <v>12</v>
      </c>
      <c r="I7" s="33">
        <v>8</v>
      </c>
      <c r="J7" s="33">
        <v>15</v>
      </c>
      <c r="K7" s="33">
        <v>11</v>
      </c>
      <c r="L7" s="33">
        <v>4</v>
      </c>
      <c r="M7" s="33">
        <v>59</v>
      </c>
    </row>
    <row r="8" spans="1:13" x14ac:dyDescent="0.2">
      <c r="A8" s="20"/>
      <c r="B8" s="20"/>
      <c r="C8" s="20"/>
      <c r="F8" s="3">
        <v>2018</v>
      </c>
      <c r="G8" s="33">
        <v>15</v>
      </c>
      <c r="H8" s="33">
        <v>2</v>
      </c>
      <c r="I8" s="33">
        <v>8</v>
      </c>
      <c r="J8" s="33">
        <v>18</v>
      </c>
      <c r="K8" s="33">
        <v>7</v>
      </c>
      <c r="L8" s="33">
        <v>8</v>
      </c>
      <c r="M8" s="33">
        <v>58</v>
      </c>
    </row>
    <row r="9" spans="1:13" x14ac:dyDescent="0.2">
      <c r="A9" s="20"/>
      <c r="B9" s="20"/>
      <c r="C9" s="20"/>
      <c r="F9" s="3">
        <v>2019</v>
      </c>
      <c r="G9" s="33">
        <v>8</v>
      </c>
      <c r="H9" s="33">
        <v>3</v>
      </c>
      <c r="I9" s="33">
        <v>5</v>
      </c>
      <c r="J9" s="33">
        <v>20</v>
      </c>
      <c r="K9" s="33">
        <v>6</v>
      </c>
      <c r="L9" s="33">
        <v>5</v>
      </c>
      <c r="M9" s="33">
        <v>47</v>
      </c>
    </row>
    <row r="10" spans="1:13" x14ac:dyDescent="0.2">
      <c r="A10" s="20"/>
      <c r="B10" s="20"/>
      <c r="C10" s="20"/>
      <c r="F10" s="3">
        <v>2020</v>
      </c>
      <c r="G10" s="33">
        <v>10</v>
      </c>
      <c r="H10" s="33">
        <v>4</v>
      </c>
      <c r="I10" s="33">
        <v>9</v>
      </c>
      <c r="J10" s="33">
        <v>12</v>
      </c>
      <c r="K10" s="33">
        <v>13</v>
      </c>
      <c r="L10" s="33">
        <v>4</v>
      </c>
      <c r="M10" s="33">
        <v>52</v>
      </c>
    </row>
    <row r="11" spans="1:13" x14ac:dyDescent="0.2">
      <c r="A11" s="20"/>
      <c r="B11" s="20"/>
      <c r="C11" s="20"/>
      <c r="F11" s="3">
        <v>2021</v>
      </c>
      <c r="G11" s="33">
        <v>15</v>
      </c>
      <c r="H11" s="33">
        <v>6</v>
      </c>
      <c r="I11" s="33">
        <v>8</v>
      </c>
      <c r="J11" s="33">
        <v>15</v>
      </c>
      <c r="K11" s="33">
        <v>12</v>
      </c>
      <c r="L11" s="33">
        <v>6</v>
      </c>
      <c r="M11" s="33">
        <v>62</v>
      </c>
    </row>
    <row r="12" spans="1:13" x14ac:dyDescent="0.2">
      <c r="A12" s="20"/>
      <c r="B12" s="20"/>
      <c r="C12" s="20"/>
      <c r="F12" s="3">
        <v>2022</v>
      </c>
      <c r="G12" s="33">
        <v>17</v>
      </c>
      <c r="H12" s="33">
        <v>3</v>
      </c>
      <c r="I12" s="33">
        <v>9</v>
      </c>
      <c r="J12" s="33">
        <v>13</v>
      </c>
      <c r="K12" s="33">
        <v>21</v>
      </c>
      <c r="L12" s="33">
        <v>5</v>
      </c>
      <c r="M12" s="33">
        <v>68</v>
      </c>
    </row>
    <row r="13" spans="1:13" x14ac:dyDescent="0.2">
      <c r="A13" s="20"/>
      <c r="B13" s="20"/>
      <c r="C13" s="20"/>
      <c r="F13" s="3">
        <v>2023</v>
      </c>
      <c r="G13" s="33">
        <v>12</v>
      </c>
      <c r="H13" s="33">
        <v>14</v>
      </c>
      <c r="I13" s="33">
        <v>9</v>
      </c>
      <c r="J13" s="33">
        <v>18</v>
      </c>
      <c r="K13" s="33">
        <v>13</v>
      </c>
      <c r="L13" s="33">
        <v>9</v>
      </c>
      <c r="M13" s="33">
        <v>75</v>
      </c>
    </row>
    <row r="14" spans="1:13" x14ac:dyDescent="0.2">
      <c r="A14" s="20"/>
      <c r="B14" s="20"/>
      <c r="C14" s="20"/>
      <c r="F14" s="3" t="s">
        <v>1174</v>
      </c>
      <c r="G14" s="33">
        <v>95</v>
      </c>
      <c r="H14" s="33">
        <v>58</v>
      </c>
      <c r="I14" s="33">
        <v>64</v>
      </c>
      <c r="J14" s="33">
        <v>129</v>
      </c>
      <c r="K14" s="33">
        <v>88</v>
      </c>
      <c r="L14" s="33">
        <v>46</v>
      </c>
      <c r="M14" s="33">
        <v>480</v>
      </c>
    </row>
    <row r="15" spans="1:13" x14ac:dyDescent="0.2">
      <c r="A15" s="20"/>
      <c r="B15" s="20"/>
      <c r="C15" s="20"/>
      <c r="K15">
        <v>73</v>
      </c>
    </row>
    <row r="16" spans="1:13" x14ac:dyDescent="0.2">
      <c r="A16" s="20"/>
      <c r="B16" s="20"/>
      <c r="C16" s="20"/>
      <c r="K16">
        <v>626</v>
      </c>
    </row>
    <row r="17" spans="1:10" ht="26" x14ac:dyDescent="0.3">
      <c r="A17" s="20"/>
      <c r="B17" s="20"/>
      <c r="C17" s="20"/>
      <c r="F17" s="32" t="s">
        <v>1175</v>
      </c>
    </row>
    <row r="18" spans="1:10" ht="16" thickBot="1" x14ac:dyDescent="0.25">
      <c r="A18" s="20"/>
      <c r="B18" s="20"/>
      <c r="C18" s="20"/>
      <c r="F18" s="2" t="s">
        <v>1178</v>
      </c>
      <c r="G18" s="2" t="s">
        <v>1179</v>
      </c>
    </row>
    <row r="19" spans="1:10" ht="25" thickBot="1" x14ac:dyDescent="0.35">
      <c r="A19" s="26" t="s">
        <v>1181</v>
      </c>
      <c r="B19" s="27">
        <v>45089.71465277778</v>
      </c>
      <c r="C19" s="20"/>
      <c r="F19" s="2" t="s">
        <v>1168</v>
      </c>
      <c r="G19" t="s">
        <v>11</v>
      </c>
      <c r="H19" t="s">
        <v>37</v>
      </c>
      <c r="I19" t="s">
        <v>22</v>
      </c>
      <c r="J19" t="s">
        <v>1174</v>
      </c>
    </row>
    <row r="20" spans="1:10" x14ac:dyDescent="0.2">
      <c r="A20" s="20"/>
      <c r="B20" s="30"/>
      <c r="C20" s="20"/>
      <c r="F20" s="3">
        <v>2014</v>
      </c>
      <c r="G20" s="33">
        <v>26</v>
      </c>
      <c r="H20" s="33">
        <v>10</v>
      </c>
      <c r="I20" s="33">
        <v>1</v>
      </c>
      <c r="J20" s="33">
        <v>37</v>
      </c>
    </row>
    <row r="21" spans="1:10" x14ac:dyDescent="0.2">
      <c r="A21" s="20"/>
      <c r="B21" s="20"/>
      <c r="C21" s="20"/>
      <c r="F21" s="3">
        <v>2015</v>
      </c>
      <c r="G21" s="33">
        <v>45</v>
      </c>
      <c r="H21" s="33">
        <v>9</v>
      </c>
      <c r="I21" s="33">
        <v>10</v>
      </c>
      <c r="J21" s="33">
        <v>64</v>
      </c>
    </row>
    <row r="22" spans="1:10" x14ac:dyDescent="0.2">
      <c r="A22" s="20"/>
      <c r="B22" s="20"/>
      <c r="C22" s="20"/>
      <c r="F22" s="3">
        <v>2016</v>
      </c>
      <c r="G22" s="33">
        <v>58</v>
      </c>
      <c r="H22" s="33">
        <v>11</v>
      </c>
      <c r="I22" s="33">
        <v>12</v>
      </c>
      <c r="J22" s="33">
        <v>81</v>
      </c>
    </row>
    <row r="23" spans="1:10" x14ac:dyDescent="0.2">
      <c r="A23" s="20"/>
      <c r="B23" s="20"/>
      <c r="C23" s="20"/>
      <c r="F23" s="3">
        <v>2017</v>
      </c>
      <c r="G23" s="33">
        <v>46</v>
      </c>
      <c r="H23" s="33">
        <v>16</v>
      </c>
      <c r="I23" s="33">
        <v>17</v>
      </c>
      <c r="J23" s="33">
        <v>79</v>
      </c>
    </row>
    <row r="24" spans="1:10" x14ac:dyDescent="0.2">
      <c r="A24" s="20"/>
      <c r="B24" s="20"/>
      <c r="C24" s="20"/>
      <c r="F24" s="3">
        <v>2018</v>
      </c>
      <c r="G24" s="33">
        <v>38</v>
      </c>
      <c r="H24" s="33">
        <v>17</v>
      </c>
      <c r="I24" s="33">
        <v>13</v>
      </c>
      <c r="J24" s="33">
        <v>68</v>
      </c>
    </row>
    <row r="25" spans="1:10" x14ac:dyDescent="0.2">
      <c r="A25" s="20"/>
      <c r="B25" s="20"/>
      <c r="C25" s="20"/>
      <c r="F25" s="3">
        <v>2019</v>
      </c>
      <c r="G25" s="33">
        <v>42</v>
      </c>
      <c r="H25" s="33">
        <v>31</v>
      </c>
      <c r="I25" s="33">
        <v>12</v>
      </c>
      <c r="J25" s="33">
        <v>85</v>
      </c>
    </row>
    <row r="26" spans="1:10" x14ac:dyDescent="0.2">
      <c r="A26" s="20"/>
      <c r="B26" s="20"/>
      <c r="C26" s="20"/>
      <c r="F26" s="3">
        <v>2020</v>
      </c>
      <c r="G26" s="33">
        <v>34</v>
      </c>
      <c r="H26" s="33">
        <v>13</v>
      </c>
      <c r="I26" s="33">
        <v>16</v>
      </c>
      <c r="J26" s="33">
        <v>63</v>
      </c>
    </row>
    <row r="27" spans="1:10" x14ac:dyDescent="0.2">
      <c r="A27" s="20"/>
      <c r="B27" s="20"/>
      <c r="C27" s="20"/>
      <c r="F27" s="3">
        <v>2021</v>
      </c>
      <c r="G27" s="33">
        <v>24</v>
      </c>
      <c r="H27" s="33">
        <v>10</v>
      </c>
      <c r="I27" s="33">
        <v>15</v>
      </c>
      <c r="J27" s="33">
        <v>49</v>
      </c>
    </row>
    <row r="28" spans="1:10" x14ac:dyDescent="0.2">
      <c r="A28" s="20"/>
      <c r="B28" s="20"/>
      <c r="C28" s="20"/>
      <c r="F28" s="3">
        <v>2022</v>
      </c>
      <c r="G28" s="33">
        <v>26</v>
      </c>
      <c r="H28" s="33">
        <v>8</v>
      </c>
      <c r="I28" s="33">
        <v>17</v>
      </c>
      <c r="J28" s="33">
        <v>51</v>
      </c>
    </row>
    <row r="29" spans="1:10" x14ac:dyDescent="0.2">
      <c r="A29" s="20"/>
      <c r="B29" s="20"/>
      <c r="C29" s="20"/>
      <c r="F29" s="3">
        <v>2023</v>
      </c>
      <c r="G29" s="33">
        <v>32</v>
      </c>
      <c r="H29" s="33">
        <v>7</v>
      </c>
      <c r="I29" s="33">
        <v>11</v>
      </c>
      <c r="J29" s="33">
        <v>50</v>
      </c>
    </row>
    <row r="30" spans="1:10" x14ac:dyDescent="0.2">
      <c r="A30" s="20"/>
      <c r="B30" s="20"/>
      <c r="C30" s="20"/>
      <c r="F30" s="3" t="s">
        <v>1174</v>
      </c>
      <c r="G30" s="33">
        <v>371</v>
      </c>
      <c r="H30" s="33">
        <v>132</v>
      </c>
      <c r="I30" s="33">
        <v>124</v>
      </c>
      <c r="J30" s="33">
        <v>627</v>
      </c>
    </row>
    <row r="31" spans="1:10" x14ac:dyDescent="0.2">
      <c r="A31" s="20"/>
      <c r="B31" s="20"/>
      <c r="C31" s="20"/>
    </row>
    <row r="32" spans="1:10" x14ac:dyDescent="0.2">
      <c r="A32" s="20"/>
      <c r="B32" s="20"/>
      <c r="C32" s="20"/>
    </row>
    <row r="33" spans="1:14" ht="26" x14ac:dyDescent="0.3">
      <c r="A33" s="20"/>
      <c r="B33" s="20"/>
      <c r="C33" s="20"/>
      <c r="F33" s="32" t="s">
        <v>1177</v>
      </c>
    </row>
    <row r="34" spans="1:14" x14ac:dyDescent="0.2">
      <c r="A34" s="20"/>
      <c r="B34" s="20"/>
      <c r="C34" s="20"/>
      <c r="F34" s="2" t="s">
        <v>1178</v>
      </c>
      <c r="G34" s="2" t="s">
        <v>1179</v>
      </c>
    </row>
    <row r="35" spans="1:14" x14ac:dyDescent="0.2">
      <c r="A35" s="20"/>
      <c r="B35" s="20"/>
      <c r="C35" s="20"/>
      <c r="F35" s="2" t="s">
        <v>1168</v>
      </c>
      <c r="G35" t="s">
        <v>30</v>
      </c>
      <c r="H35" t="s">
        <v>899</v>
      </c>
      <c r="I35" t="s">
        <v>297</v>
      </c>
      <c r="J35" t="s">
        <v>23</v>
      </c>
      <c r="K35" t="s">
        <v>1176</v>
      </c>
      <c r="L35" t="s">
        <v>283</v>
      </c>
      <c r="M35" t="s">
        <v>38</v>
      </c>
      <c r="N35" t="s">
        <v>1174</v>
      </c>
    </row>
    <row r="36" spans="1:14" x14ac:dyDescent="0.2">
      <c r="A36" s="20"/>
      <c r="B36" s="20"/>
      <c r="C36" s="20"/>
      <c r="F36" s="3">
        <v>2014</v>
      </c>
      <c r="G36" s="33">
        <v>17</v>
      </c>
      <c r="H36" s="33">
        <v>1</v>
      </c>
      <c r="I36" s="33">
        <v>9</v>
      </c>
      <c r="J36" s="33">
        <v>13</v>
      </c>
      <c r="K36" s="33">
        <v>6</v>
      </c>
      <c r="L36" s="33">
        <v>11</v>
      </c>
      <c r="M36" s="33">
        <v>11</v>
      </c>
      <c r="N36" s="33">
        <v>68</v>
      </c>
    </row>
    <row r="37" spans="1:14" x14ac:dyDescent="0.2">
      <c r="A37" s="20"/>
      <c r="B37" s="20"/>
      <c r="C37" s="20"/>
      <c r="F37" s="3">
        <v>2015</v>
      </c>
      <c r="G37" s="33">
        <v>24</v>
      </c>
      <c r="H37" s="33">
        <v>2</v>
      </c>
      <c r="I37" s="33">
        <v>16</v>
      </c>
      <c r="J37" s="33">
        <v>21</v>
      </c>
      <c r="K37" s="33">
        <v>9</v>
      </c>
      <c r="L37" s="33">
        <v>12</v>
      </c>
      <c r="M37" s="33">
        <v>18</v>
      </c>
      <c r="N37" s="33">
        <v>102</v>
      </c>
    </row>
    <row r="38" spans="1:14" x14ac:dyDescent="0.2">
      <c r="A38" s="20"/>
      <c r="B38" s="20"/>
      <c r="C38" s="20"/>
      <c r="F38" s="3">
        <v>2016</v>
      </c>
      <c r="G38" s="33">
        <v>18</v>
      </c>
      <c r="H38" s="33">
        <v>7</v>
      </c>
      <c r="I38" s="33">
        <v>30</v>
      </c>
      <c r="J38" s="33">
        <v>43</v>
      </c>
      <c r="K38" s="33">
        <v>14</v>
      </c>
      <c r="L38" s="33">
        <v>24</v>
      </c>
      <c r="M38" s="33">
        <v>16</v>
      </c>
      <c r="N38" s="33">
        <v>152</v>
      </c>
    </row>
    <row r="39" spans="1:14" x14ac:dyDescent="0.2">
      <c r="A39" s="20"/>
      <c r="B39" s="20"/>
      <c r="C39" s="20"/>
      <c r="F39" s="3">
        <v>2017</v>
      </c>
      <c r="G39" s="33">
        <v>35</v>
      </c>
      <c r="H39" s="33">
        <v>7</v>
      </c>
      <c r="I39" s="33">
        <v>12</v>
      </c>
      <c r="J39" s="33">
        <v>23</v>
      </c>
      <c r="K39" s="33">
        <v>20</v>
      </c>
      <c r="L39" s="33">
        <v>15</v>
      </c>
      <c r="M39" s="33">
        <v>15</v>
      </c>
      <c r="N39" s="33">
        <v>127</v>
      </c>
    </row>
    <row r="40" spans="1:14" x14ac:dyDescent="0.2">
      <c r="A40" s="20"/>
      <c r="B40" s="20"/>
      <c r="C40" s="20"/>
      <c r="F40" s="3">
        <v>2018</v>
      </c>
      <c r="G40" s="33">
        <v>29</v>
      </c>
      <c r="H40" s="33">
        <v>4</v>
      </c>
      <c r="I40" s="33">
        <v>8</v>
      </c>
      <c r="J40" s="33">
        <v>19</v>
      </c>
      <c r="K40" s="33">
        <v>13</v>
      </c>
      <c r="L40" s="33">
        <v>12</v>
      </c>
      <c r="M40" s="33">
        <v>20</v>
      </c>
      <c r="N40" s="33">
        <v>105</v>
      </c>
    </row>
    <row r="41" spans="1:14" x14ac:dyDescent="0.2">
      <c r="A41" s="20"/>
      <c r="B41" s="20"/>
      <c r="C41" s="20"/>
      <c r="F41" s="3">
        <v>2019</v>
      </c>
      <c r="G41" s="33">
        <v>26</v>
      </c>
      <c r="H41" s="33">
        <v>8</v>
      </c>
      <c r="I41" s="33">
        <v>13</v>
      </c>
      <c r="J41" s="33">
        <v>23</v>
      </c>
      <c r="K41" s="33">
        <v>22</v>
      </c>
      <c r="L41" s="33">
        <v>19</v>
      </c>
      <c r="M41" s="33">
        <v>30</v>
      </c>
      <c r="N41" s="33">
        <v>141</v>
      </c>
    </row>
    <row r="42" spans="1:14" x14ac:dyDescent="0.2">
      <c r="A42" s="20"/>
      <c r="B42" s="20"/>
      <c r="C42" s="20"/>
      <c r="F42" s="3">
        <v>2020</v>
      </c>
      <c r="G42" s="33">
        <v>22</v>
      </c>
      <c r="H42" s="33">
        <v>7</v>
      </c>
      <c r="I42" s="33">
        <v>11</v>
      </c>
      <c r="J42" s="33">
        <v>10</v>
      </c>
      <c r="K42" s="33">
        <v>9</v>
      </c>
      <c r="L42" s="33">
        <v>8</v>
      </c>
      <c r="M42" s="33">
        <v>28</v>
      </c>
      <c r="N42" s="33">
        <v>95</v>
      </c>
    </row>
    <row r="43" spans="1:14" x14ac:dyDescent="0.2">
      <c r="A43" s="20"/>
      <c r="B43" s="20"/>
      <c r="C43" s="20"/>
      <c r="F43" s="3">
        <v>2021</v>
      </c>
      <c r="G43" s="33">
        <v>16</v>
      </c>
      <c r="H43" s="33">
        <v>4</v>
      </c>
      <c r="I43" s="33">
        <v>3</v>
      </c>
      <c r="J43" s="33">
        <v>4</v>
      </c>
      <c r="K43" s="33">
        <v>5</v>
      </c>
      <c r="L43" s="33">
        <v>5</v>
      </c>
      <c r="M43" s="33">
        <v>21</v>
      </c>
      <c r="N43" s="33">
        <v>58</v>
      </c>
    </row>
    <row r="44" spans="1:14" x14ac:dyDescent="0.2">
      <c r="A44" s="20"/>
      <c r="B44" s="20"/>
      <c r="C44" s="20"/>
      <c r="F44" s="3">
        <v>2022</v>
      </c>
      <c r="G44" s="33">
        <v>19</v>
      </c>
      <c r="H44" s="33">
        <v>2</v>
      </c>
      <c r="I44" s="33">
        <v>6</v>
      </c>
      <c r="J44" s="33">
        <v>7</v>
      </c>
      <c r="K44" s="33">
        <v>3</v>
      </c>
      <c r="L44" s="33">
        <v>8</v>
      </c>
      <c r="M44" s="33">
        <v>23</v>
      </c>
      <c r="N44" s="33">
        <v>68</v>
      </c>
    </row>
    <row r="45" spans="1:14" x14ac:dyDescent="0.2">
      <c r="A45" s="20"/>
      <c r="B45" s="20"/>
      <c r="C45" s="20"/>
      <c r="F45" s="3">
        <v>2023</v>
      </c>
      <c r="G45" s="33">
        <v>15</v>
      </c>
      <c r="H45" s="33">
        <v>5</v>
      </c>
      <c r="I45" s="33">
        <v>12</v>
      </c>
      <c r="J45" s="33">
        <v>16</v>
      </c>
      <c r="K45" s="33">
        <v>13</v>
      </c>
      <c r="L45" s="33">
        <v>10</v>
      </c>
      <c r="M45" s="33">
        <v>18</v>
      </c>
      <c r="N45" s="33">
        <v>89</v>
      </c>
    </row>
    <row r="46" spans="1:14" x14ac:dyDescent="0.2">
      <c r="A46" s="20"/>
      <c r="B46" s="20"/>
      <c r="C46" s="20"/>
      <c r="F46" s="3" t="s">
        <v>1174</v>
      </c>
      <c r="G46" s="33">
        <v>221</v>
      </c>
      <c r="H46" s="33">
        <v>47</v>
      </c>
      <c r="I46" s="33">
        <v>120</v>
      </c>
      <c r="J46" s="33">
        <v>179</v>
      </c>
      <c r="K46" s="33">
        <v>114</v>
      </c>
      <c r="L46" s="33">
        <v>124</v>
      </c>
      <c r="M46" s="33">
        <v>200</v>
      </c>
      <c r="N46" s="33">
        <v>1005</v>
      </c>
    </row>
    <row r="48" spans="1:14" ht="26" x14ac:dyDescent="0.3">
      <c r="F48" s="32" t="s">
        <v>1182</v>
      </c>
    </row>
    <row r="49" spans="6:7" x14ac:dyDescent="0.2">
      <c r="F49" s="2" t="s">
        <v>1168</v>
      </c>
      <c r="G49" t="s">
        <v>1183</v>
      </c>
    </row>
    <row r="50" spans="6:7" x14ac:dyDescent="0.2">
      <c r="F50" s="3" t="s">
        <v>1173</v>
      </c>
      <c r="G50" s="33">
        <v>536</v>
      </c>
    </row>
    <row r="51" spans="6:7" x14ac:dyDescent="0.2">
      <c r="F51" s="3" t="s">
        <v>1174</v>
      </c>
      <c r="G51" s="33">
        <v>536</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558800</xdr:colOff>
                    <xdr:row>11</xdr:row>
                    <xdr:rowOff>127000</xdr:rowOff>
                  </from>
                  <to>
                    <xdr:col>2</xdr:col>
                    <xdr:colOff>850900</xdr:colOff>
                    <xdr:row>16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26E0-51CB-4637-9B1E-4A90E4F9314F}">
  <sheetPr codeName="Sheet6"/>
  <dimension ref="A1:B8"/>
  <sheetViews>
    <sheetView workbookViewId="0">
      <selection activeCell="G3" sqref="G3"/>
    </sheetView>
  </sheetViews>
  <sheetFormatPr baseColWidth="10" defaultColWidth="8.83203125" defaultRowHeight="15" x14ac:dyDescent="0.2"/>
  <sheetData>
    <row r="1" spans="1:2" x14ac:dyDescent="0.2">
      <c r="A1" s="3">
        <v>2015</v>
      </c>
      <c r="B1">
        <v>10</v>
      </c>
    </row>
    <row r="2" spans="1:2" x14ac:dyDescent="0.2">
      <c r="A2" s="3">
        <v>2016</v>
      </c>
      <c r="B2">
        <v>12</v>
      </c>
    </row>
    <row r="3" spans="1:2" x14ac:dyDescent="0.2">
      <c r="A3" s="3">
        <v>2017</v>
      </c>
      <c r="B3">
        <v>17</v>
      </c>
    </row>
    <row r="4" spans="1:2" x14ac:dyDescent="0.2">
      <c r="A4" s="3">
        <v>2018</v>
      </c>
      <c r="B4">
        <v>13</v>
      </c>
    </row>
    <row r="5" spans="1:2" x14ac:dyDescent="0.2">
      <c r="A5" s="3">
        <v>2019</v>
      </c>
      <c r="B5">
        <v>12</v>
      </c>
    </row>
    <row r="6" spans="1:2" x14ac:dyDescent="0.2">
      <c r="A6" s="3">
        <v>2020</v>
      </c>
      <c r="B6">
        <v>16</v>
      </c>
    </row>
    <row r="7" spans="1:2" x14ac:dyDescent="0.2">
      <c r="A7" s="3">
        <v>2021</v>
      </c>
      <c r="B7">
        <v>15</v>
      </c>
    </row>
    <row r="8" spans="1:2" x14ac:dyDescent="0.2">
      <c r="A8" s="3">
        <v>2022</v>
      </c>
      <c r="B8">
        <v>17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6" ma:contentTypeDescription="Create a new document." ma:contentTypeScope="" ma:versionID="1fbf7f553d1d3a5065f630cf9b0df2b1">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d5d746e6000003faa355a70937de2198"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0C9354-5051-4F8F-800E-72D94A36C25F}">
  <ds:schemaRefs>
    <ds:schemaRef ds:uri="http://schemas.microsoft.com/sharepoint/v3/contenttype/forms"/>
  </ds:schemaRefs>
</ds:datastoreItem>
</file>

<file path=customXml/itemProps2.xml><?xml version="1.0" encoding="utf-8"?>
<ds:datastoreItem xmlns:ds="http://schemas.openxmlformats.org/officeDocument/2006/customXml" ds:itemID="{E5FB5884-7759-469D-AD24-A9702640DB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e9e844-2a76-4b49-889d-fbe8a82ff327"/>
    <ds:schemaRef ds:uri="5494a297-7bc7-4f39-82e4-8ace62f0c9d5"/>
    <ds:schemaRef ds:uri="efce84db-8738-4c7b-9bdc-65b9500871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News</vt:lpstr>
      <vt:lpstr>Research Topics</vt:lpstr>
      <vt:lpstr>Press Types</vt:lpstr>
      <vt:lpstr>Categories</vt:lpstr>
      <vt:lpstr>Metrics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Marlena N.</dc:creator>
  <cp:keywords/>
  <dc:description/>
  <cp:lastModifiedBy>Kari A. Frank</cp:lastModifiedBy>
  <cp:revision/>
  <dcterms:created xsi:type="dcterms:W3CDTF">2021-04-06T15:10:08Z</dcterms:created>
  <dcterms:modified xsi:type="dcterms:W3CDTF">2023-06-12T22:09:06Z</dcterms:modified>
  <cp:category/>
  <cp:contentStatus/>
</cp:coreProperties>
</file>